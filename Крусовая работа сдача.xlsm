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irill\Desktop\Новая папка\"/>
    </mc:Choice>
  </mc:AlternateContent>
  <xr:revisionPtr revIDLastSave="0" documentId="13_ncr:1_{1248BFE7-FB2F-4CA6-8B75-276651744085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Главная" sheetId="6" r:id="rId1"/>
    <sheet name="Расчет интеграла" sheetId="1" r:id="rId2"/>
    <sheet name="Нелинейные уравнения" sheetId="7" r:id="rId3"/>
    <sheet name="Интерполяция" sheetId="8" r:id="rId4"/>
    <sheet name="Аппроксимация" sheetId="9" r:id="rId5"/>
    <sheet name="Решение краевой задачи" sheetId="10" r:id="rId6"/>
    <sheet name="Данные" sheetId="5" r:id="rId7"/>
  </sheets>
  <functionGroups builtInGroupCount="19"/>
  <definedNames>
    <definedName name="solver_adj" localSheetId="4" hidden="1">Аппроксимация!$O$16:$O$18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Аппроксимация!$O$20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  <definedName name="t">x</definedName>
    <definedName name="TextBox1">5</definedName>
    <definedName name="TextBox2">"="</definedName>
    <definedName name="x">1.9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" i="7" l="1"/>
  <c r="V19" i="7"/>
  <c r="V20" i="7"/>
  <c r="G88" i="9"/>
  <c r="G89" i="9"/>
  <c r="G87" i="9"/>
  <c r="N11" i="9" l="1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10" i="7"/>
  <c r="U9" i="7"/>
  <c r="C68" i="1"/>
  <c r="C138" i="1"/>
  <c r="R45" i="7"/>
  <c r="R127" i="7"/>
  <c r="R126" i="7"/>
  <c r="C139" i="1"/>
  <c r="D102" i="1"/>
  <c r="C102" i="1"/>
  <c r="R43" i="7"/>
  <c r="R129" i="7"/>
  <c r="C67" i="7"/>
  <c r="F70" i="7" s="1"/>
  <c r="E102" i="1"/>
  <c r="C69" i="1"/>
  <c r="D138" i="1"/>
  <c r="E138" i="1"/>
  <c r="R128" i="7"/>
  <c r="C103" i="1"/>
  <c r="C156" i="7"/>
  <c r="F12" i="10" l="1"/>
  <c r="K17" i="10"/>
  <c r="L17" i="10"/>
  <c r="E159" i="7"/>
  <c r="D159" i="7" l="1"/>
  <c r="F159" i="7" s="1"/>
  <c r="G159" i="7" s="1"/>
  <c r="H159" i="7" s="1"/>
  <c r="L44" i="10"/>
  <c r="K44" i="10"/>
  <c r="J44" i="10"/>
  <c r="I44" i="10"/>
  <c r="H44" i="10"/>
  <c r="G44" i="10"/>
  <c r="F44" i="10"/>
  <c r="E44" i="10"/>
  <c r="D44" i="10"/>
  <c r="C45" i="10"/>
  <c r="C46" i="10" s="1"/>
  <c r="C47" i="10" s="1"/>
  <c r="C48" i="10" s="1"/>
  <c r="C49" i="10" s="1"/>
  <c r="C50" i="10" s="1"/>
  <c r="C51" i="10" s="1"/>
  <c r="C52" i="10" s="1"/>
  <c r="C53" i="10" s="1"/>
  <c r="C54" i="10" s="1"/>
  <c r="K54" i="10" s="1"/>
  <c r="C160" i="7" l="1"/>
  <c r="K45" i="10"/>
  <c r="J54" i="10"/>
  <c r="D52" i="10"/>
  <c r="I47" i="10"/>
  <c r="J53" i="10"/>
  <c r="D51" i="10"/>
  <c r="F49" i="10"/>
  <c r="G48" i="10"/>
  <c r="H47" i="10"/>
  <c r="I46" i="10"/>
  <c r="J45" i="10"/>
  <c r="H54" i="10"/>
  <c r="I53" i="10"/>
  <c r="J52" i="10"/>
  <c r="K51" i="10"/>
  <c r="L50" i="10"/>
  <c r="D50" i="10"/>
  <c r="E49" i="10"/>
  <c r="F48" i="10"/>
  <c r="G47" i="10"/>
  <c r="H46" i="10"/>
  <c r="I45" i="10"/>
  <c r="K53" i="10"/>
  <c r="E51" i="10"/>
  <c r="G49" i="10"/>
  <c r="H48" i="10"/>
  <c r="J46" i="10"/>
  <c r="K52" i="10"/>
  <c r="G54" i="10"/>
  <c r="K50" i="10"/>
  <c r="L49" i="10"/>
  <c r="F47" i="10"/>
  <c r="G46" i="10"/>
  <c r="H45" i="10"/>
  <c r="F50" i="10"/>
  <c r="J51" i="10"/>
  <c r="F54" i="10"/>
  <c r="G53" i="10"/>
  <c r="H52" i="10"/>
  <c r="I51" i="10"/>
  <c r="J50" i="10"/>
  <c r="K49" i="10"/>
  <c r="L48" i="10"/>
  <c r="D48" i="10"/>
  <c r="E47" i="10"/>
  <c r="F46" i="10"/>
  <c r="G45" i="10"/>
  <c r="E54" i="10"/>
  <c r="F53" i="10"/>
  <c r="G52" i="10"/>
  <c r="H51" i="10"/>
  <c r="I50" i="10"/>
  <c r="J49" i="10"/>
  <c r="K48" i="10"/>
  <c r="L47" i="10"/>
  <c r="D47" i="10"/>
  <c r="E46" i="10"/>
  <c r="F45" i="10"/>
  <c r="I54" i="10"/>
  <c r="L51" i="10"/>
  <c r="I52" i="10"/>
  <c r="E48" i="10"/>
  <c r="L54" i="10"/>
  <c r="D54" i="10"/>
  <c r="E53" i="10"/>
  <c r="F52" i="10"/>
  <c r="G51" i="10"/>
  <c r="H50" i="10"/>
  <c r="I49" i="10"/>
  <c r="J48" i="10"/>
  <c r="K47" i="10"/>
  <c r="L46" i="10"/>
  <c r="D46" i="10"/>
  <c r="E45" i="10"/>
  <c r="L52" i="10"/>
  <c r="E50" i="10"/>
  <c r="H53" i="10"/>
  <c r="D49" i="10"/>
  <c r="L53" i="10"/>
  <c r="D53" i="10"/>
  <c r="E52" i="10"/>
  <c r="F51" i="10"/>
  <c r="G50" i="10"/>
  <c r="H49" i="10"/>
  <c r="I48" i="10"/>
  <c r="J47" i="10"/>
  <c r="K46" i="10"/>
  <c r="L45" i="10"/>
  <c r="D45" i="10"/>
  <c r="E160" i="7"/>
  <c r="D160" i="7" l="1"/>
  <c r="C161" i="7" s="1"/>
  <c r="Q30" i="10"/>
  <c r="Q31" i="10" s="1"/>
  <c r="Q32" i="10" s="1"/>
  <c r="Q33" i="10" s="1"/>
  <c r="Q34" i="10" s="1"/>
  <c r="Q35" i="10" s="1"/>
  <c r="Q36" i="10" s="1"/>
  <c r="Q37" i="10" s="1"/>
  <c r="Q38" i="10" s="1"/>
  <c r="Q39" i="10" s="1"/>
  <c r="E161" i="7"/>
  <c r="D161" i="7" l="1"/>
  <c r="C162" i="7" s="1"/>
  <c r="F160" i="7"/>
  <c r="G160" i="7" s="1"/>
  <c r="H160" i="7" s="1"/>
  <c r="C18" i="10"/>
  <c r="F18" i="10" s="1"/>
  <c r="J18" i="10" s="1"/>
  <c r="M30" i="10" s="1"/>
  <c r="E162" i="7"/>
  <c r="F161" i="7" l="1"/>
  <c r="G161" i="7" s="1"/>
  <c r="H161" i="7" s="1"/>
  <c r="D162" i="7"/>
  <c r="C163" i="7" s="1"/>
  <c r="C19" i="10"/>
  <c r="D18" i="10"/>
  <c r="G18" i="10" s="1"/>
  <c r="E18" i="10"/>
  <c r="H18" i="10" s="1"/>
  <c r="C30" i="10" s="1"/>
  <c r="O29" i="9"/>
  <c r="E37" i="9" s="1"/>
  <c r="E163" i="7"/>
  <c r="D163" i="7" l="1"/>
  <c r="C164" i="7" s="1"/>
  <c r="F162" i="7"/>
  <c r="G162" i="7" s="1"/>
  <c r="H162" i="7" s="1"/>
  <c r="I18" i="10"/>
  <c r="C20" i="10"/>
  <c r="E19" i="10"/>
  <c r="H19" i="10" s="1"/>
  <c r="D31" i="10" s="1"/>
  <c r="F19" i="10"/>
  <c r="J19" i="10" s="1"/>
  <c r="M31" i="10" s="1"/>
  <c r="D19" i="10"/>
  <c r="D89" i="9"/>
  <c r="D81" i="9"/>
  <c r="E81" i="9"/>
  <c r="F81" i="9"/>
  <c r="G81" i="9"/>
  <c r="H81" i="9"/>
  <c r="I81" i="9"/>
  <c r="J81" i="9"/>
  <c r="K81" i="9"/>
  <c r="L81" i="9"/>
  <c r="M81" i="9"/>
  <c r="N81" i="9"/>
  <c r="D82" i="9"/>
  <c r="E82" i="9"/>
  <c r="F82" i="9"/>
  <c r="G82" i="9"/>
  <c r="H82" i="9"/>
  <c r="I82" i="9"/>
  <c r="J82" i="9"/>
  <c r="K82" i="9"/>
  <c r="L82" i="9"/>
  <c r="M82" i="9"/>
  <c r="N82" i="9"/>
  <c r="D84" i="9"/>
  <c r="E84" i="9"/>
  <c r="F84" i="9"/>
  <c r="G84" i="9"/>
  <c r="H84" i="9"/>
  <c r="I84" i="9"/>
  <c r="J84" i="9"/>
  <c r="K84" i="9"/>
  <c r="L84" i="9"/>
  <c r="M84" i="9"/>
  <c r="N84" i="9"/>
  <c r="C84" i="9"/>
  <c r="C82" i="9"/>
  <c r="C81" i="9"/>
  <c r="D80" i="9"/>
  <c r="D83" i="9" s="1"/>
  <c r="E80" i="9"/>
  <c r="E83" i="9" s="1"/>
  <c r="F80" i="9"/>
  <c r="F83" i="9" s="1"/>
  <c r="G80" i="9"/>
  <c r="G83" i="9" s="1"/>
  <c r="H80" i="9"/>
  <c r="H83" i="9" s="1"/>
  <c r="I80" i="9"/>
  <c r="I83" i="9" s="1"/>
  <c r="J80" i="9"/>
  <c r="J83" i="9" s="1"/>
  <c r="K80" i="9"/>
  <c r="K83" i="9" s="1"/>
  <c r="L80" i="9"/>
  <c r="L83" i="9" s="1"/>
  <c r="M80" i="9"/>
  <c r="M83" i="9" s="1"/>
  <c r="N80" i="9"/>
  <c r="N83" i="9" s="1"/>
  <c r="C80" i="9"/>
  <c r="N5" i="9"/>
  <c r="N6" i="9"/>
  <c r="N7" i="9"/>
  <c r="N8" i="9"/>
  <c r="N9" i="9"/>
  <c r="N10" i="9"/>
  <c r="N12" i="9"/>
  <c r="N13" i="9"/>
  <c r="N14" i="9"/>
  <c r="N4" i="9"/>
  <c r="N3" i="9"/>
  <c r="M3" i="9"/>
  <c r="M5" i="9"/>
  <c r="M6" i="9"/>
  <c r="M7" i="9"/>
  <c r="M8" i="9"/>
  <c r="M9" i="9"/>
  <c r="M10" i="9"/>
  <c r="M11" i="9"/>
  <c r="M12" i="9"/>
  <c r="M13" i="9"/>
  <c r="M14" i="9"/>
  <c r="M4" i="9"/>
  <c r="O3" i="9"/>
  <c r="O5" i="9"/>
  <c r="O6" i="9"/>
  <c r="O7" i="9"/>
  <c r="O8" i="9"/>
  <c r="O9" i="9"/>
  <c r="O10" i="9"/>
  <c r="O11" i="9"/>
  <c r="O12" i="9"/>
  <c r="O13" i="9"/>
  <c r="O14" i="9"/>
  <c r="O4" i="9"/>
  <c r="E164" i="7"/>
  <c r="D164" i="7" l="1"/>
  <c r="C165" i="7" s="1"/>
  <c r="F163" i="7"/>
  <c r="G163" i="7" s="1"/>
  <c r="H163" i="7" s="1"/>
  <c r="O84" i="9"/>
  <c r="E88" i="9" s="1"/>
  <c r="O81" i="9"/>
  <c r="B88" i="9" s="1"/>
  <c r="O80" i="9"/>
  <c r="D87" i="9" s="1"/>
  <c r="C83" i="9"/>
  <c r="O83" i="9" s="1"/>
  <c r="E87" i="9" s="1"/>
  <c r="O82" i="9"/>
  <c r="B87" i="9" s="1"/>
  <c r="G19" i="10"/>
  <c r="C31" i="10" s="1"/>
  <c r="I19" i="10"/>
  <c r="E31" i="10" s="1"/>
  <c r="K18" i="10"/>
  <c r="D30" i="10"/>
  <c r="L18" i="10"/>
  <c r="B30" i="10"/>
  <c r="C21" i="10"/>
  <c r="D20" i="10"/>
  <c r="E20" i="10"/>
  <c r="H20" i="10" s="1"/>
  <c r="E32" i="10" s="1"/>
  <c r="F20" i="10"/>
  <c r="J20" i="10" s="1"/>
  <c r="M32" i="10" s="1"/>
  <c r="O20" i="9"/>
  <c r="N20" i="9"/>
  <c r="E165" i="7"/>
  <c r="L19" i="10" l="1"/>
  <c r="K19" i="10"/>
  <c r="F164" i="7"/>
  <c r="G164" i="7" s="1"/>
  <c r="H164" i="7" s="1"/>
  <c r="D165" i="7"/>
  <c r="C166" i="7" s="1"/>
  <c r="C87" i="9"/>
  <c r="B89" i="9"/>
  <c r="G20" i="10"/>
  <c r="D32" i="10" s="1"/>
  <c r="I20" i="10"/>
  <c r="F32" i="10" s="1"/>
  <c r="C22" i="10"/>
  <c r="E21" i="10"/>
  <c r="H21" i="10" s="1"/>
  <c r="F33" i="10" s="1"/>
  <c r="F21" i="10"/>
  <c r="J21" i="10" s="1"/>
  <c r="M33" i="10" s="1"/>
  <c r="D21" i="10"/>
  <c r="O78" i="9"/>
  <c r="E89" i="9" s="1"/>
  <c r="O79" i="9"/>
  <c r="C88" i="9" s="1"/>
  <c r="O77" i="9"/>
  <c r="E50" i="7"/>
  <c r="D58" i="9"/>
  <c r="E58" i="9"/>
  <c r="F58" i="9"/>
  <c r="G58" i="9"/>
  <c r="H58" i="9"/>
  <c r="I58" i="9"/>
  <c r="J58" i="9"/>
  <c r="K58" i="9"/>
  <c r="L58" i="9"/>
  <c r="M58" i="9"/>
  <c r="N58" i="9"/>
  <c r="C58" i="9"/>
  <c r="O53" i="9"/>
  <c r="E63" i="9" s="1"/>
  <c r="O54" i="9"/>
  <c r="O57" i="9"/>
  <c r="E62" i="9" s="1"/>
  <c r="O52" i="9"/>
  <c r="D62" i="9" s="1"/>
  <c r="D55" i="9"/>
  <c r="E55" i="9"/>
  <c r="F55" i="9"/>
  <c r="G55" i="9"/>
  <c r="H55" i="9"/>
  <c r="I55" i="9"/>
  <c r="J55" i="9"/>
  <c r="K55" i="9"/>
  <c r="L55" i="9"/>
  <c r="M55" i="9"/>
  <c r="N55" i="9"/>
  <c r="D56" i="9"/>
  <c r="E56" i="9"/>
  <c r="F56" i="9"/>
  <c r="G56" i="9"/>
  <c r="H56" i="9"/>
  <c r="I56" i="9"/>
  <c r="J56" i="9"/>
  <c r="K56" i="9"/>
  <c r="L56" i="9"/>
  <c r="M56" i="9"/>
  <c r="N56" i="9"/>
  <c r="C56" i="9"/>
  <c r="C55" i="9"/>
  <c r="K36" i="9"/>
  <c r="K37" i="9"/>
  <c r="P29" i="9"/>
  <c r="F37" i="9" s="1"/>
  <c r="O30" i="9"/>
  <c r="G37" i="9" s="1"/>
  <c r="D32" i="9"/>
  <c r="E32" i="9"/>
  <c r="F32" i="9"/>
  <c r="G32" i="9"/>
  <c r="H32" i="9"/>
  <c r="I32" i="9"/>
  <c r="J32" i="9"/>
  <c r="K32" i="9"/>
  <c r="L32" i="9"/>
  <c r="M32" i="9"/>
  <c r="N32" i="9"/>
  <c r="C32" i="9"/>
  <c r="D31" i="9"/>
  <c r="E31" i="9"/>
  <c r="F31" i="9"/>
  <c r="G31" i="9"/>
  <c r="H31" i="9"/>
  <c r="I31" i="9"/>
  <c r="J31" i="9"/>
  <c r="K31" i="9"/>
  <c r="L31" i="9"/>
  <c r="M31" i="9"/>
  <c r="N31" i="9"/>
  <c r="C31" i="9"/>
  <c r="E166" i="7"/>
  <c r="D166" i="7" l="1"/>
  <c r="C167" i="7" s="1"/>
  <c r="F165" i="7"/>
  <c r="G165" i="7" s="1"/>
  <c r="H165" i="7" s="1"/>
  <c r="C63" i="9"/>
  <c r="C62" i="9"/>
  <c r="D61" i="9"/>
  <c r="B63" i="9"/>
  <c r="C89" i="9"/>
  <c r="D88" i="9"/>
  <c r="H87" i="9" s="1" a="1"/>
  <c r="G21" i="10"/>
  <c r="E33" i="10" s="1"/>
  <c r="I21" i="10"/>
  <c r="G33" i="10" s="1"/>
  <c r="K20" i="10"/>
  <c r="L20" i="10"/>
  <c r="L21" i="10" s="1"/>
  <c r="C23" i="10"/>
  <c r="D22" i="10"/>
  <c r="E22" i="10"/>
  <c r="H22" i="10" s="1"/>
  <c r="G34" i="10" s="1"/>
  <c r="F22" i="10"/>
  <c r="J22" i="10" s="1"/>
  <c r="M34" i="10" s="1"/>
  <c r="M20" i="9"/>
  <c r="O55" i="9"/>
  <c r="C61" i="9" s="1"/>
  <c r="O58" i="9"/>
  <c r="E61" i="9" s="1"/>
  <c r="O56" i="9"/>
  <c r="B61" i="9" s="1"/>
  <c r="O31" i="9"/>
  <c r="E36" i="9" s="1"/>
  <c r="F36" i="9"/>
  <c r="O32" i="9"/>
  <c r="G36" i="9" s="1"/>
  <c r="I37" i="9"/>
  <c r="I87" i="9"/>
  <c r="I36" i="9"/>
  <c r="E167" i="7"/>
  <c r="I88" i="9"/>
  <c r="L36" i="9"/>
  <c r="L37" i="9"/>
  <c r="I89" i="9"/>
  <c r="K21" i="10" l="1"/>
  <c r="D167" i="7"/>
  <c r="C168" i="7" s="1"/>
  <c r="F166" i="7"/>
  <c r="G166" i="7" s="1"/>
  <c r="H166" i="7" s="1"/>
  <c r="B62" i="9"/>
  <c r="E97" i="9"/>
  <c r="E98" i="9" s="1"/>
  <c r="H97" i="9"/>
  <c r="H98" i="9" s="1"/>
  <c r="K97" i="9"/>
  <c r="K98" i="9" s="1"/>
  <c r="N97" i="9"/>
  <c r="N98" i="9" s="1"/>
  <c r="F97" i="9"/>
  <c r="F98" i="9" s="1"/>
  <c r="I97" i="9"/>
  <c r="I98" i="9" s="1"/>
  <c r="L97" i="9"/>
  <c r="L98" i="9" s="1"/>
  <c r="C97" i="9"/>
  <c r="C98" i="9" s="1"/>
  <c r="D97" i="9"/>
  <c r="D98" i="9" s="1"/>
  <c r="G97" i="9"/>
  <c r="G98" i="9" s="1"/>
  <c r="J97" i="9"/>
  <c r="J98" i="9" s="1"/>
  <c r="M97" i="9"/>
  <c r="M98" i="9" s="1"/>
  <c r="G22" i="10"/>
  <c r="F34" i="10" s="1"/>
  <c r="I22" i="10"/>
  <c r="H34" i="10" s="1"/>
  <c r="L22" i="10"/>
  <c r="C24" i="10"/>
  <c r="D23" i="10"/>
  <c r="E23" i="10"/>
  <c r="H23" i="10" s="1"/>
  <c r="H35" i="10" s="1"/>
  <c r="F23" i="10"/>
  <c r="J23" i="10" s="1"/>
  <c r="M35" i="10" s="1"/>
  <c r="J36" i="9" a="1"/>
  <c r="J37" i="9" s="1"/>
  <c r="H88" i="9"/>
  <c r="H87" i="9"/>
  <c r="H89" i="9"/>
  <c r="G41" i="9"/>
  <c r="G42" i="9" s="1"/>
  <c r="C41" i="9"/>
  <c r="C42" i="9" s="1"/>
  <c r="H41" i="9"/>
  <c r="H42" i="9" s="1"/>
  <c r="D41" i="9"/>
  <c r="D42" i="9" s="1"/>
  <c r="E41" i="9"/>
  <c r="E42" i="9" s="1"/>
  <c r="I41" i="9"/>
  <c r="I42" i="9" s="1"/>
  <c r="J41" i="9"/>
  <c r="J42" i="9" s="1"/>
  <c r="K41" i="9"/>
  <c r="K42" i="9" s="1"/>
  <c r="L41" i="9"/>
  <c r="L42" i="9" s="1"/>
  <c r="M41" i="9"/>
  <c r="M42" i="9" s="1"/>
  <c r="F41" i="9"/>
  <c r="F42" i="9" s="1"/>
  <c r="N41" i="9"/>
  <c r="N42" i="9" s="1"/>
  <c r="I73" i="8"/>
  <c r="I71" i="8"/>
  <c r="K71" i="8"/>
  <c r="J71" i="8"/>
  <c r="J74" i="8"/>
  <c r="H72" i="8"/>
  <c r="H71" i="8"/>
  <c r="H73" i="8"/>
  <c r="I61" i="9"/>
  <c r="I62" i="9"/>
  <c r="I63" i="9"/>
  <c r="G62" i="9"/>
  <c r="E168" i="7"/>
  <c r="G63" i="9"/>
  <c r="G61" i="9"/>
  <c r="F167" i="7" l="1"/>
  <c r="G167" i="7" s="1"/>
  <c r="H167" i="7" s="1"/>
  <c r="D168" i="7"/>
  <c r="F168" i="7" s="1"/>
  <c r="G168" i="7" s="1"/>
  <c r="H168" i="7" s="1"/>
  <c r="O98" i="9"/>
  <c r="J66" i="9"/>
  <c r="J67" i="9" s="1"/>
  <c r="G66" i="9"/>
  <c r="G67" i="9" s="1"/>
  <c r="K66" i="9"/>
  <c r="K67" i="9" s="1"/>
  <c r="H66" i="9"/>
  <c r="H67" i="9" s="1"/>
  <c r="E66" i="9"/>
  <c r="E67" i="9" s="1"/>
  <c r="F66" i="9"/>
  <c r="F67" i="9" s="1"/>
  <c r="C66" i="9"/>
  <c r="C67" i="9" s="1"/>
  <c r="D66" i="9"/>
  <c r="D67" i="9" s="1"/>
  <c r="M66" i="9"/>
  <c r="M67" i="9" s="1"/>
  <c r="L66" i="9"/>
  <c r="L67" i="9" s="1"/>
  <c r="I66" i="9"/>
  <c r="I67" i="9" s="1"/>
  <c r="N66" i="9"/>
  <c r="N67" i="9" s="1"/>
  <c r="K22" i="10"/>
  <c r="I23" i="10"/>
  <c r="I35" i="10" s="1"/>
  <c r="G23" i="10"/>
  <c r="G35" i="10" s="1"/>
  <c r="C25" i="10"/>
  <c r="F24" i="10"/>
  <c r="J24" i="10" s="1"/>
  <c r="M36" i="10" s="1"/>
  <c r="D24" i="10"/>
  <c r="E24" i="10"/>
  <c r="H24" i="10" s="1"/>
  <c r="I36" i="10" s="1"/>
  <c r="J36" i="9"/>
  <c r="H61" i="9" a="1"/>
  <c r="O42" i="9"/>
  <c r="G24" i="8"/>
  <c r="O67" i="9" l="1"/>
  <c r="G24" i="10"/>
  <c r="H36" i="10" s="1"/>
  <c r="I24" i="10"/>
  <c r="J36" i="10" s="1"/>
  <c r="K23" i="10"/>
  <c r="L23" i="10"/>
  <c r="C26" i="10"/>
  <c r="E25" i="10"/>
  <c r="H25" i="10" s="1"/>
  <c r="J37" i="10" s="1"/>
  <c r="F25" i="10"/>
  <c r="J25" i="10" s="1"/>
  <c r="M37" i="10" s="1"/>
  <c r="D25" i="10"/>
  <c r="H62" i="9"/>
  <c r="H61" i="9"/>
  <c r="H63" i="9"/>
  <c r="G71" i="8"/>
  <c r="L71" i="8" s="1"/>
  <c r="L24" i="10" l="1"/>
  <c r="I25" i="10"/>
  <c r="K37" i="10" s="1"/>
  <c r="G25" i="10"/>
  <c r="I37" i="10" s="1"/>
  <c r="K24" i="10"/>
  <c r="K25" i="10" s="1"/>
  <c r="C27" i="10"/>
  <c r="D26" i="10"/>
  <c r="E26" i="10"/>
  <c r="H26" i="10" s="1"/>
  <c r="K38" i="10" s="1"/>
  <c r="F26" i="10"/>
  <c r="J26" i="10" s="1"/>
  <c r="M38" i="10" s="1"/>
  <c r="J134" i="8"/>
  <c r="E137" i="8"/>
  <c r="E136" i="8"/>
  <c r="E135" i="8"/>
  <c r="E134" i="8"/>
  <c r="J135" i="8" s="1"/>
  <c r="C116" i="8"/>
  <c r="D116" i="8"/>
  <c r="E116" i="8"/>
  <c r="F116" i="8"/>
  <c r="G116" i="8"/>
  <c r="C117" i="8"/>
  <c r="D117" i="8"/>
  <c r="E117" i="8"/>
  <c r="F117" i="8"/>
  <c r="G117" i="8"/>
  <c r="C118" i="8"/>
  <c r="D118" i="8"/>
  <c r="E118" i="8"/>
  <c r="F118" i="8"/>
  <c r="G118" i="8"/>
  <c r="C119" i="8"/>
  <c r="D119" i="8"/>
  <c r="E119" i="8"/>
  <c r="F119" i="8"/>
  <c r="G119" i="8"/>
  <c r="C120" i="8"/>
  <c r="D120" i="8"/>
  <c r="E120" i="8"/>
  <c r="F120" i="8"/>
  <c r="G120" i="8"/>
  <c r="C97" i="8"/>
  <c r="D97" i="8"/>
  <c r="E97" i="8"/>
  <c r="F97" i="8"/>
  <c r="G97" i="8"/>
  <c r="C98" i="8"/>
  <c r="D98" i="8"/>
  <c r="E98" i="8"/>
  <c r="F98" i="8"/>
  <c r="G98" i="8"/>
  <c r="C99" i="8"/>
  <c r="D99" i="8"/>
  <c r="E99" i="8"/>
  <c r="F99" i="8"/>
  <c r="G99" i="8"/>
  <c r="C100" i="8"/>
  <c r="D100" i="8"/>
  <c r="E100" i="8"/>
  <c r="F100" i="8"/>
  <c r="G100" i="8"/>
  <c r="C101" i="8"/>
  <c r="D101" i="8"/>
  <c r="E101" i="8"/>
  <c r="F101" i="8"/>
  <c r="G101" i="8"/>
  <c r="C102" i="8"/>
  <c r="D102" i="8"/>
  <c r="E102" i="8"/>
  <c r="F102" i="8"/>
  <c r="G102" i="8"/>
  <c r="C103" i="8"/>
  <c r="D103" i="8"/>
  <c r="E103" i="8"/>
  <c r="F103" i="8"/>
  <c r="G103" i="8"/>
  <c r="C104" i="8"/>
  <c r="D104" i="8"/>
  <c r="E104" i="8"/>
  <c r="F104" i="8"/>
  <c r="G104" i="8"/>
  <c r="C105" i="8"/>
  <c r="D105" i="8"/>
  <c r="E105" i="8"/>
  <c r="F105" i="8"/>
  <c r="G105" i="8"/>
  <c r="C106" i="8"/>
  <c r="D106" i="8"/>
  <c r="E106" i="8"/>
  <c r="F106" i="8"/>
  <c r="G106" i="8"/>
  <c r="C107" i="8"/>
  <c r="D107" i="8"/>
  <c r="E107" i="8"/>
  <c r="F107" i="8"/>
  <c r="G107" i="8"/>
  <c r="C108" i="8"/>
  <c r="D108" i="8"/>
  <c r="E108" i="8"/>
  <c r="F108" i="8"/>
  <c r="G108" i="8"/>
  <c r="C109" i="8"/>
  <c r="D109" i="8"/>
  <c r="E109" i="8"/>
  <c r="F109" i="8"/>
  <c r="G109" i="8"/>
  <c r="C110" i="8"/>
  <c r="D110" i="8"/>
  <c r="E110" i="8"/>
  <c r="F110" i="8"/>
  <c r="G110" i="8"/>
  <c r="C111" i="8"/>
  <c r="D111" i="8"/>
  <c r="E111" i="8"/>
  <c r="F111" i="8"/>
  <c r="G111" i="8"/>
  <c r="C112" i="8"/>
  <c r="D112" i="8"/>
  <c r="E112" i="8"/>
  <c r="F112" i="8"/>
  <c r="G112" i="8"/>
  <c r="C113" i="8"/>
  <c r="D113" i="8"/>
  <c r="E113" i="8"/>
  <c r="F113" i="8"/>
  <c r="G113" i="8"/>
  <c r="C114" i="8"/>
  <c r="D114" i="8"/>
  <c r="E114" i="8"/>
  <c r="F114" i="8"/>
  <c r="G114" i="8"/>
  <c r="C115" i="8"/>
  <c r="D115" i="8"/>
  <c r="E115" i="8"/>
  <c r="F115" i="8"/>
  <c r="G115" i="8"/>
  <c r="C80" i="8"/>
  <c r="D80" i="8"/>
  <c r="E80" i="8"/>
  <c r="F80" i="8"/>
  <c r="G80" i="8"/>
  <c r="C81" i="8"/>
  <c r="D81" i="8"/>
  <c r="E81" i="8"/>
  <c r="F81" i="8"/>
  <c r="G81" i="8"/>
  <c r="C82" i="8"/>
  <c r="D82" i="8"/>
  <c r="E82" i="8"/>
  <c r="F82" i="8"/>
  <c r="G82" i="8"/>
  <c r="C83" i="8"/>
  <c r="D83" i="8"/>
  <c r="E83" i="8"/>
  <c r="F83" i="8"/>
  <c r="G83" i="8"/>
  <c r="C84" i="8"/>
  <c r="D84" i="8"/>
  <c r="E84" i="8"/>
  <c r="F84" i="8"/>
  <c r="G84" i="8"/>
  <c r="C85" i="8"/>
  <c r="D85" i="8"/>
  <c r="E85" i="8"/>
  <c r="F85" i="8"/>
  <c r="G85" i="8"/>
  <c r="C86" i="8"/>
  <c r="D86" i="8"/>
  <c r="E86" i="8"/>
  <c r="F86" i="8"/>
  <c r="G86" i="8"/>
  <c r="C87" i="8"/>
  <c r="D87" i="8"/>
  <c r="E87" i="8"/>
  <c r="F87" i="8"/>
  <c r="G87" i="8"/>
  <c r="C88" i="8"/>
  <c r="D88" i="8"/>
  <c r="E88" i="8"/>
  <c r="F88" i="8"/>
  <c r="G88" i="8"/>
  <c r="C89" i="8"/>
  <c r="D89" i="8"/>
  <c r="E89" i="8"/>
  <c r="F89" i="8"/>
  <c r="G89" i="8"/>
  <c r="C90" i="8"/>
  <c r="D90" i="8"/>
  <c r="E90" i="8"/>
  <c r="F90" i="8"/>
  <c r="G90" i="8"/>
  <c r="C91" i="8"/>
  <c r="D91" i="8"/>
  <c r="E91" i="8"/>
  <c r="F91" i="8"/>
  <c r="G91" i="8"/>
  <c r="C92" i="8"/>
  <c r="D92" i="8"/>
  <c r="E92" i="8"/>
  <c r="F92" i="8"/>
  <c r="G92" i="8"/>
  <c r="C93" i="8"/>
  <c r="D93" i="8"/>
  <c r="E93" i="8"/>
  <c r="F93" i="8"/>
  <c r="G93" i="8"/>
  <c r="C94" i="8"/>
  <c r="D94" i="8"/>
  <c r="E94" i="8"/>
  <c r="F94" i="8"/>
  <c r="G94" i="8"/>
  <c r="C95" i="8"/>
  <c r="D95" i="8"/>
  <c r="E95" i="8"/>
  <c r="F95" i="8"/>
  <c r="G95" i="8"/>
  <c r="C96" i="8"/>
  <c r="D96" i="8"/>
  <c r="E96" i="8"/>
  <c r="F96" i="8"/>
  <c r="G96" i="8"/>
  <c r="K72" i="8"/>
  <c r="K73" i="8"/>
  <c r="K74" i="8"/>
  <c r="K75" i="8"/>
  <c r="J72" i="8"/>
  <c r="J73" i="8"/>
  <c r="J75" i="8"/>
  <c r="I72" i="8"/>
  <c r="I74" i="8"/>
  <c r="I75" i="8"/>
  <c r="H74" i="8"/>
  <c r="H75" i="8"/>
  <c r="G72" i="8"/>
  <c r="G73" i="8"/>
  <c r="G74" i="8"/>
  <c r="G75" i="8"/>
  <c r="L74" i="8" l="1"/>
  <c r="H89" i="8"/>
  <c r="L73" i="8"/>
  <c r="H90" i="8"/>
  <c r="F135" i="8"/>
  <c r="L72" i="8"/>
  <c r="H102" i="8"/>
  <c r="F136" i="8"/>
  <c r="H80" i="8"/>
  <c r="H81" i="8"/>
  <c r="L75" i="8"/>
  <c r="H96" i="8"/>
  <c r="H82" i="8"/>
  <c r="F134" i="8"/>
  <c r="J136" i="8" s="1"/>
  <c r="L25" i="10"/>
  <c r="G26" i="10"/>
  <c r="J38" i="10" s="1"/>
  <c r="I26" i="10"/>
  <c r="L38" i="10" s="1"/>
  <c r="H83" i="8"/>
  <c r="H94" i="8"/>
  <c r="H86" i="8"/>
  <c r="H84" i="8"/>
  <c r="H97" i="8"/>
  <c r="H92" i="8"/>
  <c r="H95" i="8"/>
  <c r="H87" i="8"/>
  <c r="H108" i="8"/>
  <c r="H93" i="8"/>
  <c r="H85" i="8"/>
  <c r="H114" i="8"/>
  <c r="H88" i="8"/>
  <c r="H91" i="8"/>
  <c r="H120" i="8"/>
  <c r="H115" i="8"/>
  <c r="H109" i="8"/>
  <c r="H111" i="8"/>
  <c r="H105" i="8"/>
  <c r="H99" i="8"/>
  <c r="H117" i="8"/>
  <c r="H112" i="8"/>
  <c r="H106" i="8"/>
  <c r="H100" i="8"/>
  <c r="H118" i="8"/>
  <c r="H113" i="8"/>
  <c r="H107" i="8"/>
  <c r="H101" i="8"/>
  <c r="H119" i="8"/>
  <c r="H103" i="8"/>
  <c r="H110" i="8"/>
  <c r="H104" i="8"/>
  <c r="H98" i="8"/>
  <c r="H116" i="8"/>
  <c r="J27" i="8"/>
  <c r="J26" i="8"/>
  <c r="J25" i="8"/>
  <c r="J24" i="8"/>
  <c r="J23" i="8"/>
  <c r="G27" i="8"/>
  <c r="G26" i="8"/>
  <c r="G25" i="8"/>
  <c r="G23" i="8"/>
  <c r="E27" i="8"/>
  <c r="F27" i="8"/>
  <c r="F26" i="8"/>
  <c r="F25" i="8"/>
  <c r="F24" i="8"/>
  <c r="F23" i="8"/>
  <c r="E26" i="8"/>
  <c r="E25" i="8"/>
  <c r="E24" i="8"/>
  <c r="E23" i="8"/>
  <c r="D27" i="8"/>
  <c r="D26" i="8"/>
  <c r="D25" i="8"/>
  <c r="D24" i="8"/>
  <c r="D23" i="8"/>
  <c r="S32" i="10"/>
  <c r="T32" i="10"/>
  <c r="S31" i="10"/>
  <c r="S33" i="10"/>
  <c r="S38" i="10"/>
  <c r="T38" i="10"/>
  <c r="N25" i="8"/>
  <c r="T29" i="10"/>
  <c r="T34" i="10"/>
  <c r="T33" i="10"/>
  <c r="S34" i="10"/>
  <c r="S36" i="10"/>
  <c r="S30" i="10"/>
  <c r="S35" i="10"/>
  <c r="S29" i="10"/>
  <c r="T31" i="10"/>
  <c r="N23" i="8"/>
  <c r="T30" i="10"/>
  <c r="S37" i="10"/>
  <c r="T35" i="10"/>
  <c r="T37" i="10"/>
  <c r="S39" i="10"/>
  <c r="T36" i="10"/>
  <c r="T39" i="10"/>
  <c r="N26" i="8"/>
  <c r="N24" i="8"/>
  <c r="N27" i="8"/>
  <c r="G135" i="8" l="1"/>
  <c r="G134" i="8"/>
  <c r="R29" i="10" a="1"/>
  <c r="L26" i="10"/>
  <c r="K26" i="10"/>
  <c r="K27" i="10" s="1"/>
  <c r="M23" i="8" a="1"/>
  <c r="C92" i="7"/>
  <c r="D133" i="7"/>
  <c r="C133" i="7"/>
  <c r="F133" i="7" s="1"/>
  <c r="C122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I50" i="7"/>
  <c r="J50" i="7" s="1"/>
  <c r="K50" i="7" s="1"/>
  <c r="G50" i="7"/>
  <c r="F50" i="7"/>
  <c r="H50" i="7"/>
  <c r="H45" i="7"/>
  <c r="K45" i="7"/>
  <c r="F146" i="7"/>
  <c r="E68" i="1"/>
  <c r="F65" i="7"/>
  <c r="D152" i="7"/>
  <c r="G63" i="7"/>
  <c r="E80" i="7"/>
  <c r="K46" i="7"/>
  <c r="I128" i="7"/>
  <c r="F63" i="7"/>
  <c r="F80" i="7"/>
  <c r="J45" i="7"/>
  <c r="K128" i="7"/>
  <c r="J128" i="7"/>
  <c r="F148" i="7"/>
  <c r="R44" i="7"/>
  <c r="D68" i="1"/>
  <c r="F147" i="7"/>
  <c r="H128" i="7"/>
  <c r="I45" i="7"/>
  <c r="E152" i="7"/>
  <c r="F152" i="7"/>
  <c r="K129" i="7"/>
  <c r="G146" i="7"/>
  <c r="F64" i="7"/>
  <c r="R46" i="7"/>
  <c r="D80" i="7"/>
  <c r="L27" i="10" l="1"/>
  <c r="M27" i="10" s="1"/>
  <c r="M26" i="10" s="1"/>
  <c r="M25" i="10" s="1"/>
  <c r="M24" i="10" s="1"/>
  <c r="M23" i="10" s="1"/>
  <c r="M22" i="10" s="1"/>
  <c r="M21" i="10" s="1"/>
  <c r="M20" i="10" s="1"/>
  <c r="M19" i="10" s="1"/>
  <c r="M18" i="10" s="1"/>
  <c r="M17" i="10" s="1"/>
  <c r="J137" i="8"/>
  <c r="H134" i="8"/>
  <c r="J138" i="8" s="1"/>
  <c r="R29" i="10"/>
  <c r="M44" i="10" s="1"/>
  <c r="R39" i="10"/>
  <c r="M54" i="10" s="1"/>
  <c r="R38" i="10"/>
  <c r="M53" i="10" s="1"/>
  <c r="R32" i="10"/>
  <c r="M47" i="10" s="1"/>
  <c r="R35" i="10"/>
  <c r="M50" i="10" s="1"/>
  <c r="R33" i="10"/>
  <c r="M48" i="10" s="1"/>
  <c r="R30" i="10"/>
  <c r="M45" i="10" s="1"/>
  <c r="Q44" i="10" s="1" a="1"/>
  <c r="R37" i="10"/>
  <c r="M52" i="10" s="1"/>
  <c r="R31" i="10"/>
  <c r="M46" i="10" s="1"/>
  <c r="R34" i="10"/>
  <c r="M49" i="10" s="1"/>
  <c r="R36" i="10"/>
  <c r="M51" i="10" s="1"/>
  <c r="M23" i="8"/>
  <c r="M27" i="8"/>
  <c r="M26" i="8"/>
  <c r="M25" i="8"/>
  <c r="M24" i="8"/>
  <c r="C153" i="7"/>
  <c r="G152" i="7"/>
  <c r="H152" i="7" s="1"/>
  <c r="I152" i="7" s="1"/>
  <c r="F128" i="7"/>
  <c r="D129" i="7" s="1"/>
  <c r="E146" i="7"/>
  <c r="D147" i="7" s="1"/>
  <c r="G128" i="7"/>
  <c r="E129" i="7" s="1"/>
  <c r="E63" i="7"/>
  <c r="D64" i="7" s="1"/>
  <c r="F45" i="7"/>
  <c r="G45" i="7"/>
  <c r="E46" i="7" s="1"/>
  <c r="G80" i="7"/>
  <c r="C81" i="7"/>
  <c r="I133" i="7"/>
  <c r="J133" i="7" s="1"/>
  <c r="K133" i="7" s="1"/>
  <c r="D51" i="7"/>
  <c r="C51" i="7"/>
  <c r="G133" i="7"/>
  <c r="E133" i="7"/>
  <c r="H133" i="7" s="1"/>
  <c r="V10" i="7"/>
  <c r="V11" i="7"/>
  <c r="V12" i="7"/>
  <c r="V13" i="7"/>
  <c r="V14" i="7"/>
  <c r="V15" i="7"/>
  <c r="V16" i="7"/>
  <c r="V17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9" i="7"/>
  <c r="E81" i="7"/>
  <c r="R52" i="10"/>
  <c r="R49" i="10"/>
  <c r="R47" i="10"/>
  <c r="R46" i="10"/>
  <c r="H129" i="7"/>
  <c r="D81" i="7"/>
  <c r="G147" i="7"/>
  <c r="R44" i="10"/>
  <c r="R53" i="10"/>
  <c r="J129" i="7"/>
  <c r="R50" i="10"/>
  <c r="F81" i="7"/>
  <c r="R51" i="10"/>
  <c r="R45" i="10"/>
  <c r="J46" i="7"/>
  <c r="G64" i="7"/>
  <c r="R54" i="10"/>
  <c r="E153" i="7"/>
  <c r="R48" i="10"/>
  <c r="F153" i="7"/>
  <c r="I129" i="7"/>
  <c r="E32" i="8" l="1"/>
  <c r="C51" i="8"/>
  <c r="E36" i="8"/>
  <c r="E40" i="8"/>
  <c r="C46" i="8"/>
  <c r="C41" i="8"/>
  <c r="C50" i="8"/>
  <c r="C178" i="8"/>
  <c r="C156" i="8"/>
  <c r="C143" i="8"/>
  <c r="C142" i="8"/>
  <c r="C150" i="8"/>
  <c r="C149" i="8"/>
  <c r="C159" i="8"/>
  <c r="C170" i="8"/>
  <c r="C169" i="8"/>
  <c r="C153" i="8"/>
  <c r="C160" i="8"/>
  <c r="C179" i="8"/>
  <c r="C182" i="8"/>
  <c r="C171" i="8"/>
  <c r="C173" i="8"/>
  <c r="C168" i="8"/>
  <c r="C174" i="8"/>
  <c r="C155" i="8"/>
  <c r="C161" i="8"/>
  <c r="C151" i="8"/>
  <c r="C181" i="8"/>
  <c r="C166" i="8"/>
  <c r="C147" i="8"/>
  <c r="C180" i="8"/>
  <c r="C152" i="8"/>
  <c r="C157" i="8"/>
  <c r="C177" i="8"/>
  <c r="C158" i="8"/>
  <c r="C144" i="8"/>
  <c r="C145" i="8"/>
  <c r="C175" i="8"/>
  <c r="C164" i="8"/>
  <c r="C176" i="8"/>
  <c r="C146" i="8"/>
  <c r="C154" i="8"/>
  <c r="C163" i="8"/>
  <c r="C167" i="8"/>
  <c r="C162" i="8"/>
  <c r="C148" i="8"/>
  <c r="C165" i="8"/>
  <c r="C172" i="8"/>
  <c r="Q47" i="10"/>
  <c r="Q54" i="10"/>
  <c r="Q48" i="10"/>
  <c r="Q44" i="10"/>
  <c r="Q49" i="10"/>
  <c r="Q51" i="10"/>
  <c r="Q50" i="10"/>
  <c r="Q45" i="10"/>
  <c r="Q46" i="10"/>
  <c r="Q53" i="10"/>
  <c r="Q52" i="10"/>
  <c r="C54" i="8"/>
  <c r="C43" i="8"/>
  <c r="C55" i="8"/>
  <c r="C56" i="8"/>
  <c r="C36" i="8"/>
  <c r="C40" i="8"/>
  <c r="C44" i="8"/>
  <c r="C35" i="8"/>
  <c r="E43" i="8"/>
  <c r="E44" i="8"/>
  <c r="E37" i="8"/>
  <c r="E35" i="8"/>
  <c r="E38" i="8"/>
  <c r="E39" i="8"/>
  <c r="E42" i="8"/>
  <c r="E41" i="8"/>
  <c r="C52" i="8"/>
  <c r="C38" i="8"/>
  <c r="C47" i="8"/>
  <c r="C53" i="8"/>
  <c r="C48" i="8"/>
  <c r="C49" i="8"/>
  <c r="C39" i="8"/>
  <c r="C57" i="8"/>
  <c r="C42" i="8"/>
  <c r="C37" i="8"/>
  <c r="C45" i="8"/>
  <c r="E70" i="7"/>
  <c r="E147" i="7"/>
  <c r="L128" i="7"/>
  <c r="M128" i="7" s="1"/>
  <c r="N128" i="7" s="1"/>
  <c r="H146" i="7"/>
  <c r="I146" i="7" s="1"/>
  <c r="J146" i="7" s="1"/>
  <c r="G129" i="7"/>
  <c r="H63" i="7"/>
  <c r="I63" i="7" s="1"/>
  <c r="J63" i="7" s="1"/>
  <c r="E64" i="7"/>
  <c r="G46" i="7"/>
  <c r="H80" i="7"/>
  <c r="I80" i="7" s="1"/>
  <c r="D46" i="7"/>
  <c r="L45" i="7"/>
  <c r="M45" i="7" s="1"/>
  <c r="N45" i="7" s="1"/>
  <c r="C82" i="7"/>
  <c r="G81" i="7"/>
  <c r="D134" i="7"/>
  <c r="G134" i="7" s="1"/>
  <c r="C134" i="7"/>
  <c r="F51" i="7"/>
  <c r="E51" i="7"/>
  <c r="H51" i="7" s="1"/>
  <c r="G51" i="7"/>
  <c r="I51" i="7"/>
  <c r="J51" i="7" s="1"/>
  <c r="K51" i="7" s="1"/>
  <c r="C112" i="1"/>
  <c r="J117" i="1"/>
  <c r="D153" i="7"/>
  <c r="F82" i="7"/>
  <c r="I46" i="7"/>
  <c r="E82" i="7"/>
  <c r="H46" i="7"/>
  <c r="D82" i="7"/>
  <c r="C71" i="7" l="1"/>
  <c r="G70" i="7"/>
  <c r="C113" i="1"/>
  <c r="D112" i="1"/>
  <c r="E112" i="1" s="1"/>
  <c r="F112" i="1" s="1"/>
  <c r="G112" i="1" s="1"/>
  <c r="G58" i="10"/>
  <c r="J58" i="10"/>
  <c r="F58" i="10"/>
  <c r="C58" i="10"/>
  <c r="D58" i="10"/>
  <c r="K58" i="10"/>
  <c r="L58" i="10"/>
  <c r="H58" i="10"/>
  <c r="E58" i="10"/>
  <c r="I58" i="10"/>
  <c r="M58" i="10"/>
  <c r="H70" i="7"/>
  <c r="I70" i="7" s="1"/>
  <c r="C154" i="7"/>
  <c r="G153" i="7"/>
  <c r="H153" i="7" s="1"/>
  <c r="I153" i="7" s="1"/>
  <c r="H147" i="7"/>
  <c r="I147" i="7" s="1"/>
  <c r="J147" i="7" s="1"/>
  <c r="D148" i="7"/>
  <c r="F129" i="7"/>
  <c r="L129" i="7" s="1"/>
  <c r="M129" i="7" s="1"/>
  <c r="N129" i="7" s="1"/>
  <c r="F46" i="7"/>
  <c r="L46" i="7" s="1"/>
  <c r="M46" i="7" s="1"/>
  <c r="N46" i="7" s="1"/>
  <c r="H81" i="7"/>
  <c r="I81" i="7" s="1"/>
  <c r="H64" i="7"/>
  <c r="I64" i="7" s="1"/>
  <c r="J64" i="7" s="1"/>
  <c r="D65" i="7"/>
  <c r="I134" i="7"/>
  <c r="J134" i="7" s="1"/>
  <c r="K134" i="7" s="1"/>
  <c r="G82" i="7"/>
  <c r="C52" i="7"/>
  <c r="F52" i="7" s="1"/>
  <c r="D52" i="7"/>
  <c r="E134" i="7"/>
  <c r="H134" i="7" s="1"/>
  <c r="D135" i="7" s="1"/>
  <c r="F134" i="7"/>
  <c r="D113" i="1"/>
  <c r="C114" i="1"/>
  <c r="C76" i="1"/>
  <c r="J80" i="1"/>
  <c r="F71" i="7"/>
  <c r="E154" i="7"/>
  <c r="F154" i="7"/>
  <c r="G65" i="7"/>
  <c r="G148" i="7"/>
  <c r="D154" i="7"/>
  <c r="E71" i="7" l="1"/>
  <c r="C72" i="7" s="1"/>
  <c r="G71" i="7"/>
  <c r="H71" i="7" s="1"/>
  <c r="I71" i="7" s="1"/>
  <c r="E148" i="7"/>
  <c r="H148" i="7" s="1"/>
  <c r="I148" i="7" s="1"/>
  <c r="J148" i="7" s="1"/>
  <c r="G154" i="7"/>
  <c r="H154" i="7" s="1"/>
  <c r="I154" i="7" s="1"/>
  <c r="E65" i="7"/>
  <c r="H65" i="7" s="1"/>
  <c r="I65" i="7" s="1"/>
  <c r="J65" i="7" s="1"/>
  <c r="H82" i="7"/>
  <c r="I82" i="7" s="1"/>
  <c r="E52" i="7"/>
  <c r="H52" i="7" s="1"/>
  <c r="D53" i="7" s="1"/>
  <c r="C135" i="7"/>
  <c r="F135" i="7" s="1"/>
  <c r="G135" i="7"/>
  <c r="G52" i="7"/>
  <c r="I52" i="7"/>
  <c r="C115" i="1"/>
  <c r="D114" i="1"/>
  <c r="C77" i="1"/>
  <c r="C78" i="1" s="1"/>
  <c r="G113" i="1"/>
  <c r="E113" i="1"/>
  <c r="F113" i="1"/>
  <c r="D76" i="1"/>
  <c r="G76" i="1" s="1"/>
  <c r="C42" i="1"/>
  <c r="D42" i="1" s="1"/>
  <c r="J49" i="1"/>
  <c r="F72" i="7"/>
  <c r="E72" i="7" l="1"/>
  <c r="C73" i="7" s="1"/>
  <c r="D77" i="1"/>
  <c r="G72" i="7"/>
  <c r="H72" i="7" s="1"/>
  <c r="I72" i="7" s="1"/>
  <c r="E135" i="7"/>
  <c r="H135" i="7" s="1"/>
  <c r="D136" i="7" s="1"/>
  <c r="I135" i="7"/>
  <c r="J135" i="7" s="1"/>
  <c r="K135" i="7" s="1"/>
  <c r="C53" i="7"/>
  <c r="F53" i="7" s="1"/>
  <c r="G53" i="7"/>
  <c r="J52" i="7"/>
  <c r="K52" i="7" s="1"/>
  <c r="F76" i="1"/>
  <c r="E76" i="1"/>
  <c r="C116" i="1"/>
  <c r="D115" i="1"/>
  <c r="E114" i="1"/>
  <c r="F114" i="1"/>
  <c r="G114" i="1"/>
  <c r="E42" i="1"/>
  <c r="F42" i="1"/>
  <c r="G42" i="1" s="1"/>
  <c r="C43" i="1"/>
  <c r="D43" i="1" s="1"/>
  <c r="E43" i="1" s="1"/>
  <c r="G77" i="1"/>
  <c r="E77" i="1"/>
  <c r="F77" i="1"/>
  <c r="C79" i="1"/>
  <c r="D78" i="1"/>
  <c r="G78" i="1" s="1"/>
  <c r="F73" i="7"/>
  <c r="E73" i="7" l="1"/>
  <c r="C74" i="7" s="1"/>
  <c r="I53" i="7"/>
  <c r="J53" i="7" s="1"/>
  <c r="K53" i="7" s="1"/>
  <c r="C136" i="7"/>
  <c r="I136" i="7" s="1"/>
  <c r="J136" i="7" s="1"/>
  <c r="K136" i="7" s="1"/>
  <c r="E53" i="7"/>
  <c r="H53" i="7" s="1"/>
  <c r="D54" i="7" s="1"/>
  <c r="G54" i="7" s="1"/>
  <c r="G136" i="7"/>
  <c r="F136" i="7"/>
  <c r="E136" i="7"/>
  <c r="H136" i="7" s="1"/>
  <c r="F115" i="1"/>
  <c r="G115" i="1"/>
  <c r="E115" i="1"/>
  <c r="D116" i="1"/>
  <c r="C117" i="1"/>
  <c r="D79" i="1"/>
  <c r="C80" i="1"/>
  <c r="G43" i="1"/>
  <c r="F43" i="1"/>
  <c r="E78" i="1"/>
  <c r="F78" i="1"/>
  <c r="C44" i="1"/>
  <c r="C45" i="1" s="1"/>
  <c r="F74" i="7"/>
  <c r="G73" i="7" l="1"/>
  <c r="H73" i="7" s="1"/>
  <c r="I73" i="7" s="1"/>
  <c r="E74" i="7"/>
  <c r="C75" i="7" s="1"/>
  <c r="C54" i="7"/>
  <c r="F54" i="7" s="1"/>
  <c r="D44" i="1"/>
  <c r="E44" i="1" s="1"/>
  <c r="E54" i="7"/>
  <c r="H54" i="7" s="1"/>
  <c r="D55" i="7" s="1"/>
  <c r="I54" i="7"/>
  <c r="J54" i="7" s="1"/>
  <c r="K54" i="7" s="1"/>
  <c r="D137" i="7"/>
  <c r="C137" i="7"/>
  <c r="G116" i="1"/>
  <c r="E116" i="1"/>
  <c r="F116" i="1"/>
  <c r="C118" i="1"/>
  <c r="D117" i="1"/>
  <c r="D80" i="1"/>
  <c r="C81" i="1"/>
  <c r="E79" i="1"/>
  <c r="F79" i="1"/>
  <c r="G79" i="1"/>
  <c r="D45" i="1"/>
  <c r="C46" i="1"/>
  <c r="F75" i="7"/>
  <c r="G44" i="1" l="1"/>
  <c r="E75" i="7"/>
  <c r="C76" i="7" s="1"/>
  <c r="G74" i="7"/>
  <c r="H74" i="7" s="1"/>
  <c r="I74" i="7" s="1"/>
  <c r="C55" i="7"/>
  <c r="E55" i="7" s="1"/>
  <c r="H55" i="7" s="1"/>
  <c r="F44" i="1"/>
  <c r="G75" i="7"/>
  <c r="H75" i="7" s="1"/>
  <c r="I75" i="7" s="1"/>
  <c r="F55" i="7"/>
  <c r="E137" i="7"/>
  <c r="H137" i="7" s="1"/>
  <c r="F137" i="7"/>
  <c r="G55" i="7"/>
  <c r="G137" i="7"/>
  <c r="I137" i="7"/>
  <c r="J137" i="7" s="1"/>
  <c r="K137" i="7" s="1"/>
  <c r="E117" i="1"/>
  <c r="F117" i="1"/>
  <c r="G117" i="1"/>
  <c r="C119" i="1"/>
  <c r="D118" i="1"/>
  <c r="C82" i="1"/>
  <c r="D81" i="1"/>
  <c r="E80" i="1"/>
  <c r="F80" i="1"/>
  <c r="G80" i="1"/>
  <c r="C47" i="1"/>
  <c r="D46" i="1"/>
  <c r="F45" i="1"/>
  <c r="E45" i="1"/>
  <c r="G45" i="1"/>
  <c r="J13" i="1"/>
  <c r="C8" i="1"/>
  <c r="D8" i="1" s="1"/>
  <c r="F76" i="7"/>
  <c r="I55" i="7" l="1"/>
  <c r="J55" i="7" s="1"/>
  <c r="K55" i="7" s="1"/>
  <c r="E76" i="7"/>
  <c r="G76" i="7" s="1"/>
  <c r="H76" i="7" s="1"/>
  <c r="I76" i="7" s="1"/>
  <c r="C56" i="7"/>
  <c r="F56" i="7" s="1"/>
  <c r="D138" i="7"/>
  <c r="D56" i="7"/>
  <c r="G56" i="7" s="1"/>
  <c r="C138" i="7"/>
  <c r="D119" i="1"/>
  <c r="C120" i="1"/>
  <c r="E118" i="1"/>
  <c r="G118" i="1"/>
  <c r="F118" i="1"/>
  <c r="E81" i="1"/>
  <c r="G81" i="1"/>
  <c r="F81" i="1"/>
  <c r="C83" i="1"/>
  <c r="D82" i="1"/>
  <c r="E8" i="1"/>
  <c r="F8" i="1" s="1"/>
  <c r="G8" i="1"/>
  <c r="G46" i="1"/>
  <c r="E46" i="1"/>
  <c r="F46" i="1"/>
  <c r="D47" i="1"/>
  <c r="C48" i="1"/>
  <c r="C9" i="1"/>
  <c r="E56" i="7" l="1"/>
  <c r="H56" i="7" s="1"/>
  <c r="D57" i="7" s="1"/>
  <c r="I138" i="7"/>
  <c r="J138" i="7" s="1"/>
  <c r="K138" i="7" s="1"/>
  <c r="I56" i="7"/>
  <c r="J56" i="7" s="1"/>
  <c r="K56" i="7" s="1"/>
  <c r="G138" i="7"/>
  <c r="C57" i="7"/>
  <c r="F57" i="7" s="1"/>
  <c r="E138" i="7"/>
  <c r="H138" i="7" s="1"/>
  <c r="F138" i="7"/>
  <c r="D120" i="1"/>
  <c r="C121" i="1"/>
  <c r="F119" i="1"/>
  <c r="E119" i="1"/>
  <c r="G119" i="1"/>
  <c r="E82" i="1"/>
  <c r="F82" i="1"/>
  <c r="G82" i="1"/>
  <c r="C84" i="1"/>
  <c r="D83" i="1"/>
  <c r="E47" i="1"/>
  <c r="F47" i="1"/>
  <c r="G47" i="1"/>
  <c r="C49" i="1"/>
  <c r="D48" i="1"/>
  <c r="C10" i="1"/>
  <c r="D9" i="1"/>
  <c r="E57" i="7" l="1"/>
  <c r="H57" i="7" s="1"/>
  <c r="D58" i="7" s="1"/>
  <c r="G58" i="7" s="1"/>
  <c r="C139" i="7"/>
  <c r="F139" i="7" s="1"/>
  <c r="D139" i="7"/>
  <c r="I139" i="7" s="1"/>
  <c r="J139" i="7" s="1"/>
  <c r="K139" i="7" s="1"/>
  <c r="G57" i="7"/>
  <c r="C58" i="7" s="1"/>
  <c r="I57" i="7"/>
  <c r="J57" i="7" s="1"/>
  <c r="K57" i="7" s="1"/>
  <c r="C122" i="1"/>
  <c r="D121" i="1"/>
  <c r="G120" i="1"/>
  <c r="E120" i="1"/>
  <c r="F120" i="1"/>
  <c r="D84" i="1"/>
  <c r="C85" i="1"/>
  <c r="F83" i="1"/>
  <c r="G83" i="1"/>
  <c r="E83" i="1"/>
  <c r="F48" i="1"/>
  <c r="G48" i="1"/>
  <c r="E48" i="1"/>
  <c r="D49" i="1"/>
  <c r="C50" i="1"/>
  <c r="E9" i="1"/>
  <c r="G9" i="1"/>
  <c r="C11" i="1"/>
  <c r="D10" i="1"/>
  <c r="I58" i="7" l="1"/>
  <c r="J58" i="7" s="1"/>
  <c r="K58" i="7" s="1"/>
  <c r="G139" i="7"/>
  <c r="E139" i="7"/>
  <c r="H139" i="7" s="1"/>
  <c r="C140" i="7" s="1"/>
  <c r="F140" i="7" s="1"/>
  <c r="F58" i="7"/>
  <c r="E58" i="7"/>
  <c r="H58" i="7" s="1"/>
  <c r="C59" i="7" s="1"/>
  <c r="E121" i="1"/>
  <c r="F121" i="1"/>
  <c r="G121" i="1"/>
  <c r="C123" i="1"/>
  <c r="D122" i="1"/>
  <c r="C86" i="1"/>
  <c r="D85" i="1"/>
  <c r="G84" i="1"/>
  <c r="E84" i="1"/>
  <c r="F84" i="1"/>
  <c r="D50" i="1"/>
  <c r="C51" i="1"/>
  <c r="F49" i="1"/>
  <c r="G49" i="1"/>
  <c r="E49" i="1"/>
  <c r="E10" i="1"/>
  <c r="F10" i="1" s="1"/>
  <c r="G10" i="1"/>
  <c r="C12" i="1"/>
  <c r="D11" i="1"/>
  <c r="F9" i="1"/>
  <c r="D140" i="7" l="1"/>
  <c r="G140" i="7" s="1"/>
  <c r="F59" i="7"/>
  <c r="I140" i="7"/>
  <c r="J140" i="7" s="1"/>
  <c r="K140" i="7" s="1"/>
  <c r="D59" i="7"/>
  <c r="E140" i="7"/>
  <c r="H140" i="7" s="1"/>
  <c r="C141" i="7" s="1"/>
  <c r="F141" i="7" s="1"/>
  <c r="D123" i="1"/>
  <c r="C124" i="1"/>
  <c r="F122" i="1"/>
  <c r="E122" i="1"/>
  <c r="G122" i="1"/>
  <c r="E85" i="1"/>
  <c r="F85" i="1"/>
  <c r="G85" i="1"/>
  <c r="C87" i="1"/>
  <c r="D86" i="1"/>
  <c r="C52" i="1"/>
  <c r="D51" i="1"/>
  <c r="F50" i="1"/>
  <c r="E50" i="1"/>
  <c r="G50" i="1"/>
  <c r="G11" i="1"/>
  <c r="E11" i="1"/>
  <c r="C13" i="1"/>
  <c r="D12" i="1"/>
  <c r="D141" i="7" l="1"/>
  <c r="G59" i="7"/>
  <c r="I59" i="7"/>
  <c r="J59" i="7" s="1"/>
  <c r="E141" i="7"/>
  <c r="H141" i="7" s="1"/>
  <c r="C142" i="7" s="1"/>
  <c r="G141" i="7"/>
  <c r="I141" i="7"/>
  <c r="J141" i="7" s="1"/>
  <c r="K141" i="7" s="1"/>
  <c r="E59" i="7"/>
  <c r="H59" i="7" s="1"/>
  <c r="C125" i="1"/>
  <c r="D124" i="1"/>
  <c r="F123" i="1"/>
  <c r="G123" i="1"/>
  <c r="E123" i="1"/>
  <c r="F86" i="1"/>
  <c r="G86" i="1"/>
  <c r="E86" i="1"/>
  <c r="D87" i="1"/>
  <c r="C88" i="1"/>
  <c r="E51" i="1"/>
  <c r="F51" i="1"/>
  <c r="G51" i="1"/>
  <c r="C53" i="1"/>
  <c r="D52" i="1"/>
  <c r="G12" i="1"/>
  <c r="E12" i="1"/>
  <c r="C14" i="1"/>
  <c r="D13" i="1"/>
  <c r="F11" i="1"/>
  <c r="K59" i="7" l="1"/>
  <c r="F142" i="7"/>
  <c r="D142" i="7"/>
  <c r="E124" i="1"/>
  <c r="F124" i="1"/>
  <c r="G124" i="1"/>
  <c r="C126" i="1"/>
  <c r="D125" i="1"/>
  <c r="C89" i="1"/>
  <c r="D88" i="1"/>
  <c r="F87" i="1"/>
  <c r="G87" i="1"/>
  <c r="E87" i="1"/>
  <c r="F12" i="1"/>
  <c r="F52" i="1"/>
  <c r="E52" i="1"/>
  <c r="G52" i="1"/>
  <c r="C54" i="1"/>
  <c r="D53" i="1"/>
  <c r="G13" i="1"/>
  <c r="E13" i="1"/>
  <c r="C15" i="1"/>
  <c r="D14" i="1"/>
  <c r="I142" i="7" l="1"/>
  <c r="J142" i="7" s="1"/>
  <c r="G142" i="7"/>
  <c r="E142" i="7"/>
  <c r="H142" i="7" s="1"/>
  <c r="F125" i="1"/>
  <c r="E125" i="1"/>
  <c r="G125" i="1"/>
  <c r="C127" i="1"/>
  <c r="D126" i="1"/>
  <c r="D89" i="1"/>
  <c r="C90" i="1"/>
  <c r="E88" i="1"/>
  <c r="F88" i="1"/>
  <c r="G88" i="1"/>
  <c r="G53" i="1"/>
  <c r="E53" i="1"/>
  <c r="F53" i="1"/>
  <c r="C55" i="1"/>
  <c r="D54" i="1"/>
  <c r="G14" i="1"/>
  <c r="E14" i="1"/>
  <c r="F14" i="1" s="1"/>
  <c r="C16" i="1"/>
  <c r="D15" i="1"/>
  <c r="F13" i="1"/>
  <c r="K142" i="7" l="1"/>
  <c r="G126" i="1"/>
  <c r="E126" i="1"/>
  <c r="F126" i="1"/>
  <c r="C128" i="1"/>
  <c r="D127" i="1"/>
  <c r="D90" i="1"/>
  <c r="C91" i="1"/>
  <c r="F89" i="1"/>
  <c r="E89" i="1"/>
  <c r="G89" i="1"/>
  <c r="C56" i="1"/>
  <c r="D55" i="1"/>
  <c r="E54" i="1"/>
  <c r="F54" i="1"/>
  <c r="G54" i="1"/>
  <c r="G15" i="1"/>
  <c r="E15" i="1"/>
  <c r="C17" i="1"/>
  <c r="D16" i="1"/>
  <c r="E127" i="1" l="1"/>
  <c r="F127" i="1"/>
  <c r="G127" i="1"/>
  <c r="D128" i="1"/>
  <c r="C129" i="1"/>
  <c r="C92" i="1"/>
  <c r="D91" i="1"/>
  <c r="G90" i="1"/>
  <c r="E90" i="1"/>
  <c r="F90" i="1"/>
  <c r="E55" i="1"/>
  <c r="G55" i="1"/>
  <c r="F55" i="1"/>
  <c r="D56" i="1"/>
  <c r="C57" i="1"/>
  <c r="E16" i="1"/>
  <c r="F16" i="1" s="1"/>
  <c r="G16" i="1"/>
  <c r="C18" i="1"/>
  <c r="D17" i="1"/>
  <c r="F15" i="1"/>
  <c r="E128" i="1" l="1"/>
  <c r="F128" i="1"/>
  <c r="G128" i="1"/>
  <c r="D129" i="1"/>
  <c r="C130" i="1"/>
  <c r="E91" i="1"/>
  <c r="F91" i="1"/>
  <c r="G91" i="1"/>
  <c r="D92" i="1"/>
  <c r="C93" i="1"/>
  <c r="D57" i="1"/>
  <c r="C58" i="1"/>
  <c r="E56" i="1"/>
  <c r="G56" i="1"/>
  <c r="F56" i="1"/>
  <c r="E17" i="1"/>
  <c r="C21" i="1" s="1"/>
  <c r="G17" i="1"/>
  <c r="D18" i="1"/>
  <c r="C131" i="1" l="1"/>
  <c r="D130" i="1"/>
  <c r="E129" i="1"/>
  <c r="F129" i="1"/>
  <c r="G129" i="1"/>
  <c r="D93" i="1"/>
  <c r="C94" i="1"/>
  <c r="E92" i="1"/>
  <c r="F92" i="1"/>
  <c r="G92" i="1"/>
  <c r="D58" i="1"/>
  <c r="C59" i="1"/>
  <c r="E57" i="1"/>
  <c r="G57" i="1"/>
  <c r="F57" i="1"/>
  <c r="G18" i="1"/>
  <c r="E21" i="1" s="1"/>
  <c r="E18" i="1"/>
  <c r="F17" i="1"/>
  <c r="F18" i="1" l="1"/>
  <c r="D21" i="1" s="1"/>
  <c r="C22" i="1"/>
  <c r="E130" i="1"/>
  <c r="F130" i="1"/>
  <c r="G130" i="1"/>
  <c r="C132" i="1"/>
  <c r="D132" i="1" s="1"/>
  <c r="D131" i="1"/>
  <c r="D94" i="1"/>
  <c r="C95" i="1"/>
  <c r="F93" i="1"/>
  <c r="G93" i="1"/>
  <c r="E93" i="1"/>
  <c r="D59" i="1"/>
  <c r="C60" i="1"/>
  <c r="F58" i="1"/>
  <c r="G58" i="1"/>
  <c r="E58" i="1"/>
  <c r="F131" i="1" l="1"/>
  <c r="G131" i="1"/>
  <c r="E131" i="1"/>
  <c r="C135" i="1" s="1"/>
  <c r="G132" i="1"/>
  <c r="E135" i="1" s="1"/>
  <c r="E132" i="1"/>
  <c r="C136" i="1" s="1"/>
  <c r="F132" i="1"/>
  <c r="D135" i="1" s="1"/>
  <c r="C96" i="1"/>
  <c r="D96" i="1" s="1"/>
  <c r="D95" i="1"/>
  <c r="E94" i="1"/>
  <c r="F94" i="1"/>
  <c r="G94" i="1"/>
  <c r="C61" i="1"/>
  <c r="D60" i="1"/>
  <c r="G59" i="1"/>
  <c r="E59" i="1"/>
  <c r="F59" i="1"/>
  <c r="F95" i="1" l="1"/>
  <c r="G95" i="1"/>
  <c r="E95" i="1"/>
  <c r="C99" i="1" s="1"/>
  <c r="G96" i="1"/>
  <c r="E96" i="1"/>
  <c r="F96" i="1"/>
  <c r="D99" i="1" s="1"/>
  <c r="F60" i="1"/>
  <c r="G60" i="1"/>
  <c r="E60" i="1"/>
  <c r="D61" i="1"/>
  <c r="C62" i="1"/>
  <c r="D62" i="1" s="1"/>
  <c r="C100" i="1" l="1"/>
  <c r="E99" i="1"/>
  <c r="F61" i="1"/>
  <c r="G61" i="1"/>
  <c r="E61" i="1"/>
  <c r="C65" i="1" s="1"/>
  <c r="F62" i="1"/>
  <c r="E62" i="1"/>
  <c r="C66" i="1" s="1"/>
  <c r="G62" i="1"/>
  <c r="D65" i="1" l="1"/>
  <c r="E65" i="1"/>
</calcChain>
</file>

<file path=xl/sharedStrings.xml><?xml version="1.0" encoding="utf-8"?>
<sst xmlns="http://schemas.openxmlformats.org/spreadsheetml/2006/main" count="381" uniqueCount="168">
  <si>
    <t>Вычислить определенный интеграл</t>
  </si>
  <si>
    <t>i</t>
  </si>
  <si>
    <t>x</t>
  </si>
  <si>
    <t>f(x)</t>
  </si>
  <si>
    <t>Sпрям</t>
  </si>
  <si>
    <t>Sтрап</t>
  </si>
  <si>
    <t>Sсимп</t>
  </si>
  <si>
    <t>a =</t>
  </si>
  <si>
    <t xml:space="preserve">b = </t>
  </si>
  <si>
    <t xml:space="preserve">n = </t>
  </si>
  <si>
    <t>h =</t>
  </si>
  <si>
    <t>SпрямЛ</t>
  </si>
  <si>
    <t>SпрямП</t>
  </si>
  <si>
    <t xml:space="preserve">a = </t>
  </si>
  <si>
    <t>n =</t>
  </si>
  <si>
    <t xml:space="preserve">h = </t>
  </si>
  <si>
    <t>f1(x)=x+2</t>
  </si>
  <si>
    <r>
      <t>f2(x)=3</t>
    </r>
    <r>
      <rPr>
        <vertAlign val="superscript"/>
        <sz val="14"/>
        <color theme="1"/>
        <rFont val="Calibri"/>
        <family val="2"/>
        <charset val="204"/>
        <scheme val="minor"/>
      </rPr>
      <t>x</t>
    </r>
  </si>
  <si>
    <t>eps =</t>
  </si>
  <si>
    <t>m =</t>
  </si>
  <si>
    <t>Дихотамия</t>
  </si>
  <si>
    <t>Хорды</t>
  </si>
  <si>
    <t>Итерационный</t>
  </si>
  <si>
    <t>a</t>
  </si>
  <si>
    <t>b</t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</si>
  <si>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ср</t>
    </r>
  </si>
  <si>
    <t>f(a)</t>
  </si>
  <si>
    <t>f(b)</t>
  </si>
  <si>
    <r>
      <t>f(x</t>
    </r>
    <r>
      <rPr>
        <vertAlign val="subscript"/>
        <sz val="14"/>
        <color theme="1"/>
        <rFont val="Calibri"/>
        <family val="2"/>
        <charset val="204"/>
        <scheme val="minor"/>
      </rPr>
      <t>ср</t>
    </r>
    <r>
      <rPr>
        <sz val="14"/>
        <color theme="1"/>
        <rFont val="Calibri"/>
        <family val="2"/>
        <charset val="204"/>
        <scheme val="minor"/>
      </rPr>
      <t>)</t>
    </r>
  </si>
  <si>
    <t>d=abs(b-a)</t>
  </si>
  <si>
    <t>Условие</t>
  </si>
  <si>
    <t>Результат</t>
  </si>
  <si>
    <r>
      <t>b</t>
    </r>
    <r>
      <rPr>
        <vertAlign val="subscript"/>
        <sz val="14"/>
        <color theme="1"/>
        <rFont val="Calibri"/>
        <family val="2"/>
        <charset val="204"/>
        <scheme val="minor"/>
      </rPr>
      <t>нов</t>
    </r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</si>
  <si>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n</t>
    </r>
  </si>
  <si>
    <t>fi(x)</t>
  </si>
  <si>
    <t>Метод Ньютона</t>
  </si>
  <si>
    <t>Комбинированный</t>
  </si>
  <si>
    <r>
      <t>а</t>
    </r>
    <r>
      <rPr>
        <vertAlign val="subscript"/>
        <sz val="14"/>
        <color theme="1"/>
        <rFont val="Calibri"/>
        <family val="2"/>
        <charset val="204"/>
        <scheme val="minor"/>
      </rPr>
      <t>нов</t>
    </r>
  </si>
  <si>
    <t>fp(a)</t>
  </si>
  <si>
    <t>a0</t>
  </si>
  <si>
    <t>f(a0)</t>
  </si>
  <si>
    <t>Дихотомия</t>
  </si>
  <si>
    <t>Хорда</t>
  </si>
  <si>
    <t>Ньютон</t>
  </si>
  <si>
    <t>Комбинированнны</t>
  </si>
  <si>
    <t>y</t>
  </si>
  <si>
    <r>
      <t>c</t>
    </r>
    <r>
      <rPr>
        <vertAlign val="subscript"/>
        <sz val="14"/>
        <color theme="1"/>
        <rFont val="Calibri"/>
        <family val="2"/>
        <charset val="204"/>
        <scheme val="minor"/>
      </rPr>
      <t>0</t>
    </r>
  </si>
  <si>
    <r>
      <t>c</t>
    </r>
    <r>
      <rPr>
        <vertAlign val="subscript"/>
        <sz val="14"/>
        <color theme="1"/>
        <rFont val="Calibri"/>
        <family val="2"/>
        <charset val="204"/>
        <scheme val="minor"/>
      </rPr>
      <t>1</t>
    </r>
  </si>
  <si>
    <t>A =</t>
  </si>
  <si>
    <t>y =</t>
  </si>
  <si>
    <t>c =</t>
  </si>
  <si>
    <r>
      <t>c</t>
    </r>
    <r>
      <rPr>
        <vertAlign val="subscript"/>
        <sz val="14"/>
        <color theme="1"/>
        <rFont val="Calibri"/>
        <family val="2"/>
        <charset val="204"/>
        <scheme val="minor"/>
      </rPr>
      <t>2</t>
    </r>
  </si>
  <si>
    <r>
      <t>c</t>
    </r>
    <r>
      <rPr>
        <vertAlign val="subscript"/>
        <sz val="14"/>
        <color theme="1"/>
        <rFont val="Calibri"/>
        <family val="2"/>
        <charset val="204"/>
        <scheme val="minor"/>
      </rPr>
      <t>3</t>
    </r>
  </si>
  <si>
    <r>
      <t>c</t>
    </r>
    <r>
      <rPr>
        <vertAlign val="subscript"/>
        <sz val="14"/>
        <color theme="1"/>
        <rFont val="Calibri"/>
        <family val="2"/>
        <charset val="204"/>
        <scheme val="minor"/>
      </rPr>
      <t>4</t>
    </r>
  </si>
  <si>
    <t>Excel</t>
  </si>
  <si>
    <t xml:space="preserve">при x = </t>
  </si>
  <si>
    <t>=&gt;</t>
  </si>
  <si>
    <t>Полином Лагранжа</t>
  </si>
  <si>
    <t xml:space="preserve"> </t>
  </si>
  <si>
    <t>x \ П</t>
  </si>
  <si>
    <r>
      <t>П</t>
    </r>
    <r>
      <rPr>
        <vertAlign val="subscript"/>
        <sz val="14"/>
        <color theme="1"/>
        <rFont val="Calibri"/>
        <family val="2"/>
        <charset val="204"/>
        <scheme val="minor"/>
      </rPr>
      <t>0</t>
    </r>
  </si>
  <si>
    <r>
      <t>П</t>
    </r>
    <r>
      <rPr>
        <vertAlign val="subscript"/>
        <sz val="14"/>
        <color theme="1"/>
        <rFont val="Calibri"/>
        <family val="2"/>
        <charset val="204"/>
        <scheme val="minor"/>
      </rPr>
      <t>1</t>
    </r>
  </si>
  <si>
    <r>
      <t>П</t>
    </r>
    <r>
      <rPr>
        <vertAlign val="subscript"/>
        <sz val="14"/>
        <color theme="1"/>
        <rFont val="Calibri"/>
        <family val="2"/>
        <charset val="204"/>
        <scheme val="minor"/>
      </rPr>
      <t>2</t>
    </r>
  </si>
  <si>
    <r>
      <t>П</t>
    </r>
    <r>
      <rPr>
        <vertAlign val="subscript"/>
        <sz val="14"/>
        <color theme="1"/>
        <rFont val="Calibri"/>
        <family val="2"/>
        <charset val="204"/>
        <scheme val="minor"/>
      </rPr>
      <t>3</t>
    </r>
  </si>
  <si>
    <r>
      <t>П</t>
    </r>
    <r>
      <rPr>
        <vertAlign val="subscript"/>
        <sz val="14"/>
        <color theme="1"/>
        <rFont val="Calibri"/>
        <family val="2"/>
        <charset val="204"/>
        <scheme val="minor"/>
      </rPr>
      <t>4</t>
    </r>
  </si>
  <si>
    <t>L(x)</t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</si>
  <si>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0</t>
    </r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</si>
  <si>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1</t>
    </r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</si>
  <si>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2</t>
    </r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</si>
  <si>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3</t>
    </r>
  </si>
  <si>
    <r>
      <t>x</t>
    </r>
    <r>
      <rPr>
        <vertAlign val="subscript"/>
        <sz val="14"/>
        <color theme="1"/>
        <rFont val="Calibri"/>
        <family val="2"/>
        <charset val="204"/>
        <scheme val="minor"/>
      </rPr>
      <t>4</t>
    </r>
  </si>
  <si>
    <t>Полином Ньютона</t>
  </si>
  <si>
    <t>dy</t>
  </si>
  <si>
    <r>
      <t>d</t>
    </r>
    <r>
      <rPr>
        <vertAlign val="superscript"/>
        <sz val="14"/>
        <color theme="1"/>
        <rFont val="Calibri"/>
        <family val="2"/>
        <charset val="204"/>
        <scheme val="minor"/>
      </rPr>
      <t>2</t>
    </r>
    <r>
      <rPr>
        <sz val="14"/>
        <color theme="1"/>
        <rFont val="Calibri"/>
        <family val="2"/>
        <charset val="204"/>
        <scheme val="minor"/>
      </rPr>
      <t>y</t>
    </r>
  </si>
  <si>
    <r>
      <t>d</t>
    </r>
    <r>
      <rPr>
        <vertAlign val="superscript"/>
        <sz val="14"/>
        <color theme="1"/>
        <rFont val="Calibri"/>
        <family val="2"/>
        <charset val="204"/>
        <scheme val="minor"/>
      </rPr>
      <t>3</t>
    </r>
    <r>
      <rPr>
        <sz val="14"/>
        <color theme="1"/>
        <rFont val="Calibri"/>
        <family val="2"/>
        <charset val="204"/>
        <scheme val="minor"/>
      </rPr>
      <t>y</t>
    </r>
  </si>
  <si>
    <r>
      <t>d</t>
    </r>
    <r>
      <rPr>
        <vertAlign val="superscript"/>
        <sz val="14"/>
        <color theme="1"/>
        <rFont val="Calibri"/>
        <family val="2"/>
        <charset val="204"/>
        <scheme val="minor"/>
      </rPr>
      <t>4</t>
    </r>
    <r>
      <rPr>
        <sz val="14"/>
        <color theme="1"/>
        <rFont val="Calibri"/>
        <family val="2"/>
        <charset val="204"/>
        <scheme val="minor"/>
      </rPr>
      <t>y</t>
    </r>
  </si>
  <si>
    <r>
      <t>a</t>
    </r>
    <r>
      <rPr>
        <vertAlign val="subscript"/>
        <sz val="14"/>
        <color theme="1"/>
        <rFont val="Calibri"/>
        <family val="2"/>
        <charset val="204"/>
        <scheme val="minor"/>
      </rPr>
      <t xml:space="preserve">0 </t>
    </r>
    <r>
      <rPr>
        <sz val="14"/>
        <color theme="1"/>
        <rFont val="Calibri"/>
        <family val="2"/>
        <charset val="204"/>
        <scheme val="minor"/>
      </rPr>
      <t>=</t>
    </r>
  </si>
  <si>
    <r>
      <t>a</t>
    </r>
    <r>
      <rPr>
        <vertAlign val="subscript"/>
        <sz val="14"/>
        <color theme="1"/>
        <rFont val="Calibri"/>
        <family val="2"/>
        <charset val="204"/>
        <scheme val="minor"/>
      </rPr>
      <t xml:space="preserve">1 </t>
    </r>
    <r>
      <rPr>
        <sz val="14"/>
        <color theme="1"/>
        <rFont val="Calibri"/>
        <family val="2"/>
        <charset val="204"/>
        <scheme val="minor"/>
      </rPr>
      <t>=</t>
    </r>
  </si>
  <si>
    <r>
      <t>a</t>
    </r>
    <r>
      <rPr>
        <vertAlign val="subscript"/>
        <sz val="14"/>
        <color theme="1"/>
        <rFont val="Calibri"/>
        <family val="2"/>
        <charset val="204"/>
        <scheme val="minor"/>
      </rPr>
      <t xml:space="preserve">2 </t>
    </r>
    <r>
      <rPr>
        <sz val="14"/>
        <color theme="1"/>
        <rFont val="Calibri"/>
        <family val="2"/>
        <charset val="204"/>
        <scheme val="minor"/>
      </rPr>
      <t>=</t>
    </r>
  </si>
  <si>
    <r>
      <t>a</t>
    </r>
    <r>
      <rPr>
        <vertAlign val="subscript"/>
        <sz val="14"/>
        <color theme="1"/>
        <rFont val="Calibri"/>
        <family val="2"/>
        <charset val="204"/>
        <scheme val="minor"/>
      </rPr>
      <t xml:space="preserve">3 </t>
    </r>
    <r>
      <rPr>
        <sz val="14"/>
        <color theme="1"/>
        <rFont val="Calibri"/>
        <family val="2"/>
        <charset val="204"/>
        <scheme val="minor"/>
      </rPr>
      <t>=</t>
    </r>
  </si>
  <si>
    <r>
      <t>a</t>
    </r>
    <r>
      <rPr>
        <vertAlign val="subscript"/>
        <sz val="14"/>
        <color theme="1"/>
        <rFont val="Calibri"/>
        <family val="2"/>
        <charset val="204"/>
        <scheme val="minor"/>
      </rPr>
      <t xml:space="preserve">4 </t>
    </r>
    <r>
      <rPr>
        <sz val="14"/>
        <color theme="1"/>
        <rFont val="Calibri"/>
        <family val="2"/>
        <charset val="204"/>
        <scheme val="minor"/>
      </rPr>
      <t>=</t>
    </r>
  </si>
  <si>
    <t xml:space="preserve">x </t>
  </si>
  <si>
    <t>y=ax+b</t>
  </si>
  <si>
    <r>
      <t>y=ax</t>
    </r>
    <r>
      <rPr>
        <vertAlign val="superscript"/>
        <sz val="14"/>
        <color theme="1"/>
        <rFont val="Calibri"/>
        <family val="2"/>
        <charset val="204"/>
        <scheme val="minor"/>
      </rPr>
      <t>2</t>
    </r>
    <r>
      <rPr>
        <sz val="14"/>
        <color theme="1"/>
        <rFont val="Calibri"/>
        <family val="2"/>
        <charset val="204"/>
        <scheme val="minor"/>
      </rPr>
      <t>+bx+c</t>
    </r>
  </si>
  <si>
    <t>сумма</t>
  </si>
  <si>
    <t>Количество</t>
  </si>
  <si>
    <t>Линейная</t>
  </si>
  <si>
    <t>Квадратичная</t>
  </si>
  <si>
    <t>Четвертая степень</t>
  </si>
  <si>
    <r>
      <t>x</t>
    </r>
    <r>
      <rPr>
        <vertAlign val="superscript"/>
        <sz val="14"/>
        <color theme="1"/>
        <rFont val="Calibri"/>
        <family val="2"/>
        <charset val="204"/>
        <scheme val="minor"/>
      </rPr>
      <t>2</t>
    </r>
  </si>
  <si>
    <t>xy</t>
  </si>
  <si>
    <t>Гаусс</t>
  </si>
  <si>
    <t>Обратная</t>
  </si>
  <si>
    <t>eps</t>
  </si>
  <si>
    <t>b =</t>
  </si>
  <si>
    <t>Сумма</t>
  </si>
  <si>
    <t>S =</t>
  </si>
  <si>
    <r>
      <t>x</t>
    </r>
    <r>
      <rPr>
        <vertAlign val="superscript"/>
        <sz val="14"/>
        <color theme="1"/>
        <rFont val="Calibri"/>
        <family val="2"/>
        <charset val="204"/>
        <scheme val="minor"/>
      </rPr>
      <t>3</t>
    </r>
  </si>
  <si>
    <r>
      <t>x</t>
    </r>
    <r>
      <rPr>
        <vertAlign val="superscript"/>
        <sz val="14"/>
        <color theme="1"/>
        <rFont val="Calibri"/>
        <family val="2"/>
        <charset val="204"/>
        <scheme val="minor"/>
      </rPr>
      <t>4</t>
    </r>
  </si>
  <si>
    <r>
      <t>x</t>
    </r>
    <r>
      <rPr>
        <vertAlign val="superscript"/>
        <sz val="14"/>
        <color theme="1"/>
        <rFont val="Calibri"/>
        <family val="2"/>
        <charset val="204"/>
        <scheme val="minor"/>
      </rPr>
      <t>2</t>
    </r>
    <r>
      <rPr>
        <sz val="14"/>
        <color theme="1"/>
        <rFont val="Calibri"/>
        <family val="2"/>
        <charset val="204"/>
        <scheme val="minor"/>
      </rPr>
      <t>y</t>
    </r>
  </si>
  <si>
    <r>
      <t>y=ax</t>
    </r>
    <r>
      <rPr>
        <vertAlign val="superscript"/>
        <sz val="14"/>
        <color theme="1"/>
        <rFont val="Calibri"/>
        <family val="2"/>
        <charset val="204"/>
        <scheme val="minor"/>
      </rPr>
      <t>4</t>
    </r>
    <r>
      <rPr>
        <sz val="14"/>
        <color theme="1"/>
        <rFont val="Calibri"/>
        <family val="2"/>
        <charset val="204"/>
        <scheme val="minor"/>
      </rPr>
      <t>+bx+c</t>
    </r>
  </si>
  <si>
    <r>
      <t>x</t>
    </r>
    <r>
      <rPr>
        <vertAlign val="superscript"/>
        <sz val="14"/>
        <color theme="1"/>
        <rFont val="Calibri"/>
        <family val="2"/>
        <charset val="204"/>
        <scheme val="minor"/>
      </rPr>
      <t>5</t>
    </r>
  </si>
  <si>
    <r>
      <t>x</t>
    </r>
    <r>
      <rPr>
        <vertAlign val="superscript"/>
        <sz val="14"/>
        <color theme="1"/>
        <rFont val="Calibri"/>
        <family val="2"/>
        <charset val="204"/>
        <scheme val="minor"/>
      </rPr>
      <t>8</t>
    </r>
  </si>
  <si>
    <r>
      <t>yx</t>
    </r>
    <r>
      <rPr>
        <vertAlign val="superscript"/>
        <sz val="14"/>
        <color theme="1"/>
        <rFont val="Calibri"/>
        <family val="2"/>
        <charset val="204"/>
        <scheme val="minor"/>
      </rPr>
      <t>4</t>
    </r>
  </si>
  <si>
    <t>yx</t>
  </si>
  <si>
    <t>a∑x^8</t>
  </si>
  <si>
    <t>b∑x^5</t>
  </si>
  <si>
    <t>c∑x^4</t>
  </si>
  <si>
    <t>∑yx^4</t>
  </si>
  <si>
    <t>a∑x^5</t>
  </si>
  <si>
    <t>b∑x^2</t>
  </si>
  <si>
    <t>c∑x^1</t>
  </si>
  <si>
    <t>∑yx^1</t>
  </si>
  <si>
    <t>a∑x^4</t>
  </si>
  <si>
    <t>b∑x^1</t>
  </si>
  <si>
    <t>c∑x^0</t>
  </si>
  <si>
    <t>∑yx^0</t>
  </si>
  <si>
    <t>p(x) =</t>
  </si>
  <si>
    <t>q(x) =</t>
  </si>
  <si>
    <t>2x</t>
  </si>
  <si>
    <t>r(x) =</t>
  </si>
  <si>
    <r>
      <t>x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2 </t>
    </r>
    <r>
      <rPr>
        <sz val="11"/>
        <color theme="1"/>
        <rFont val="Calibri"/>
        <family val="2"/>
        <charset val="204"/>
        <scheme val="minor"/>
      </rPr>
      <t>+ 1</t>
    </r>
  </si>
  <si>
    <r>
      <t>a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i </t>
    </r>
    <r>
      <rPr>
        <sz val="11"/>
        <color theme="1"/>
        <rFont val="Calibri"/>
        <family val="2"/>
        <charset val="204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</si>
  <si>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i </t>
    </r>
    <r>
      <rPr>
        <sz val="11"/>
        <color theme="1"/>
        <rFont val="Calibri"/>
        <family val="2"/>
        <charset val="204"/>
        <scheme val="minor"/>
      </rPr>
      <t>=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</si>
  <si>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i </t>
    </r>
    <r>
      <rPr>
        <sz val="11"/>
        <color theme="1"/>
        <rFont val="Calibri"/>
        <family val="2"/>
        <charset val="204"/>
        <scheme val="minor"/>
      </rPr>
      <t>=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</si>
  <si>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i </t>
    </r>
    <r>
      <rPr>
        <sz val="11"/>
        <color theme="1"/>
        <rFont val="Calibri"/>
        <family val="2"/>
        <charset val="204"/>
        <scheme val="minor"/>
      </rPr>
      <t>=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</si>
  <si>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</si>
  <si>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</si>
  <si>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</si>
  <si>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a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</si>
  <si>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</si>
  <si>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</si>
  <si>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</si>
  <si>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</si>
  <si>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1 - 0,05 * 2x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i </t>
    </r>
  </si>
  <si>
    <r>
      <t>1 + 0,05 * 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</si>
  <si>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t>Считаем канонический вид:</t>
  </si>
  <si>
    <t>с</t>
  </si>
  <si>
    <r>
      <t>0,01*(x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2 </t>
    </r>
    <r>
      <rPr>
        <sz val="11"/>
        <color theme="1"/>
        <rFont val="Calibri"/>
        <family val="2"/>
        <charset val="204"/>
        <scheme val="minor"/>
      </rPr>
      <t>+ 1)</t>
    </r>
  </si>
  <si>
    <r>
      <t>2 - 0,01*x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</si>
  <si>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t>Обратный ход</t>
  </si>
  <si>
    <t>β</t>
  </si>
  <si>
    <t>α</t>
  </si>
  <si>
    <t>Обратная матрица</t>
  </si>
  <si>
    <t>Крамер</t>
  </si>
  <si>
    <t>5) Свой интеграл</t>
  </si>
  <si>
    <t>3) Свое уравнение</t>
  </si>
  <si>
    <t>2)</t>
  </si>
  <si>
    <t>1)</t>
  </si>
  <si>
    <t>2) Свое уравнение</t>
  </si>
  <si>
    <t>1. Интегрирование. Метод Рунге. Оптимальное интегрирование.</t>
  </si>
  <si>
    <t>2. Нелинейные уравнения. Отделение корней.</t>
  </si>
  <si>
    <t>3. Построение графика по заданным точкам</t>
  </si>
  <si>
    <t>4. Построение графика стремящегося к заданным точкам</t>
  </si>
  <si>
    <t>5. Решение дифференциального уравнения</t>
  </si>
  <si>
    <t>Полином Канонического вида</t>
  </si>
  <si>
    <r>
      <t>a∑x</t>
    </r>
    <r>
      <rPr>
        <vertAlign val="superscript"/>
        <sz val="14"/>
        <color theme="1"/>
        <rFont val="Calibri"/>
        <family val="2"/>
        <charset val="204"/>
      </rPr>
      <t>2</t>
    </r>
  </si>
  <si>
    <t>c∑x</t>
  </si>
  <si>
    <r>
      <t>∑yx</t>
    </r>
    <r>
      <rPr>
        <vertAlign val="superscript"/>
        <sz val="14"/>
        <color theme="1"/>
        <rFont val="Calibri"/>
        <family val="2"/>
        <charset val="204"/>
      </rPr>
      <t>2</t>
    </r>
  </si>
  <si>
    <t>∑y</t>
  </si>
  <si>
    <t>∑yx</t>
  </si>
  <si>
    <r>
      <t>a∑x</t>
    </r>
    <r>
      <rPr>
        <vertAlign val="superscript"/>
        <sz val="14"/>
        <color theme="1"/>
        <rFont val="Calibri"/>
        <family val="2"/>
        <charset val="204"/>
      </rPr>
      <t>4</t>
    </r>
  </si>
  <si>
    <r>
      <t>b∑x</t>
    </r>
    <r>
      <rPr>
        <vertAlign val="superscript"/>
        <sz val="14"/>
        <color theme="1"/>
        <rFont val="Calibri"/>
        <family val="2"/>
        <charset val="204"/>
      </rPr>
      <t>3</t>
    </r>
  </si>
  <si>
    <r>
      <t>c∑x</t>
    </r>
    <r>
      <rPr>
        <vertAlign val="superscript"/>
        <sz val="14"/>
        <color theme="1"/>
        <rFont val="Calibri"/>
        <family val="2"/>
        <charset val="204"/>
      </rPr>
      <t>2</t>
    </r>
  </si>
  <si>
    <r>
      <t>a∑x</t>
    </r>
    <r>
      <rPr>
        <vertAlign val="superscript"/>
        <sz val="14"/>
        <color theme="1"/>
        <rFont val="Calibri"/>
        <family val="2"/>
        <charset val="204"/>
      </rPr>
      <t>3</t>
    </r>
  </si>
  <si>
    <r>
      <t>b∑x</t>
    </r>
    <r>
      <rPr>
        <vertAlign val="superscript"/>
        <sz val="14"/>
        <color theme="1"/>
        <rFont val="Calibri"/>
        <family val="2"/>
        <charset val="204"/>
      </rPr>
      <t>2</t>
    </r>
  </si>
  <si>
    <t>b∑x</t>
  </si>
  <si>
    <t>b∑n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</si>
</sst>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0"/>
    <numFmt numFmtId="165" formatCode="0.0000"/>
    <numFmt numFmtId="166" formatCode="0.000"/>
    <numFmt numFmtId="167" formatCode="#,##0.0000_ ;\-#,##0.0000\ "/>
  </numFmts>
  <fonts count="14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vertAlign val="superscript"/>
      <sz val="14"/>
      <color theme="1"/>
      <name val="Calibri"/>
      <family val="2"/>
      <charset val="204"/>
      <scheme val="minor"/>
    </font>
    <font>
      <vertAlign val="subscript"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26"/>
      <color theme="1"/>
      <name val="Times New Roman"/>
      <family val="1"/>
      <charset val="204"/>
    </font>
    <font>
      <vertAlign val="superscript"/>
      <sz val="14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1FBE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26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9" xfId="0" applyBorder="1"/>
    <xf numFmtId="0" fontId="0" fillId="5" borderId="1" xfId="0" applyFill="1" applyBorder="1"/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1" fillId="11" borderId="1" xfId="0" applyNumberFormat="1" applyFont="1" applyFill="1" applyBorder="1" applyAlignment="1">
      <alignment horizontal="center" vertical="center"/>
    </xf>
    <xf numFmtId="165" fontId="1" fillId="2" borderId="4" xfId="0" applyNumberFormat="1" applyFont="1" applyFill="1" applyBorder="1" applyAlignment="1">
      <alignment horizontal="center" vertical="center"/>
    </xf>
    <xf numFmtId="165" fontId="1" fillId="4" borderId="15" xfId="0" applyNumberFormat="1" applyFont="1" applyFill="1" applyBorder="1" applyAlignment="1">
      <alignment horizontal="center" vertical="center"/>
    </xf>
    <xf numFmtId="165" fontId="1" fillId="4" borderId="5" xfId="0" applyNumberFormat="1" applyFont="1" applyFill="1" applyBorder="1" applyAlignment="1">
      <alignment horizontal="center" vertical="center"/>
    </xf>
    <xf numFmtId="165" fontId="1" fillId="4" borderId="3" xfId="0" applyNumberFormat="1" applyFont="1" applyFill="1" applyBorder="1" applyAlignment="1">
      <alignment horizontal="center" vertical="center"/>
    </xf>
    <xf numFmtId="165" fontId="1" fillId="4" borderId="0" xfId="0" applyNumberFormat="1" applyFont="1" applyFill="1" applyAlignment="1">
      <alignment horizontal="center" vertical="center"/>
    </xf>
    <xf numFmtId="165" fontId="1" fillId="4" borderId="6" xfId="0" applyNumberFormat="1" applyFont="1" applyFill="1" applyBorder="1" applyAlignment="1">
      <alignment horizontal="center" vertical="center"/>
    </xf>
    <xf numFmtId="165" fontId="1" fillId="4" borderId="10" xfId="0" applyNumberFormat="1" applyFont="1" applyFill="1" applyBorder="1" applyAlignment="1">
      <alignment horizontal="center" vertical="center"/>
    </xf>
    <xf numFmtId="165" fontId="1" fillId="4" borderId="14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165" fontId="1" fillId="8" borderId="0" xfId="0" applyNumberFormat="1" applyFont="1" applyFill="1" applyAlignment="1">
      <alignment horizontal="center" vertical="center"/>
    </xf>
    <xf numFmtId="165" fontId="1" fillId="12" borderId="1" xfId="0" applyNumberFormat="1" applyFont="1" applyFill="1" applyBorder="1" applyAlignment="1">
      <alignment horizontal="center" vertical="center"/>
    </xf>
    <xf numFmtId="165" fontId="1" fillId="2" borderId="7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 vertical="center"/>
    </xf>
    <xf numFmtId="165" fontId="1" fillId="4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5" fontId="1" fillId="2" borderId="7" xfId="0" applyNumberFormat="1" applyFont="1" applyFill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16" borderId="7" xfId="0" applyNumberFormat="1" applyFill="1" applyBorder="1" applyAlignment="1">
      <alignment horizontal="center" vertical="center"/>
    </xf>
    <xf numFmtId="166" fontId="0" fillId="16" borderId="8" xfId="0" applyNumberFormat="1" applyFill="1" applyBorder="1" applyAlignment="1">
      <alignment horizontal="center" vertical="center"/>
    </xf>
    <xf numFmtId="166" fontId="0" fillId="3" borderId="4" xfId="0" applyNumberFormat="1" applyFill="1" applyBorder="1" applyAlignment="1">
      <alignment horizontal="center" vertical="center"/>
    </xf>
    <xf numFmtId="166" fontId="0" fillId="3" borderId="7" xfId="0" applyNumberForma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9" fillId="11" borderId="11" xfId="0" applyFont="1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1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1" fillId="13" borderId="0" xfId="0" applyFont="1" applyFill="1" applyAlignment="1">
      <alignment vertical="center"/>
    </xf>
    <xf numFmtId="0" fontId="0" fillId="13" borderId="6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4" xfId="1" applyNumberFormat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3" xfId="1" applyNumberFormat="1" applyFont="1" applyBorder="1" applyAlignment="1">
      <alignment horizontal="center" vertical="center"/>
    </xf>
    <xf numFmtId="165" fontId="1" fillId="0" borderId="10" xfId="0" applyNumberFormat="1" applyFont="1" applyBorder="1" applyAlignment="1">
      <alignment horizontal="center" vertical="center"/>
    </xf>
    <xf numFmtId="165" fontId="1" fillId="0" borderId="10" xfId="1" applyNumberFormat="1" applyFont="1" applyBorder="1" applyAlignment="1">
      <alignment horizontal="center" vertical="center"/>
    </xf>
    <xf numFmtId="167" fontId="1" fillId="0" borderId="4" xfId="1" applyNumberFormat="1" applyFont="1" applyBorder="1" applyAlignment="1">
      <alignment horizontal="center" vertical="center"/>
    </xf>
    <xf numFmtId="167" fontId="1" fillId="0" borderId="2" xfId="1" applyNumberFormat="1" applyFont="1" applyBorder="1" applyAlignment="1">
      <alignment horizontal="center" vertical="center"/>
    </xf>
    <xf numFmtId="167" fontId="1" fillId="0" borderId="7" xfId="0" applyNumberFormat="1" applyFont="1" applyBorder="1"/>
    <xf numFmtId="167" fontId="1" fillId="0" borderId="8" xfId="1" applyNumberFormat="1" applyFont="1" applyBorder="1" applyAlignment="1">
      <alignment horizontal="center" vertical="center"/>
    </xf>
    <xf numFmtId="167" fontId="1" fillId="0" borderId="10" xfId="1" applyNumberFormat="1" applyFont="1" applyBorder="1" applyAlignment="1">
      <alignment horizontal="center" vertical="center"/>
    </xf>
    <xf numFmtId="167" fontId="1" fillId="0" borderId="8" xfId="0" applyNumberFormat="1" applyFont="1" applyBorder="1"/>
    <xf numFmtId="165" fontId="1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165" fontId="0" fillId="17" borderId="7" xfId="0" applyNumberFormat="1" applyFill="1" applyBorder="1" applyAlignment="1">
      <alignment horizontal="center" vertical="center"/>
    </xf>
    <xf numFmtId="165" fontId="0" fillId="17" borderId="8" xfId="0" applyNumberFormat="1" applyFill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165" fontId="1" fillId="11" borderId="7" xfId="0" applyNumberFormat="1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165" fontId="1" fillId="11" borderId="6" xfId="0" applyNumberFormat="1" applyFont="1" applyFill="1" applyBorder="1" applyAlignment="1">
      <alignment horizontal="center" vertical="center"/>
    </xf>
    <xf numFmtId="165" fontId="1" fillId="3" borderId="4" xfId="0" applyNumberFormat="1" applyFont="1" applyFill="1" applyBorder="1"/>
    <xf numFmtId="165" fontId="1" fillId="15" borderId="4" xfId="0" applyNumberFormat="1" applyFont="1" applyFill="1" applyBorder="1"/>
    <xf numFmtId="165" fontId="1" fillId="14" borderId="4" xfId="0" applyNumberFormat="1" applyFont="1" applyFill="1" applyBorder="1"/>
    <xf numFmtId="165" fontId="1" fillId="3" borderId="7" xfId="0" applyNumberFormat="1" applyFont="1" applyFill="1" applyBorder="1"/>
    <xf numFmtId="165" fontId="1" fillId="15" borderId="7" xfId="0" applyNumberFormat="1" applyFont="1" applyFill="1" applyBorder="1"/>
    <xf numFmtId="165" fontId="1" fillId="14" borderId="7" xfId="0" applyNumberFormat="1" applyFont="1" applyFill="1" applyBorder="1"/>
    <xf numFmtId="165" fontId="1" fillId="3" borderId="8" xfId="0" applyNumberFormat="1" applyFont="1" applyFill="1" applyBorder="1"/>
    <xf numFmtId="165" fontId="1" fillId="15" borderId="8" xfId="0" applyNumberFormat="1" applyFont="1" applyFill="1" applyBorder="1"/>
    <xf numFmtId="165" fontId="1" fillId="14" borderId="8" xfId="0" applyNumberFormat="1" applyFont="1" applyFill="1" applyBorder="1"/>
    <xf numFmtId="165" fontId="1" fillId="0" borderId="1" xfId="0" applyNumberFormat="1" applyFont="1" applyBorder="1"/>
    <xf numFmtId="0" fontId="10" fillId="13" borderId="2" xfId="0" applyFont="1" applyFill="1" applyBorder="1" applyAlignment="1">
      <alignment horizontal="center" vertical="center"/>
    </xf>
    <xf numFmtId="0" fontId="10" fillId="13" borderId="15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0" fontId="10" fillId="13" borderId="14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 wrapText="1"/>
    </xf>
    <xf numFmtId="0" fontId="10" fillId="13" borderId="15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3" xfId="0" applyFont="1" applyFill="1" applyBorder="1" applyAlignment="1">
      <alignment horizontal="center" vertical="center" wrapText="1"/>
    </xf>
    <xf numFmtId="0" fontId="10" fillId="13" borderId="0" xfId="0" applyFont="1" applyFill="1" applyAlignment="1">
      <alignment horizontal="center" vertical="center" wrapText="1"/>
    </xf>
    <xf numFmtId="0" fontId="10" fillId="13" borderId="6" xfId="0" applyFont="1" applyFill="1" applyBorder="1" applyAlignment="1">
      <alignment horizontal="center" vertical="center"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14" xfId="0" applyFont="1" applyFill="1" applyBorder="1" applyAlignment="1">
      <alignment horizontal="center" vertical="center" wrapText="1"/>
    </xf>
    <xf numFmtId="0" fontId="10" fillId="13" borderId="9" xfId="0" applyFont="1" applyFill="1" applyBorder="1" applyAlignment="1">
      <alignment horizontal="center" vertical="center" wrapText="1"/>
    </xf>
    <xf numFmtId="0" fontId="11" fillId="13" borderId="15" xfId="0" applyFont="1" applyFill="1" applyBorder="1" applyAlignment="1">
      <alignment horizontal="center" vertical="center"/>
    </xf>
    <xf numFmtId="0" fontId="11" fillId="13" borderId="5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6" xfId="0" applyFont="1" applyFill="1" applyBorder="1" applyAlignment="1">
      <alignment horizontal="center" vertical="center"/>
    </xf>
    <xf numFmtId="0" fontId="11" fillId="13" borderId="14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66FF99"/>
      <color rgb="FFFFFFCC"/>
      <color rgb="FFCCFFCC"/>
      <color rgb="FF66FFCC"/>
      <color rgb="FF66FFFF"/>
      <color rgb="FF00FF99"/>
      <color rgb="FF85ABA5"/>
      <color rgb="FF5BE03C"/>
      <color rgb="FF99CC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'Расчет интеграла'!$D$7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интеграла'!$C$8:$C$28</c:f>
              <c:numCache>
                <c:formatCode>General</c:formatCode>
                <c:ptCount val="21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1.2000000000000002</c:v>
                </c:pt>
                <c:pt idx="5">
                  <c:v>1.3000000000000003</c:v>
                </c:pt>
                <c:pt idx="6">
                  <c:v>1.4000000000000004</c:v>
                </c:pt>
                <c:pt idx="7">
                  <c:v>1.5000000000000004</c:v>
                </c:pt>
                <c:pt idx="8">
                  <c:v>1.6000000000000005</c:v>
                </c:pt>
                <c:pt idx="9">
                  <c:v>1.7000000000000006</c:v>
                </c:pt>
                <c:pt idx="10">
                  <c:v>1.8000000000000007</c:v>
                </c:pt>
                <c:pt idx="13">
                  <c:v>0.31532872938471301</c:v>
                </c:pt>
                <c:pt idx="14">
                  <c:v>0.30172822505295488</c:v>
                </c:pt>
              </c:numCache>
            </c:numRef>
          </c:xVal>
          <c:yVal>
            <c:numRef>
              <c:f>'Расчет интеграла'!$D$8:$D$28</c:f>
              <c:numCache>
                <c:formatCode>General</c:formatCode>
                <c:ptCount val="21"/>
                <c:pt idx="0">
                  <c:v>0.39928673889260619</c:v>
                </c:pt>
                <c:pt idx="1">
                  <c:v>0.36735479692689571</c:v>
                </c:pt>
                <c:pt idx="2">
                  <c:v>0.34328901393191458</c:v>
                </c:pt>
                <c:pt idx="3">
                  <c:v>0.32466278705329293</c:v>
                </c:pt>
                <c:pt idx="4">
                  <c:v>0.30993752352979326</c:v>
                </c:pt>
                <c:pt idx="5">
                  <c:v>0.29809105728982899</c:v>
                </c:pt>
                <c:pt idx="6">
                  <c:v>0.28841902627520966</c:v>
                </c:pt>
                <c:pt idx="7">
                  <c:v>0.28042153869059278</c:v>
                </c:pt>
                <c:pt idx="8">
                  <c:v>0.27373506459520214</c:v>
                </c:pt>
                <c:pt idx="9">
                  <c:v>0.26808974666179408</c:v>
                </c:pt>
                <c:pt idx="10">
                  <c:v>0.26328169557502423</c:v>
                </c:pt>
                <c:pt idx="13">
                  <c:v>0.32169256199758517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91-4B0B-8018-1130B0A32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10008"/>
        <c:axId val="364311976"/>
      </c:scatterChart>
      <c:valAx>
        <c:axId val="364310008"/>
        <c:scaling>
          <c:orientation val="minMax"/>
          <c:max val="1.8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х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4311976"/>
        <c:crosses val="autoZero"/>
        <c:crossBetween val="midCat"/>
        <c:majorUnit val="5.000000000000001E-2"/>
      </c:valAx>
      <c:valAx>
        <c:axId val="364311976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4310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Метод</a:t>
            </a:r>
            <a:r>
              <a:rPr lang="ru-RU" baseline="0"/>
              <a:t> средних прямоугольников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'Расчет интеграла'!$D$8:$D$28</c:f>
              <c:numCache>
                <c:formatCode>General</c:formatCode>
                <c:ptCount val="21"/>
                <c:pt idx="0">
                  <c:v>0.39928673889260619</c:v>
                </c:pt>
                <c:pt idx="1">
                  <c:v>0.36735479692689571</c:v>
                </c:pt>
                <c:pt idx="2">
                  <c:v>0.34328901393191458</c:v>
                </c:pt>
                <c:pt idx="3">
                  <c:v>0.32466278705329293</c:v>
                </c:pt>
                <c:pt idx="4">
                  <c:v>0.30993752352979326</c:v>
                </c:pt>
                <c:pt idx="5">
                  <c:v>0.29809105728982899</c:v>
                </c:pt>
                <c:pt idx="6">
                  <c:v>0.28841902627520966</c:v>
                </c:pt>
                <c:pt idx="7">
                  <c:v>0.28042153869059278</c:v>
                </c:pt>
                <c:pt idx="8">
                  <c:v>0.27373506459520214</c:v>
                </c:pt>
                <c:pt idx="9">
                  <c:v>0.26808974666179408</c:v>
                </c:pt>
                <c:pt idx="10">
                  <c:v>0.26328169557502423</c:v>
                </c:pt>
                <c:pt idx="13">
                  <c:v>0.32169256199758517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E-4E3F-8EE7-26730B9B2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76097648"/>
        <c:axId val="47609502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'Расчет интеграла'!$E$8:$E$28</c:f>
              <c:numCache>
                <c:formatCode>General</c:formatCode>
                <c:ptCount val="21"/>
                <c:pt idx="0">
                  <c:v>0.39928673889260619</c:v>
                </c:pt>
                <c:pt idx="1">
                  <c:v>0.36735479692689571</c:v>
                </c:pt>
                <c:pt idx="2">
                  <c:v>0.34328901393191458</c:v>
                </c:pt>
                <c:pt idx="3">
                  <c:v>0.32466278705329293</c:v>
                </c:pt>
                <c:pt idx="4">
                  <c:v>0.30993752352979326</c:v>
                </c:pt>
                <c:pt idx="5">
                  <c:v>0.29809105728982899</c:v>
                </c:pt>
                <c:pt idx="6">
                  <c:v>0.28841902627520966</c:v>
                </c:pt>
                <c:pt idx="7">
                  <c:v>0.28042153869059278</c:v>
                </c:pt>
                <c:pt idx="8">
                  <c:v>0.27373506459520214</c:v>
                </c:pt>
                <c:pt idx="9">
                  <c:v>0.26808974666179408</c:v>
                </c:pt>
                <c:pt idx="10">
                  <c:v>0.26328169557502423</c:v>
                </c:pt>
                <c:pt idx="13">
                  <c:v>0.31703636977321709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6E-4E3F-8EE7-26730B9B2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97648"/>
        <c:axId val="476095024"/>
      </c:lineChart>
      <c:catAx>
        <c:axId val="476097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6095024"/>
        <c:crosses val="autoZero"/>
        <c:auto val="0"/>
        <c:lblAlgn val="ctr"/>
        <c:lblOffset val="100"/>
        <c:noMultiLvlLbl val="0"/>
      </c:catAx>
      <c:valAx>
        <c:axId val="47609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609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'Расчет интеграла'!$D$41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интеграла'!$C$42:$C$62</c:f>
              <c:numCache>
                <c:formatCode>General</c:formatCode>
                <c:ptCount val="21"/>
                <c:pt idx="0">
                  <c:v>0.3</c:v>
                </c:pt>
                <c:pt idx="1">
                  <c:v>0.33</c:v>
                </c:pt>
                <c:pt idx="2">
                  <c:v>0.36000000000000004</c:v>
                </c:pt>
                <c:pt idx="3">
                  <c:v>0.39000000000000007</c:v>
                </c:pt>
                <c:pt idx="4">
                  <c:v>0.4200000000000001</c:v>
                </c:pt>
                <c:pt idx="5">
                  <c:v>0.45000000000000012</c:v>
                </c:pt>
                <c:pt idx="6">
                  <c:v>0.48000000000000015</c:v>
                </c:pt>
                <c:pt idx="7">
                  <c:v>0.51000000000000012</c:v>
                </c:pt>
                <c:pt idx="8">
                  <c:v>0.54000000000000015</c:v>
                </c:pt>
                <c:pt idx="9">
                  <c:v>0.57000000000000017</c:v>
                </c:pt>
                <c:pt idx="10">
                  <c:v>0.6000000000000002</c:v>
                </c:pt>
                <c:pt idx="11">
                  <c:v>0.63000000000000023</c:v>
                </c:pt>
                <c:pt idx="12">
                  <c:v>0.66000000000000025</c:v>
                </c:pt>
                <c:pt idx="13">
                  <c:v>0.69000000000000028</c:v>
                </c:pt>
                <c:pt idx="14">
                  <c:v>0.72000000000000031</c:v>
                </c:pt>
                <c:pt idx="15">
                  <c:v>0.75000000000000033</c:v>
                </c:pt>
                <c:pt idx="16">
                  <c:v>0.78000000000000036</c:v>
                </c:pt>
                <c:pt idx="17">
                  <c:v>0.81000000000000039</c:v>
                </c:pt>
                <c:pt idx="18">
                  <c:v>0.84000000000000041</c:v>
                </c:pt>
                <c:pt idx="19">
                  <c:v>0.87000000000000044</c:v>
                </c:pt>
                <c:pt idx="20">
                  <c:v>0.90000000000000047</c:v>
                </c:pt>
              </c:numCache>
            </c:numRef>
          </c:xVal>
          <c:yVal>
            <c:numRef>
              <c:f>'Расчет интеграла'!$D$42:$D$62</c:f>
              <c:numCache>
                <c:formatCode>General</c:formatCode>
                <c:ptCount val="21"/>
                <c:pt idx="0">
                  <c:v>0.39041212343177417</c:v>
                </c:pt>
                <c:pt idx="1">
                  <c:v>0.40520468068264892</c:v>
                </c:pt>
                <c:pt idx="2">
                  <c:v>0.42116052956827771</c:v>
                </c:pt>
                <c:pt idx="3">
                  <c:v>0.43827961074995753</c:v>
                </c:pt>
                <c:pt idx="4">
                  <c:v>0.45655490058150794</c:v>
                </c:pt>
                <c:pt idx="5">
                  <c:v>0.47597131472783688</c:v>
                </c:pt>
                <c:pt idx="6">
                  <c:v>0.49650450339911972</c:v>
                </c:pt>
                <c:pt idx="7">
                  <c:v>0.51811953762422025</c:v>
                </c:pt>
                <c:pt idx="8">
                  <c:v>0.54076948770798794</c:v>
                </c:pt>
                <c:pt idx="9">
                  <c:v>0.56439389713794919</c:v>
                </c:pt>
                <c:pt idx="10">
                  <c:v>0.58891715777696363</c:v>
                </c:pt>
                <c:pt idx="11">
                  <c:v>0.61424679525092785</c:v>
                </c:pt>
                <c:pt idx="12">
                  <c:v>0.64027167706554167</c:v>
                </c:pt>
                <c:pt idx="13">
                  <c:v>0.66686016021242001</c:v>
                </c:pt>
                <c:pt idx="14">
                  <c:v>0.69385819989711706</c:v>
                </c:pt>
                <c:pt idx="15">
                  <c:v>0.7210874465776268</c:v>
                </c:pt>
                <c:pt idx="16">
                  <c:v>0.74834336476890062</c:v>
                </c:pt>
                <c:pt idx="17">
                  <c:v>0.77539341405966666</c:v>
                </c:pt>
                <c:pt idx="18">
                  <c:v>0.80197534049565011</c:v>
                </c:pt>
                <c:pt idx="19">
                  <c:v>0.82779563487630015</c:v>
                </c:pt>
                <c:pt idx="20">
                  <c:v>0.85252822352648938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F4-4ED8-91AF-EBADAC529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675696"/>
        <c:axId val="370675368"/>
      </c:scatterChart>
      <c:valAx>
        <c:axId val="370675696"/>
        <c:scaling>
          <c:orientation val="minMax"/>
          <c:max val="0.9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х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0675368"/>
        <c:crosses val="autoZero"/>
        <c:crossBetween val="midCat"/>
        <c:majorUnit val="3.0000000000000006E-2"/>
      </c:valAx>
      <c:valAx>
        <c:axId val="37067536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 у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067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интеграла'!$C$76:$C$96</c:f>
              <c:numCache>
                <c:formatCode>General</c:formatCode>
                <c:ptCount val="21"/>
                <c:pt idx="0">
                  <c:v>2.1</c:v>
                </c:pt>
                <c:pt idx="1">
                  <c:v>2.1750000000000003</c:v>
                </c:pt>
                <c:pt idx="2">
                  <c:v>2.2500000000000004</c:v>
                </c:pt>
                <c:pt idx="3">
                  <c:v>2.3250000000000006</c:v>
                </c:pt>
                <c:pt idx="4">
                  <c:v>2.4000000000000008</c:v>
                </c:pt>
                <c:pt idx="5">
                  <c:v>2.475000000000001</c:v>
                </c:pt>
                <c:pt idx="6">
                  <c:v>2.5500000000000012</c:v>
                </c:pt>
                <c:pt idx="7">
                  <c:v>2.6250000000000013</c:v>
                </c:pt>
                <c:pt idx="8">
                  <c:v>2.7000000000000015</c:v>
                </c:pt>
                <c:pt idx="9">
                  <c:v>2.7750000000000017</c:v>
                </c:pt>
                <c:pt idx="10">
                  <c:v>2.8500000000000019</c:v>
                </c:pt>
                <c:pt idx="11">
                  <c:v>2.925000000000002</c:v>
                </c:pt>
                <c:pt idx="12">
                  <c:v>3.0000000000000022</c:v>
                </c:pt>
                <c:pt idx="13">
                  <c:v>3.0750000000000024</c:v>
                </c:pt>
                <c:pt idx="14">
                  <c:v>3.1500000000000026</c:v>
                </c:pt>
                <c:pt idx="15">
                  <c:v>3.2250000000000028</c:v>
                </c:pt>
                <c:pt idx="16">
                  <c:v>3.3000000000000029</c:v>
                </c:pt>
                <c:pt idx="17">
                  <c:v>3.3750000000000031</c:v>
                </c:pt>
                <c:pt idx="18">
                  <c:v>3.4500000000000033</c:v>
                </c:pt>
                <c:pt idx="19">
                  <c:v>3.5250000000000035</c:v>
                </c:pt>
                <c:pt idx="20">
                  <c:v>3.6000000000000036</c:v>
                </c:pt>
              </c:numCache>
            </c:numRef>
          </c:xVal>
          <c:yVal>
            <c:numRef>
              <c:f>'Расчет интеграла'!$D$76:$D$96</c:f>
              <c:numCache>
                <c:formatCode>General</c:formatCode>
                <c:ptCount val="21"/>
                <c:pt idx="0">
                  <c:v>0.84215192106651893</c:v>
                </c:pt>
                <c:pt idx="1">
                  <c:v>0.76014862358528656</c:v>
                </c:pt>
                <c:pt idx="2">
                  <c:v>0.69631062382279107</c:v>
                </c:pt>
                <c:pt idx="3">
                  <c:v>0.64474210939968157</c:v>
                </c:pt>
                <c:pt idx="4">
                  <c:v>0.60192926542884551</c:v>
                </c:pt>
                <c:pt idx="5">
                  <c:v>0.56562886489061004</c:v>
                </c:pt>
                <c:pt idx="6">
                  <c:v>0.53433168514526441</c:v>
                </c:pt>
                <c:pt idx="7">
                  <c:v>0.50697940041958189</c:v>
                </c:pt>
                <c:pt idx="8">
                  <c:v>0.48280454958526708</c:v>
                </c:pt>
                <c:pt idx="9">
                  <c:v>0.46123493781728592</c:v>
                </c:pt>
                <c:pt idx="10">
                  <c:v>0.44183388180600347</c:v>
                </c:pt>
                <c:pt idx="11">
                  <c:v>0.42426141708635756</c:v>
                </c:pt>
                <c:pt idx="12">
                  <c:v>0.40824829046386252</c:v>
                </c:pt>
                <c:pt idx="13">
                  <c:v>0.39357803455053958</c:v>
                </c:pt>
                <c:pt idx="14">
                  <c:v>0.380074311792643</c:v>
                </c:pt>
                <c:pt idx="15">
                  <c:v>0.36759178807280085</c:v>
                </c:pt>
                <c:pt idx="16">
                  <c:v>0.35600942725445178</c:v>
                </c:pt>
                <c:pt idx="17">
                  <c:v>0.34522548160168204</c:v>
                </c:pt>
                <c:pt idx="18">
                  <c:v>0.33515369273430329</c:v>
                </c:pt>
                <c:pt idx="19">
                  <c:v>0.32572037142419952</c:v>
                </c:pt>
                <c:pt idx="20">
                  <c:v>0.31686212526223856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DA-426D-9AE6-46240942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005664"/>
        <c:axId val="577004352"/>
      </c:scatterChart>
      <c:valAx>
        <c:axId val="577005664"/>
        <c:scaling>
          <c:orientation val="minMax"/>
          <c:max val="3.6"/>
          <c:min val="2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004352"/>
        <c:crosses val="autoZero"/>
        <c:crossBetween val="midCat"/>
        <c:majorUnit val="7.5000000000000011E-2"/>
      </c:valAx>
      <c:valAx>
        <c:axId val="577004352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y</a:t>
                </a:r>
                <a:endParaRPr lang="ru-RU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00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интеграла'!$C$112:$C$132</c:f>
              <c:numCache>
                <c:formatCode>General</c:formatCode>
                <c:ptCount val="21"/>
                <c:pt idx="0">
                  <c:v>0.8</c:v>
                </c:pt>
                <c:pt idx="1">
                  <c:v>0.82000000000000006</c:v>
                </c:pt>
                <c:pt idx="2">
                  <c:v>0.84000000000000008</c:v>
                </c:pt>
                <c:pt idx="3">
                  <c:v>0.8600000000000001</c:v>
                </c:pt>
                <c:pt idx="4">
                  <c:v>0.88000000000000012</c:v>
                </c:pt>
                <c:pt idx="5">
                  <c:v>0.90000000000000013</c:v>
                </c:pt>
                <c:pt idx="6">
                  <c:v>0.92000000000000015</c:v>
                </c:pt>
                <c:pt idx="7">
                  <c:v>0.94000000000000017</c:v>
                </c:pt>
                <c:pt idx="8">
                  <c:v>0.96000000000000019</c:v>
                </c:pt>
                <c:pt idx="9">
                  <c:v>0.9800000000000002</c:v>
                </c:pt>
                <c:pt idx="10">
                  <c:v>1.0000000000000002</c:v>
                </c:pt>
                <c:pt idx="11">
                  <c:v>1.0200000000000002</c:v>
                </c:pt>
                <c:pt idx="12">
                  <c:v>1.0400000000000003</c:v>
                </c:pt>
                <c:pt idx="13">
                  <c:v>1.0600000000000003</c:v>
                </c:pt>
                <c:pt idx="14">
                  <c:v>1.0800000000000003</c:v>
                </c:pt>
                <c:pt idx="15">
                  <c:v>1.1000000000000003</c:v>
                </c:pt>
                <c:pt idx="16">
                  <c:v>1.1200000000000003</c:v>
                </c:pt>
                <c:pt idx="17">
                  <c:v>1.1400000000000003</c:v>
                </c:pt>
                <c:pt idx="18">
                  <c:v>1.1600000000000004</c:v>
                </c:pt>
                <c:pt idx="19">
                  <c:v>1.1800000000000004</c:v>
                </c:pt>
                <c:pt idx="20">
                  <c:v>1.2000000000000004</c:v>
                </c:pt>
              </c:numCache>
            </c:numRef>
          </c:xVal>
          <c:yVal>
            <c:numRef>
              <c:f>'Расчет интеграла'!$D$112:$D$132</c:f>
              <c:numCache>
                <c:formatCode>General</c:formatCode>
                <c:ptCount val="21"/>
                <c:pt idx="0">
                  <c:v>8.4893795152548107E-2</c:v>
                </c:pt>
                <c:pt idx="1">
                  <c:v>9.5405573203337896E-2</c:v>
                </c:pt>
                <c:pt idx="2">
                  <c:v>0.10593853144144151</c:v>
                </c:pt>
                <c:pt idx="3">
                  <c:v>0.11647201524674552</c:v>
                </c:pt>
                <c:pt idx="4">
                  <c:v>0.12698408285324492</c:v>
                </c:pt>
                <c:pt idx="5">
                  <c:v>0.13745149240842175</c:v>
                </c:pt>
                <c:pt idx="6">
                  <c:v>0.14784969622295066</c:v>
                </c:pt>
                <c:pt idx="7">
                  <c:v>0.15815284287088252</c:v>
                </c:pt>
                <c:pt idx="8">
                  <c:v>0.16833378781498287</c:v>
                </c:pt>
                <c:pt idx="9">
                  <c:v>0.17836411324206586</c:v>
                </c:pt>
                <c:pt idx="10">
                  <c:v>0.18821415779834524</c:v>
                </c:pt>
                <c:pt idx="11">
                  <c:v>0.19785305691435617</c:v>
                </c:pt>
                <c:pt idx="12">
                  <c:v>0.20724879440221988</c:v>
                </c:pt>
                <c:pt idx="13">
                  <c:v>0.21636826599421025</c:v>
                </c:pt>
                <c:pt idx="14">
                  <c:v>0.22517735547004966</c:v>
                </c:pt>
                <c:pt idx="15">
                  <c:v>0.23364102399036862</c:v>
                </c:pt>
                <c:pt idx="16">
                  <c:v>0.24172341321461743</c:v>
                </c:pt>
                <c:pt idx="17">
                  <c:v>0.24938796273269234</c:v>
                </c:pt>
                <c:pt idx="18">
                  <c:v>0.2565975422799654</c:v>
                </c:pt>
                <c:pt idx="19">
                  <c:v>0.26331459913461414</c:v>
                </c:pt>
                <c:pt idx="20">
                  <c:v>0.2695013210135434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C2-411C-8511-14C79C62E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567360"/>
        <c:axId val="490564408"/>
      </c:scatterChart>
      <c:valAx>
        <c:axId val="490567360"/>
        <c:scaling>
          <c:orientation val="minMax"/>
          <c:max val="1.2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 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564408"/>
        <c:crosses val="autoZero"/>
        <c:crossBetween val="midCat"/>
        <c:majorUnit val="2.0000000000000004E-2"/>
      </c:valAx>
      <c:valAx>
        <c:axId val="490564408"/>
        <c:scaling>
          <c:orientation val="minMax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у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567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'Нелинейные уравнения'!$B$9:$B$39</c:f>
              <c:numCache>
                <c:formatCode>General</c:formatCode>
                <c:ptCount val="31"/>
                <c:pt idx="0">
                  <c:v>-5</c:v>
                </c:pt>
                <c:pt idx="1">
                  <c:v>-4.7</c:v>
                </c:pt>
                <c:pt idx="2">
                  <c:v>-4.4000000000000004</c:v>
                </c:pt>
                <c:pt idx="3">
                  <c:v>-4.0999999999999996</c:v>
                </c:pt>
                <c:pt idx="4">
                  <c:v>-3.8</c:v>
                </c:pt>
                <c:pt idx="5">
                  <c:v>-3.5</c:v>
                </c:pt>
                <c:pt idx="6">
                  <c:v>-3.2</c:v>
                </c:pt>
                <c:pt idx="7">
                  <c:v>-2.9</c:v>
                </c:pt>
                <c:pt idx="8">
                  <c:v>-2.6</c:v>
                </c:pt>
                <c:pt idx="9">
                  <c:v>-2.2999999999999998</c:v>
                </c:pt>
                <c:pt idx="10">
                  <c:v>-2</c:v>
                </c:pt>
                <c:pt idx="11">
                  <c:v>-1.7</c:v>
                </c:pt>
                <c:pt idx="12">
                  <c:v>-1.4</c:v>
                </c:pt>
                <c:pt idx="13">
                  <c:v>-1.1000000000000001</c:v>
                </c:pt>
                <c:pt idx="14">
                  <c:v>-0.8</c:v>
                </c:pt>
                <c:pt idx="15">
                  <c:v>-0.5</c:v>
                </c:pt>
                <c:pt idx="16">
                  <c:v>-0.2</c:v>
                </c:pt>
                <c:pt idx="17">
                  <c:v>9.9999999999999603E-2</c:v>
                </c:pt>
                <c:pt idx="18">
                  <c:v>0.4</c:v>
                </c:pt>
                <c:pt idx="19">
                  <c:v>0.7</c:v>
                </c:pt>
                <c:pt idx="20">
                  <c:v>1</c:v>
                </c:pt>
                <c:pt idx="21">
                  <c:v>1.3</c:v>
                </c:pt>
                <c:pt idx="22">
                  <c:v>1.6</c:v>
                </c:pt>
                <c:pt idx="23">
                  <c:v>1.9</c:v>
                </c:pt>
                <c:pt idx="24">
                  <c:v>2.2000000000000002</c:v>
                </c:pt>
                <c:pt idx="25">
                  <c:v>2.5</c:v>
                </c:pt>
                <c:pt idx="26">
                  <c:v>2.8</c:v>
                </c:pt>
                <c:pt idx="27">
                  <c:v>3.0999999999999899</c:v>
                </c:pt>
                <c:pt idx="28">
                  <c:v>3.4</c:v>
                </c:pt>
                <c:pt idx="29">
                  <c:v>3.7</c:v>
                </c:pt>
                <c:pt idx="30">
                  <c:v>3.9999999999999898</c:v>
                </c:pt>
              </c:numCache>
            </c:numRef>
          </c:xVal>
          <c:yVal>
            <c:numRef>
              <c:f>'Нелинейные уравнения'!$C$9:$C$39</c:f>
              <c:numCache>
                <c:formatCode>0.0000</c:formatCode>
                <c:ptCount val="31"/>
                <c:pt idx="0">
                  <c:v>-2.9958847736625516</c:v>
                </c:pt>
                <c:pt idx="1">
                  <c:v>-2.694278233867013</c:v>
                </c:pt>
                <c:pt idx="2">
                  <c:v>-2.3920445183336145</c:v>
                </c:pt>
                <c:pt idx="3">
                  <c:v>-2.0889387844464098</c:v>
                </c:pt>
                <c:pt idx="4">
                  <c:v>-1.784620605683759</c:v>
                </c:pt>
                <c:pt idx="5">
                  <c:v>-1.4786166566966807</c:v>
                </c:pt>
                <c:pt idx="6">
                  <c:v>-1.1702688310459175</c:v>
                </c:pt>
                <c:pt idx="7">
                  <c:v>-0.85866210466541082</c:v>
                </c:pt>
                <c:pt idx="8">
                  <c:v>-0.54252423800313476</c:v>
                </c:pt>
                <c:pt idx="9">
                  <c:v>-0.22008632296390385</c:v>
                </c:pt>
                <c:pt idx="10">
                  <c:v>0.11111111111111116</c:v>
                </c:pt>
                <c:pt idx="11">
                  <c:v>0.45448768559065678</c:v>
                </c:pt>
                <c:pt idx="12">
                  <c:v>0.81479800499241817</c:v>
                </c:pt>
                <c:pt idx="13">
                  <c:v>1.1986528199469206</c:v>
                </c:pt>
                <c:pt idx="14">
                  <c:v>1.6152436465385056</c:v>
                </c:pt>
                <c:pt idx="15">
                  <c:v>2.0773502691896257</c:v>
                </c:pt>
                <c:pt idx="16">
                  <c:v>2.6027415617602303</c:v>
                </c:pt>
                <c:pt idx="17">
                  <c:v>3.2161231740339034</c:v>
                </c:pt>
                <c:pt idx="18">
                  <c:v>3.9518455739153597</c:v>
                </c:pt>
                <c:pt idx="19">
                  <c:v>4.8576692799745933</c:v>
                </c:pt>
                <c:pt idx="20">
                  <c:v>6</c:v>
                </c:pt>
                <c:pt idx="21">
                  <c:v>7.471167510947728</c:v>
                </c:pt>
                <c:pt idx="22">
                  <c:v>9.3995461347952904</c:v>
                </c:pt>
                <c:pt idx="23">
                  <c:v>11.963626138566859</c:v>
                </c:pt>
                <c:pt idx="24">
                  <c:v>15.411578456539658</c:v>
                </c:pt>
                <c:pt idx="25">
                  <c:v>20.088457268119903</c:v>
                </c:pt>
                <c:pt idx="26">
                  <c:v>26.474022167526226</c:v>
                </c:pt>
                <c:pt idx="27">
                  <c:v>35.235325698915084</c:v>
                </c:pt>
                <c:pt idx="28">
                  <c:v>47.299830495714723</c:v>
                </c:pt>
                <c:pt idx="29">
                  <c:v>63.95707055931404</c:v>
                </c:pt>
                <c:pt idx="30">
                  <c:v>86.999999999999076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05-4BE8-9E58-F3060A4C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26032"/>
        <c:axId val="371728656"/>
      </c:scatterChart>
      <c:valAx>
        <c:axId val="37172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728656"/>
        <c:crosses val="autoZero"/>
        <c:crossBetween val="midCat"/>
      </c:valAx>
      <c:valAx>
        <c:axId val="37172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72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v>x + 2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'Нелинейные уравнения'!$B$9:$B$34</c:f>
              <c:numCache>
                <c:formatCode>General</c:formatCode>
                <c:ptCount val="26"/>
                <c:pt idx="0">
                  <c:v>-5</c:v>
                </c:pt>
                <c:pt idx="1">
                  <c:v>-4.7</c:v>
                </c:pt>
                <c:pt idx="2">
                  <c:v>-4.4000000000000004</c:v>
                </c:pt>
                <c:pt idx="3">
                  <c:v>-4.0999999999999996</c:v>
                </c:pt>
                <c:pt idx="4">
                  <c:v>-3.8</c:v>
                </c:pt>
                <c:pt idx="5">
                  <c:v>-3.5</c:v>
                </c:pt>
                <c:pt idx="6">
                  <c:v>-3.2</c:v>
                </c:pt>
                <c:pt idx="7">
                  <c:v>-2.9</c:v>
                </c:pt>
                <c:pt idx="8">
                  <c:v>-2.6</c:v>
                </c:pt>
                <c:pt idx="9">
                  <c:v>-2.2999999999999998</c:v>
                </c:pt>
                <c:pt idx="10">
                  <c:v>-2</c:v>
                </c:pt>
                <c:pt idx="11">
                  <c:v>-1.7</c:v>
                </c:pt>
                <c:pt idx="12">
                  <c:v>-1.4</c:v>
                </c:pt>
                <c:pt idx="13">
                  <c:v>-1.1000000000000001</c:v>
                </c:pt>
                <c:pt idx="14">
                  <c:v>-0.8</c:v>
                </c:pt>
                <c:pt idx="15">
                  <c:v>-0.5</c:v>
                </c:pt>
                <c:pt idx="16">
                  <c:v>-0.2</c:v>
                </c:pt>
                <c:pt idx="17">
                  <c:v>9.9999999999999603E-2</c:v>
                </c:pt>
                <c:pt idx="18">
                  <c:v>0.4</c:v>
                </c:pt>
                <c:pt idx="19">
                  <c:v>0.7</c:v>
                </c:pt>
                <c:pt idx="20">
                  <c:v>1</c:v>
                </c:pt>
                <c:pt idx="21">
                  <c:v>1.3</c:v>
                </c:pt>
                <c:pt idx="22">
                  <c:v>1.6</c:v>
                </c:pt>
                <c:pt idx="23">
                  <c:v>1.9</c:v>
                </c:pt>
                <c:pt idx="24">
                  <c:v>2.2000000000000002</c:v>
                </c:pt>
                <c:pt idx="25">
                  <c:v>2.5</c:v>
                </c:pt>
              </c:numCache>
            </c:numRef>
          </c:xVal>
          <c:yVal>
            <c:numRef>
              <c:f>'Нелинейные уравнения'!$U$9:$U$34</c:f>
              <c:numCache>
                <c:formatCode>General</c:formatCode>
                <c:ptCount val="26"/>
                <c:pt idx="0">
                  <c:v>3</c:v>
                </c:pt>
                <c:pt idx="1">
                  <c:v>2.7</c:v>
                </c:pt>
                <c:pt idx="2">
                  <c:v>2.4000000000000004</c:v>
                </c:pt>
                <c:pt idx="3">
                  <c:v>2.0999999999999996</c:v>
                </c:pt>
                <c:pt idx="4">
                  <c:v>1.7999999999999998</c:v>
                </c:pt>
                <c:pt idx="5">
                  <c:v>1.5</c:v>
                </c:pt>
                <c:pt idx="6">
                  <c:v>1.2000000000000002</c:v>
                </c:pt>
                <c:pt idx="7">
                  <c:v>0.89999999999999991</c:v>
                </c:pt>
                <c:pt idx="8">
                  <c:v>0.60000000000000009</c:v>
                </c:pt>
                <c:pt idx="9">
                  <c:v>0.29999999999999982</c:v>
                </c:pt>
                <c:pt idx="10">
                  <c:v>0</c:v>
                </c:pt>
                <c:pt idx="11">
                  <c:v>-0.30000000000000004</c:v>
                </c:pt>
                <c:pt idx="12">
                  <c:v>-0.60000000000000009</c:v>
                </c:pt>
                <c:pt idx="13">
                  <c:v>-0.89999999999999991</c:v>
                </c:pt>
                <c:pt idx="14">
                  <c:v>-1.2</c:v>
                </c:pt>
                <c:pt idx="15">
                  <c:v>-1.5</c:v>
                </c:pt>
                <c:pt idx="16">
                  <c:v>-1.8</c:v>
                </c:pt>
                <c:pt idx="17">
                  <c:v>-2.0999999999999996</c:v>
                </c:pt>
                <c:pt idx="18">
                  <c:v>-2.4</c:v>
                </c:pt>
                <c:pt idx="19">
                  <c:v>-2.7</c:v>
                </c:pt>
                <c:pt idx="20">
                  <c:v>-3</c:v>
                </c:pt>
                <c:pt idx="21">
                  <c:v>-3.3</c:v>
                </c:pt>
                <c:pt idx="22">
                  <c:v>-3.6</c:v>
                </c:pt>
                <c:pt idx="23">
                  <c:v>-3.9</c:v>
                </c:pt>
                <c:pt idx="24">
                  <c:v>-4.2</c:v>
                </c:pt>
                <c:pt idx="25">
                  <c:v>-4.5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A6-4CA9-9539-B3D2891B90D7}"/>
            </c:ext>
          </c:extLst>
        </c:ser>
        <c:ser>
          <c:idx val="2"/>
          <c:order val="1"/>
          <c:tx>
            <c:v>3 ^ x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'Нелинейные уравнения'!$B$9:$B$34</c:f>
              <c:numCache>
                <c:formatCode>General</c:formatCode>
                <c:ptCount val="26"/>
                <c:pt idx="0">
                  <c:v>-5</c:v>
                </c:pt>
                <c:pt idx="1">
                  <c:v>-4.7</c:v>
                </c:pt>
                <c:pt idx="2">
                  <c:v>-4.4000000000000004</c:v>
                </c:pt>
                <c:pt idx="3">
                  <c:v>-4.0999999999999996</c:v>
                </c:pt>
                <c:pt idx="4">
                  <c:v>-3.8</c:v>
                </c:pt>
                <c:pt idx="5">
                  <c:v>-3.5</c:v>
                </c:pt>
                <c:pt idx="6">
                  <c:v>-3.2</c:v>
                </c:pt>
                <c:pt idx="7">
                  <c:v>-2.9</c:v>
                </c:pt>
                <c:pt idx="8">
                  <c:v>-2.6</c:v>
                </c:pt>
                <c:pt idx="9">
                  <c:v>-2.2999999999999998</c:v>
                </c:pt>
                <c:pt idx="10">
                  <c:v>-2</c:v>
                </c:pt>
                <c:pt idx="11">
                  <c:v>-1.7</c:v>
                </c:pt>
                <c:pt idx="12">
                  <c:v>-1.4</c:v>
                </c:pt>
                <c:pt idx="13">
                  <c:v>-1.1000000000000001</c:v>
                </c:pt>
                <c:pt idx="14">
                  <c:v>-0.8</c:v>
                </c:pt>
                <c:pt idx="15">
                  <c:v>-0.5</c:v>
                </c:pt>
                <c:pt idx="16">
                  <c:v>-0.2</c:v>
                </c:pt>
                <c:pt idx="17">
                  <c:v>9.9999999999999603E-2</c:v>
                </c:pt>
                <c:pt idx="18">
                  <c:v>0.4</c:v>
                </c:pt>
                <c:pt idx="19">
                  <c:v>0.7</c:v>
                </c:pt>
                <c:pt idx="20">
                  <c:v>1</c:v>
                </c:pt>
                <c:pt idx="21">
                  <c:v>1.3</c:v>
                </c:pt>
                <c:pt idx="22">
                  <c:v>1.6</c:v>
                </c:pt>
                <c:pt idx="23">
                  <c:v>1.9</c:v>
                </c:pt>
                <c:pt idx="24">
                  <c:v>2.2000000000000002</c:v>
                </c:pt>
                <c:pt idx="25">
                  <c:v>2.5</c:v>
                </c:pt>
              </c:numCache>
            </c:numRef>
          </c:xVal>
          <c:yVal>
            <c:numRef>
              <c:f>'Нелинейные уравнения'!$V$9:$V$34</c:f>
              <c:numCache>
                <c:formatCode>0.0000</c:formatCode>
                <c:ptCount val="26"/>
                <c:pt idx="0">
                  <c:v>4.11522633744856E-3</c:v>
                </c:pt>
                <c:pt idx="1">
                  <c:v>5.721766132987278E-3</c:v>
                </c:pt>
                <c:pt idx="2">
                  <c:v>7.9554816663858496E-3</c:v>
                </c:pt>
                <c:pt idx="3">
                  <c:v>1.1061215553589659E-2</c:v>
                </c:pt>
                <c:pt idx="4">
                  <c:v>1.5379394316240958E-2</c:v>
                </c:pt>
                <c:pt idx="5">
                  <c:v>2.1383343303319469E-2</c:v>
                </c:pt>
                <c:pt idx="6">
                  <c:v>2.97311689540826E-2</c:v>
                </c:pt>
                <c:pt idx="7">
                  <c:v>4.1337895334589043E-2</c:v>
                </c:pt>
                <c:pt idx="8">
                  <c:v>5.7475761996865167E-2</c:v>
                </c:pt>
                <c:pt idx="9">
                  <c:v>7.9913677036096017E-2</c:v>
                </c:pt>
                <c:pt idx="10">
                  <c:v>0.1111111111111111</c:v>
                </c:pt>
                <c:pt idx="11">
                  <c:v>0.15448768559065656</c:v>
                </c:pt>
                <c:pt idx="12">
                  <c:v>0.21479800499241811</c:v>
                </c:pt>
                <c:pt idx="13">
                  <c:v>0.29865281994692067</c:v>
                </c:pt>
                <c:pt idx="14">
                  <c:v>0.41524364653850571</c:v>
                </c:pt>
                <c:pt idx="15">
                  <c:v>0.57735026918962584</c:v>
                </c:pt>
                <c:pt idx="16">
                  <c:v>0.80274156176023059</c:v>
                </c:pt>
                <c:pt idx="17">
                  <c:v>1.1161231740339039</c:v>
                </c:pt>
                <c:pt idx="18">
                  <c:v>1.5518455739153598</c:v>
                </c:pt>
                <c:pt idx="19">
                  <c:v>2.1576692799745931</c:v>
                </c:pt>
                <c:pt idx="20">
                  <c:v>3</c:v>
                </c:pt>
                <c:pt idx="21">
                  <c:v>4.1711675109477282</c:v>
                </c:pt>
                <c:pt idx="22">
                  <c:v>5.7995461347952899</c:v>
                </c:pt>
                <c:pt idx="23">
                  <c:v>8.0636261385668586</c:v>
                </c:pt>
                <c:pt idx="24">
                  <c:v>11.211578456539659</c:v>
                </c:pt>
                <c:pt idx="25">
                  <c:v>15.588457268119901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A6-4CA9-9539-B3D2891B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68968"/>
        <c:axId val="432469296"/>
      </c:scatterChart>
      <c:valAx>
        <c:axId val="43246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469296"/>
        <c:crosses val="autoZero"/>
        <c:crossBetween val="midCat"/>
      </c:valAx>
      <c:valAx>
        <c:axId val="43246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468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'Нелинейные уравнения'!$B$92:$B$122</c:f>
              <c:numCache>
                <c:formatCode>General</c:formatCode>
                <c:ptCount val="31"/>
                <c:pt idx="0">
                  <c:v>-5</c:v>
                </c:pt>
                <c:pt idx="1">
                  <c:v>-4.7</c:v>
                </c:pt>
                <c:pt idx="2">
                  <c:v>-4.4000000000000004</c:v>
                </c:pt>
                <c:pt idx="3">
                  <c:v>-4.0999999999999996</c:v>
                </c:pt>
                <c:pt idx="4">
                  <c:v>-3.8</c:v>
                </c:pt>
                <c:pt idx="5">
                  <c:v>-3.5</c:v>
                </c:pt>
                <c:pt idx="6">
                  <c:v>-3.2</c:v>
                </c:pt>
                <c:pt idx="7">
                  <c:v>-2.9</c:v>
                </c:pt>
                <c:pt idx="8">
                  <c:v>-2.6</c:v>
                </c:pt>
                <c:pt idx="9">
                  <c:v>-2.2999999999999998</c:v>
                </c:pt>
                <c:pt idx="10">
                  <c:v>-2</c:v>
                </c:pt>
                <c:pt idx="11">
                  <c:v>-1.7</c:v>
                </c:pt>
                <c:pt idx="12">
                  <c:v>-1.4</c:v>
                </c:pt>
                <c:pt idx="13">
                  <c:v>-1.1000000000000001</c:v>
                </c:pt>
                <c:pt idx="14">
                  <c:v>-0.8</c:v>
                </c:pt>
                <c:pt idx="15">
                  <c:v>-0.5</c:v>
                </c:pt>
                <c:pt idx="16">
                  <c:v>-0.2</c:v>
                </c:pt>
                <c:pt idx="17">
                  <c:v>9.9999999999999603E-2</c:v>
                </c:pt>
                <c:pt idx="18">
                  <c:v>0.4</c:v>
                </c:pt>
                <c:pt idx="19">
                  <c:v>0.7</c:v>
                </c:pt>
                <c:pt idx="20">
                  <c:v>1</c:v>
                </c:pt>
                <c:pt idx="21">
                  <c:v>1.3</c:v>
                </c:pt>
                <c:pt idx="22">
                  <c:v>1.6</c:v>
                </c:pt>
                <c:pt idx="23">
                  <c:v>1.9</c:v>
                </c:pt>
                <c:pt idx="24">
                  <c:v>2.2000000000000002</c:v>
                </c:pt>
                <c:pt idx="25">
                  <c:v>2.5</c:v>
                </c:pt>
                <c:pt idx="26">
                  <c:v>2.8</c:v>
                </c:pt>
                <c:pt idx="27">
                  <c:v>3.0999999999999899</c:v>
                </c:pt>
                <c:pt idx="28">
                  <c:v>3.4</c:v>
                </c:pt>
                <c:pt idx="29">
                  <c:v>3.7</c:v>
                </c:pt>
                <c:pt idx="30">
                  <c:v>3.9999999999999898</c:v>
                </c:pt>
              </c:numCache>
            </c:numRef>
          </c:xVal>
          <c:yVal>
            <c:numRef>
              <c:f>'Нелинейные уравнения'!$C$92:$C$122</c:f>
              <c:numCache>
                <c:formatCode>0.0000</c:formatCode>
                <c:ptCount val="31"/>
                <c:pt idx="0">
                  <c:v>-174</c:v>
                </c:pt>
                <c:pt idx="1">
                  <c:v>-123.45600000000007</c:v>
                </c:pt>
                <c:pt idx="2">
                  <c:v>-79.608000000000061</c:v>
                </c:pt>
                <c:pt idx="3">
                  <c:v>-42.131999999999977</c:v>
                </c:pt>
                <c:pt idx="4">
                  <c:v>-10.704000000000008</c:v>
                </c:pt>
                <c:pt idx="5">
                  <c:v>15</c:v>
                </c:pt>
                <c:pt idx="6">
                  <c:v>35.303999999999974</c:v>
                </c:pt>
                <c:pt idx="7">
                  <c:v>50.532000000000011</c:v>
                </c:pt>
                <c:pt idx="8">
                  <c:v>61.007999999999981</c:v>
                </c:pt>
                <c:pt idx="9">
                  <c:v>67.056000000000012</c:v>
                </c:pt>
                <c:pt idx="10">
                  <c:v>69</c:v>
                </c:pt>
                <c:pt idx="11">
                  <c:v>67.164000000000001</c:v>
                </c:pt>
                <c:pt idx="12">
                  <c:v>61.872</c:v>
                </c:pt>
                <c:pt idx="13">
                  <c:v>53.447999999999993</c:v>
                </c:pt>
                <c:pt idx="14">
                  <c:v>42.216000000000001</c:v>
                </c:pt>
                <c:pt idx="15">
                  <c:v>28.5</c:v>
                </c:pt>
                <c:pt idx="16">
                  <c:v>12.624000000000001</c:v>
                </c:pt>
                <c:pt idx="17">
                  <c:v>-5.0879999999999752</c:v>
                </c:pt>
                <c:pt idx="18">
                  <c:v>-24.312000000000001</c:v>
                </c:pt>
                <c:pt idx="19">
                  <c:v>-44.723999999999997</c:v>
                </c:pt>
                <c:pt idx="20">
                  <c:v>-66</c:v>
                </c:pt>
                <c:pt idx="21">
                  <c:v>-87.816000000000003</c:v>
                </c:pt>
                <c:pt idx="22">
                  <c:v>-109.848</c:v>
                </c:pt>
                <c:pt idx="23">
                  <c:v>-131.77199999999999</c:v>
                </c:pt>
                <c:pt idx="24">
                  <c:v>-153.26400000000001</c:v>
                </c:pt>
                <c:pt idx="25">
                  <c:v>-174</c:v>
                </c:pt>
                <c:pt idx="26">
                  <c:v>-193.65600000000001</c:v>
                </c:pt>
                <c:pt idx="27">
                  <c:v>-211.90799999999942</c:v>
                </c:pt>
                <c:pt idx="28">
                  <c:v>-228.43200000000002</c:v>
                </c:pt>
                <c:pt idx="29">
                  <c:v>-242.904</c:v>
                </c:pt>
                <c:pt idx="30">
                  <c:v>-254.9999999999996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1E-408C-8D66-323E5D0F2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898928"/>
        <c:axId val="477899256"/>
      </c:scatterChart>
      <c:valAx>
        <c:axId val="47789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899256"/>
        <c:crosses val="autoZero"/>
        <c:crossBetween val="midCat"/>
      </c:valAx>
      <c:valAx>
        <c:axId val="47789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89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Интерполяция!$B$35:$B$57</c:f>
              <c:numCache>
                <c:formatCode>General</c:formatCode>
                <c:ptCount val="23"/>
                <c:pt idx="0">
                  <c:v>1.9</c:v>
                </c:pt>
                <c:pt idx="1">
                  <c:v>2</c:v>
                </c:pt>
                <c:pt idx="2">
                  <c:v>2.1</c:v>
                </c:pt>
                <c:pt idx="3">
                  <c:v>2.2000000000000002</c:v>
                </c:pt>
                <c:pt idx="4">
                  <c:v>2.2999999999999998</c:v>
                </c:pt>
                <c:pt idx="5">
                  <c:v>2.4</c:v>
                </c:pt>
                <c:pt idx="6">
                  <c:v>2.5</c:v>
                </c:pt>
                <c:pt idx="7">
                  <c:v>2.6</c:v>
                </c:pt>
                <c:pt idx="8">
                  <c:v>2.7</c:v>
                </c:pt>
                <c:pt idx="9">
                  <c:v>2.8</c:v>
                </c:pt>
                <c:pt idx="10">
                  <c:v>2.9</c:v>
                </c:pt>
                <c:pt idx="11">
                  <c:v>3</c:v>
                </c:pt>
                <c:pt idx="12">
                  <c:v>3.1</c:v>
                </c:pt>
                <c:pt idx="13">
                  <c:v>3.2</c:v>
                </c:pt>
                <c:pt idx="14">
                  <c:v>3.3</c:v>
                </c:pt>
                <c:pt idx="15">
                  <c:v>3.4</c:v>
                </c:pt>
                <c:pt idx="16">
                  <c:v>3.5</c:v>
                </c:pt>
                <c:pt idx="17">
                  <c:v>3.6</c:v>
                </c:pt>
                <c:pt idx="18">
                  <c:v>3.7</c:v>
                </c:pt>
                <c:pt idx="19">
                  <c:v>3.8</c:v>
                </c:pt>
                <c:pt idx="20">
                  <c:v>3.9</c:v>
                </c:pt>
                <c:pt idx="21">
                  <c:v>4</c:v>
                </c:pt>
                <c:pt idx="22">
                  <c:v>4.0999999999999996</c:v>
                </c:pt>
              </c:numCache>
            </c:numRef>
          </c:xVal>
          <c:yVal>
            <c:numRef>
              <c:f>Интерполяция!$C$35:$C$57</c:f>
              <c:numCache>
                <c:formatCode>General</c:formatCode>
                <c:ptCount val="23"/>
                <c:pt idx="0">
                  <c:v>-1.6007999999999356</c:v>
                </c:pt>
                <c:pt idx="1">
                  <c:v>-0.49999999999995737</c:v>
                </c:pt>
                <c:pt idx="2">
                  <c:v>0.25200000000000244</c:v>
                </c:pt>
                <c:pt idx="3">
                  <c:v>0.72080000000011779</c:v>
                </c:pt>
                <c:pt idx="4">
                  <c:v>0.96640000000002146</c:v>
                </c:pt>
                <c:pt idx="5">
                  <c:v>1.0432000000000272</c:v>
                </c:pt>
                <c:pt idx="6">
                  <c:v>1.0000000000000995</c:v>
                </c:pt>
                <c:pt idx="7">
                  <c:v>0.88000000000013756</c:v>
                </c:pt>
                <c:pt idx="8">
                  <c:v>0.7207999999998691</c:v>
                </c:pt>
                <c:pt idx="9">
                  <c:v>0.55439999999987322</c:v>
                </c:pt>
                <c:pt idx="10">
                  <c:v>0.40720000000004575</c:v>
                </c:pt>
                <c:pt idx="11">
                  <c:v>0.30000000000009663</c:v>
                </c:pt>
                <c:pt idx="12">
                  <c:v>0.24799999999970623</c:v>
                </c:pt>
                <c:pt idx="13">
                  <c:v>0.2607999999999322</c:v>
                </c:pt>
                <c:pt idx="14">
                  <c:v>0.34240000000028203</c:v>
                </c:pt>
                <c:pt idx="15">
                  <c:v>0.49120000000016262</c:v>
                </c:pt>
                <c:pt idx="16">
                  <c:v>0.69999999999998863</c:v>
                </c:pt>
                <c:pt idx="17">
                  <c:v>0.95600000000007412</c:v>
                </c:pt>
                <c:pt idx="18">
                  <c:v>1.2408000000002062</c:v>
                </c:pt>
                <c:pt idx="19">
                  <c:v>1.5303999999998723</c:v>
                </c:pt>
                <c:pt idx="20">
                  <c:v>1.7952000000000226</c:v>
                </c:pt>
                <c:pt idx="21">
                  <c:v>2</c:v>
                </c:pt>
                <c:pt idx="22">
                  <c:v>2.1040000000001555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43-4F17-BED9-93277C57ADC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Интерполяция!$C$18:$G$18</c:f>
              <c:numCache>
                <c:formatCode>General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3</c:v>
                </c:pt>
                <c:pt idx="3">
                  <c:v>3.5</c:v>
                </c:pt>
                <c:pt idx="4">
                  <c:v>4</c:v>
                </c:pt>
              </c:numCache>
            </c:numRef>
          </c:xVal>
          <c:yVal>
            <c:numRef>
              <c:f>Интерполяция!$C$19:$G$19</c:f>
              <c:numCache>
                <c:formatCode>General</c:formatCode>
                <c:ptCount val="5"/>
                <c:pt idx="0">
                  <c:v>-0.5</c:v>
                </c:pt>
                <c:pt idx="1">
                  <c:v>1</c:v>
                </c:pt>
                <c:pt idx="2">
                  <c:v>0.3</c:v>
                </c:pt>
                <c:pt idx="3">
                  <c:v>0.7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BB-44E9-9295-F6F229CAF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168312"/>
        <c:axId val="465452920"/>
      </c:scatterChart>
      <c:valAx>
        <c:axId val="479168312"/>
        <c:scaling>
          <c:orientation val="minMax"/>
          <c:min val="1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5452920"/>
        <c:crosses val="autoZero"/>
        <c:crossBetween val="midCat"/>
      </c:valAx>
      <c:valAx>
        <c:axId val="46545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16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Интерполяция!$B$88:$B$112</c:f>
              <c:numCache>
                <c:formatCode>General</c:formatCode>
                <c:ptCount val="25"/>
                <c:pt idx="0">
                  <c:v>1.8</c:v>
                </c:pt>
                <c:pt idx="1">
                  <c:v>1.9</c:v>
                </c:pt>
                <c:pt idx="2">
                  <c:v>2</c:v>
                </c:pt>
                <c:pt idx="3">
                  <c:v>2.1</c:v>
                </c:pt>
                <c:pt idx="4">
                  <c:v>2.2000000000000002</c:v>
                </c:pt>
                <c:pt idx="5">
                  <c:v>2.2999999999999998</c:v>
                </c:pt>
                <c:pt idx="6">
                  <c:v>2.4</c:v>
                </c:pt>
                <c:pt idx="7">
                  <c:v>2.5</c:v>
                </c:pt>
                <c:pt idx="8">
                  <c:v>2.6</c:v>
                </c:pt>
                <c:pt idx="9">
                  <c:v>2.7</c:v>
                </c:pt>
                <c:pt idx="10">
                  <c:v>2.8</c:v>
                </c:pt>
                <c:pt idx="11">
                  <c:v>2.9</c:v>
                </c:pt>
                <c:pt idx="12">
                  <c:v>3</c:v>
                </c:pt>
                <c:pt idx="13">
                  <c:v>3.1</c:v>
                </c:pt>
                <c:pt idx="14">
                  <c:v>3.2</c:v>
                </c:pt>
                <c:pt idx="15">
                  <c:v>3.3</c:v>
                </c:pt>
                <c:pt idx="16">
                  <c:v>3.4</c:v>
                </c:pt>
                <c:pt idx="17">
                  <c:v>3.5</c:v>
                </c:pt>
                <c:pt idx="18">
                  <c:v>3.6</c:v>
                </c:pt>
                <c:pt idx="19">
                  <c:v>3.7</c:v>
                </c:pt>
                <c:pt idx="20">
                  <c:v>3.8</c:v>
                </c:pt>
                <c:pt idx="21">
                  <c:v>3.9</c:v>
                </c:pt>
                <c:pt idx="22">
                  <c:v>4</c:v>
                </c:pt>
                <c:pt idx="23">
                  <c:v>4.0999999999999996</c:v>
                </c:pt>
                <c:pt idx="24">
                  <c:v>4.2</c:v>
                </c:pt>
              </c:numCache>
            </c:numRef>
          </c:xVal>
          <c:yVal>
            <c:numRef>
              <c:f>Интерполяция!$H$88:$H$112</c:f>
              <c:numCache>
                <c:formatCode>General</c:formatCode>
                <c:ptCount val="25"/>
                <c:pt idx="0">
                  <c:v>-3.1215999999999999</c:v>
                </c:pt>
                <c:pt idx="1">
                  <c:v>-1.6008000000000011</c:v>
                </c:pt>
                <c:pt idx="2">
                  <c:v>-0.5</c:v>
                </c:pt>
                <c:pt idx="3">
                  <c:v>0.2520000000000005</c:v>
                </c:pt>
                <c:pt idx="4">
                  <c:v>0.72080000000000066</c:v>
                </c:pt>
                <c:pt idx="5">
                  <c:v>0.96639999999999959</c:v>
                </c:pt>
                <c:pt idx="6">
                  <c:v>1.0431999999999997</c:v>
                </c:pt>
                <c:pt idx="7">
                  <c:v>1</c:v>
                </c:pt>
                <c:pt idx="8">
                  <c:v>0.88</c:v>
                </c:pt>
                <c:pt idx="9">
                  <c:v>0.72079999999999977</c:v>
                </c:pt>
                <c:pt idx="10">
                  <c:v>0.55440000000000034</c:v>
                </c:pt>
                <c:pt idx="11">
                  <c:v>0.40720000000000012</c:v>
                </c:pt>
                <c:pt idx="12">
                  <c:v>0.3</c:v>
                </c:pt>
                <c:pt idx="13">
                  <c:v>0.24799999999999997</c:v>
                </c:pt>
                <c:pt idx="14">
                  <c:v>0.26080000000000003</c:v>
                </c:pt>
                <c:pt idx="15">
                  <c:v>0.34239999999999965</c:v>
                </c:pt>
                <c:pt idx="16">
                  <c:v>0.49119999999999975</c:v>
                </c:pt>
                <c:pt idx="17">
                  <c:v>0.7</c:v>
                </c:pt>
                <c:pt idx="18">
                  <c:v>0.95600000000000007</c:v>
                </c:pt>
                <c:pt idx="19">
                  <c:v>1.2408000000000003</c:v>
                </c:pt>
                <c:pt idx="20">
                  <c:v>1.5303999999999995</c:v>
                </c:pt>
                <c:pt idx="21">
                  <c:v>1.7951999999999999</c:v>
                </c:pt>
                <c:pt idx="22">
                  <c:v>2</c:v>
                </c:pt>
                <c:pt idx="23">
                  <c:v>2.1039999999999996</c:v>
                </c:pt>
                <c:pt idx="24">
                  <c:v>2.0607999999999995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9C-40D6-B3A9-BDAC690AEA2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Интерполяция!$C$18:$G$18</c:f>
              <c:numCache>
                <c:formatCode>General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3</c:v>
                </c:pt>
                <c:pt idx="3">
                  <c:v>3.5</c:v>
                </c:pt>
                <c:pt idx="4">
                  <c:v>4</c:v>
                </c:pt>
              </c:numCache>
            </c:numRef>
          </c:xVal>
          <c:yVal>
            <c:numRef>
              <c:f>Интерполяция!$C$19:$G$19</c:f>
              <c:numCache>
                <c:formatCode>General</c:formatCode>
                <c:ptCount val="5"/>
                <c:pt idx="0">
                  <c:v>-0.5</c:v>
                </c:pt>
                <c:pt idx="1">
                  <c:v>1</c:v>
                </c:pt>
                <c:pt idx="2">
                  <c:v>0.3</c:v>
                </c:pt>
                <c:pt idx="3">
                  <c:v>0.7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9C-40D6-B3A9-BDAC690A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72264"/>
        <c:axId val="520068984"/>
      </c:scatterChart>
      <c:valAx>
        <c:axId val="520072264"/>
        <c:scaling>
          <c:orientation val="minMax"/>
          <c:max val="4.3"/>
          <c:min val="1.7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068984"/>
        <c:crosses val="autoZero"/>
        <c:crossBetween val="midCat"/>
      </c:valAx>
      <c:valAx>
        <c:axId val="52006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072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Интерполяция!$B$150:$B$174</c:f>
              <c:numCache>
                <c:formatCode>General</c:formatCode>
                <c:ptCount val="25"/>
                <c:pt idx="0">
                  <c:v>1.8</c:v>
                </c:pt>
                <c:pt idx="1">
                  <c:v>1.9</c:v>
                </c:pt>
                <c:pt idx="2">
                  <c:v>2</c:v>
                </c:pt>
                <c:pt idx="3">
                  <c:v>2.1</c:v>
                </c:pt>
                <c:pt idx="4">
                  <c:v>2.2000000000000002</c:v>
                </c:pt>
                <c:pt idx="5">
                  <c:v>2.2999999999999998</c:v>
                </c:pt>
                <c:pt idx="6">
                  <c:v>2.4</c:v>
                </c:pt>
                <c:pt idx="7">
                  <c:v>2.5</c:v>
                </c:pt>
                <c:pt idx="8">
                  <c:v>2.6</c:v>
                </c:pt>
                <c:pt idx="9">
                  <c:v>2.7</c:v>
                </c:pt>
                <c:pt idx="10">
                  <c:v>2.8</c:v>
                </c:pt>
                <c:pt idx="11">
                  <c:v>2.9</c:v>
                </c:pt>
                <c:pt idx="12">
                  <c:v>3</c:v>
                </c:pt>
                <c:pt idx="13">
                  <c:v>3.1</c:v>
                </c:pt>
                <c:pt idx="14">
                  <c:v>3.2</c:v>
                </c:pt>
                <c:pt idx="15">
                  <c:v>3.3</c:v>
                </c:pt>
                <c:pt idx="16">
                  <c:v>3.4</c:v>
                </c:pt>
                <c:pt idx="17">
                  <c:v>3.5</c:v>
                </c:pt>
                <c:pt idx="18">
                  <c:v>3.6</c:v>
                </c:pt>
                <c:pt idx="19">
                  <c:v>3.7</c:v>
                </c:pt>
                <c:pt idx="20">
                  <c:v>3.8</c:v>
                </c:pt>
                <c:pt idx="21">
                  <c:v>3.9</c:v>
                </c:pt>
                <c:pt idx="22">
                  <c:v>4</c:v>
                </c:pt>
                <c:pt idx="23">
                  <c:v>4.0999999999999996</c:v>
                </c:pt>
                <c:pt idx="24">
                  <c:v>4.2</c:v>
                </c:pt>
              </c:numCache>
            </c:numRef>
          </c:xVal>
          <c:yVal>
            <c:numRef>
              <c:f>Интерполяция!$C$150:$C$174</c:f>
              <c:numCache>
                <c:formatCode>General</c:formatCode>
                <c:ptCount val="25"/>
                <c:pt idx="0">
                  <c:v>-3.1215999999999995</c:v>
                </c:pt>
                <c:pt idx="1">
                  <c:v>-1.6008000000000009</c:v>
                </c:pt>
                <c:pt idx="2">
                  <c:v>-0.5</c:v>
                </c:pt>
                <c:pt idx="3">
                  <c:v>0.2520000000000005</c:v>
                </c:pt>
                <c:pt idx="4">
                  <c:v>0.72080000000000055</c:v>
                </c:pt>
                <c:pt idx="5">
                  <c:v>0.9663999999999997</c:v>
                </c:pt>
                <c:pt idx="6">
                  <c:v>1.0432000000000001</c:v>
                </c:pt>
                <c:pt idx="7">
                  <c:v>1</c:v>
                </c:pt>
                <c:pt idx="8">
                  <c:v>0.88</c:v>
                </c:pt>
                <c:pt idx="9">
                  <c:v>0.72079999999999966</c:v>
                </c:pt>
                <c:pt idx="10">
                  <c:v>0.55440000000000034</c:v>
                </c:pt>
                <c:pt idx="11">
                  <c:v>0.40720000000000001</c:v>
                </c:pt>
                <c:pt idx="12">
                  <c:v>0.29999999999999982</c:v>
                </c:pt>
                <c:pt idx="13">
                  <c:v>0.24799999999999978</c:v>
                </c:pt>
                <c:pt idx="14">
                  <c:v>0.26079999999999948</c:v>
                </c:pt>
                <c:pt idx="15">
                  <c:v>0.34239999999999915</c:v>
                </c:pt>
                <c:pt idx="16">
                  <c:v>0.49119999999999886</c:v>
                </c:pt>
                <c:pt idx="17">
                  <c:v>0.69999999999999929</c:v>
                </c:pt>
                <c:pt idx="18">
                  <c:v>0.95599999999999963</c:v>
                </c:pt>
                <c:pt idx="19">
                  <c:v>1.2407999999999997</c:v>
                </c:pt>
                <c:pt idx="20">
                  <c:v>1.5303999999999969</c:v>
                </c:pt>
                <c:pt idx="21">
                  <c:v>1.7951999999999995</c:v>
                </c:pt>
                <c:pt idx="22">
                  <c:v>1.9999999999999987</c:v>
                </c:pt>
                <c:pt idx="23">
                  <c:v>2.1039999999999974</c:v>
                </c:pt>
                <c:pt idx="24">
                  <c:v>2.0607999999999986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21-45C7-B9A5-52753EDC0A4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Интерполяция!$C$18:$G$18</c:f>
              <c:numCache>
                <c:formatCode>General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3</c:v>
                </c:pt>
                <c:pt idx="3">
                  <c:v>3.5</c:v>
                </c:pt>
                <c:pt idx="4">
                  <c:v>4</c:v>
                </c:pt>
              </c:numCache>
            </c:numRef>
          </c:xVal>
          <c:yVal>
            <c:numRef>
              <c:f>Интерполяция!$C$19:$G$19</c:f>
              <c:numCache>
                <c:formatCode>General</c:formatCode>
                <c:ptCount val="5"/>
                <c:pt idx="0">
                  <c:v>-0.5</c:v>
                </c:pt>
                <c:pt idx="1">
                  <c:v>1</c:v>
                </c:pt>
                <c:pt idx="2">
                  <c:v>0.3</c:v>
                </c:pt>
                <c:pt idx="3">
                  <c:v>0.7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21-45C7-B9A5-52753EDC0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812232"/>
        <c:axId val="519812888"/>
      </c:scatterChart>
      <c:valAx>
        <c:axId val="519812232"/>
        <c:scaling>
          <c:orientation val="minMax"/>
          <c:max val="4.3"/>
          <c:min val="1.7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812888"/>
        <c:crosses val="autoZero"/>
        <c:crossBetween val="midCat"/>
      </c:valAx>
      <c:valAx>
        <c:axId val="51981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81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Линейная</a:t>
            </a:r>
            <a:r>
              <a:rPr lang="ru-RU" baseline="0"/>
              <a:t> апроксимация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Аппроксимация!$C$40:$N$40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Аппроксимация!$C$30:$N$30</c:f>
              <c:numCache>
                <c:formatCode>General</c:formatCode>
                <c:ptCount val="12"/>
                <c:pt idx="0">
                  <c:v>10</c:v>
                </c:pt>
                <c:pt idx="1">
                  <c:v>9.2200000000000006</c:v>
                </c:pt>
                <c:pt idx="2">
                  <c:v>8.5</c:v>
                </c:pt>
                <c:pt idx="3">
                  <c:v>6.12</c:v>
                </c:pt>
                <c:pt idx="4">
                  <c:v>4.3</c:v>
                </c:pt>
                <c:pt idx="5">
                  <c:v>3.4</c:v>
                </c:pt>
                <c:pt idx="6">
                  <c:v>3.33</c:v>
                </c:pt>
                <c:pt idx="7">
                  <c:v>2.5</c:v>
                </c:pt>
                <c:pt idx="8">
                  <c:v>2.2200000000000002</c:v>
                </c:pt>
                <c:pt idx="9">
                  <c:v>1.5</c:v>
                </c:pt>
                <c:pt idx="10">
                  <c:v>1.1000000000000001</c:v>
                </c:pt>
                <c:pt idx="1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43-4648-86A7-5A170B2D6EA1}"/>
            </c:ext>
          </c:extLst>
        </c:ser>
        <c:ser>
          <c:idx val="1"/>
          <c:order val="1"/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Аппроксимация!$C$40:$N$40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Аппроксимация!$C$41:$N$41</c:f>
              <c:numCache>
                <c:formatCode>General</c:formatCode>
                <c:ptCount val="12"/>
                <c:pt idx="0">
                  <c:v>8.6105426311841811</c:v>
                </c:pt>
                <c:pt idx="1">
                  <c:v>8.5204676019321344</c:v>
                </c:pt>
                <c:pt idx="2">
                  <c:v>7.7818523620653437</c:v>
                </c:pt>
                <c:pt idx="3">
                  <c:v>6.8720945666196629</c:v>
                </c:pt>
                <c:pt idx="4">
                  <c:v>5.6380666658666101</c:v>
                </c:pt>
                <c:pt idx="5">
                  <c:v>5.0615864786535063</c:v>
                </c:pt>
                <c:pt idx="6">
                  <c:v>3.7014535369475867</c:v>
                </c:pt>
                <c:pt idx="7">
                  <c:v>3.2961159053133731</c:v>
                </c:pt>
                <c:pt idx="8">
                  <c:v>1.70178788755213</c:v>
                </c:pt>
                <c:pt idx="9">
                  <c:v>0.86409011550808756</c:v>
                </c:pt>
                <c:pt idx="10">
                  <c:v>0.54882751312591971</c:v>
                </c:pt>
                <c:pt idx="11">
                  <c:v>-0.30688526476853184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43-4648-86A7-5A170B2D6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51016"/>
        <c:axId val="450948720"/>
      </c:scatterChart>
      <c:valAx>
        <c:axId val="4509510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0948720"/>
        <c:crosses val="autoZero"/>
        <c:crossBetween val="midCat"/>
      </c:valAx>
      <c:valAx>
        <c:axId val="4509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095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Апроксимация</a:t>
            </a:r>
            <a:r>
              <a:rPr lang="ru-RU" baseline="0"/>
              <a:t> квадратного уравнения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Аппроксимация!$C$52:$N$52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Аппроксимация!$C$53:$N$53</c:f>
              <c:numCache>
                <c:formatCode>General</c:formatCode>
                <c:ptCount val="12"/>
                <c:pt idx="0">
                  <c:v>10</c:v>
                </c:pt>
                <c:pt idx="1">
                  <c:v>9.2200000000000006</c:v>
                </c:pt>
                <c:pt idx="2">
                  <c:v>8.5</c:v>
                </c:pt>
                <c:pt idx="3">
                  <c:v>6.12</c:v>
                </c:pt>
                <c:pt idx="4">
                  <c:v>4.3</c:v>
                </c:pt>
                <c:pt idx="5">
                  <c:v>3.4</c:v>
                </c:pt>
                <c:pt idx="6">
                  <c:v>3.33</c:v>
                </c:pt>
                <c:pt idx="7">
                  <c:v>2.5</c:v>
                </c:pt>
                <c:pt idx="8">
                  <c:v>2.2200000000000002</c:v>
                </c:pt>
                <c:pt idx="9">
                  <c:v>1.5</c:v>
                </c:pt>
                <c:pt idx="10">
                  <c:v>1.1000000000000001</c:v>
                </c:pt>
                <c:pt idx="1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6-4555-89F7-55B4E5EC55C3}"/>
            </c:ext>
          </c:extLst>
        </c:ser>
        <c:ser>
          <c:idx val="1"/>
          <c:order val="1"/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8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36-4555-89F7-55B4E5EC55C3}"/>
              </c:ext>
            </c:extLst>
          </c:dPt>
          <c:xVal>
            <c:numRef>
              <c:f>Аппроксимация!$C$52:$N$52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Аппроксимация!$C$66:$N$66</c:f>
              <c:numCache>
                <c:formatCode>General</c:formatCode>
                <c:ptCount val="12"/>
                <c:pt idx="0">
                  <c:v>9.5525327322504658</c:v>
                </c:pt>
                <c:pt idx="1">
                  <c:v>9.3834359984316897</c:v>
                </c:pt>
                <c:pt idx="2">
                  <c:v>8.0598498510864189</c:v>
                </c:pt>
                <c:pt idx="3">
                  <c:v>6.5839481004367881</c:v>
                </c:pt>
                <c:pt idx="4">
                  <c:v>4.8543058646792012</c:v>
                </c:pt>
                <c:pt idx="5">
                  <c:v>4.1537372281130489</c:v>
                </c:pt>
                <c:pt idx="6">
                  <c:v>2.7719789822505412</c:v>
                </c:pt>
                <c:pt idx="7">
                  <c:v>2.4338608748122414</c:v>
                </c:pt>
                <c:pt idx="8">
                  <c:v>1.4321109628459325</c:v>
                </c:pt>
                <c:pt idx="9">
                  <c:v>1.1154851173560516</c:v>
                </c:pt>
                <c:pt idx="10">
                  <c:v>1.0337415646767294</c:v>
                </c:pt>
                <c:pt idx="11">
                  <c:v>0.91501272306089021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36-4555-89F7-55B4E5EC5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10496"/>
        <c:axId val="570205904"/>
      </c:scatterChart>
      <c:valAx>
        <c:axId val="570210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0205904"/>
        <c:crosses val="autoZero"/>
        <c:crossBetween val="midCat"/>
      </c:valAx>
      <c:valAx>
        <c:axId val="5702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021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Аппроксимация!$C$95:$N$95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Аппроксимация!$C$96:$N$96</c:f>
              <c:numCache>
                <c:formatCode>General</c:formatCode>
                <c:ptCount val="12"/>
                <c:pt idx="0">
                  <c:v>10</c:v>
                </c:pt>
                <c:pt idx="1">
                  <c:v>9.2200000000000006</c:v>
                </c:pt>
                <c:pt idx="2">
                  <c:v>8.5</c:v>
                </c:pt>
                <c:pt idx="3">
                  <c:v>6.12</c:v>
                </c:pt>
                <c:pt idx="4">
                  <c:v>4.3</c:v>
                </c:pt>
                <c:pt idx="5">
                  <c:v>3.4</c:v>
                </c:pt>
                <c:pt idx="6">
                  <c:v>3.33</c:v>
                </c:pt>
                <c:pt idx="7">
                  <c:v>2.5</c:v>
                </c:pt>
                <c:pt idx="8">
                  <c:v>2.2200000000000002</c:v>
                </c:pt>
                <c:pt idx="9">
                  <c:v>1.5</c:v>
                </c:pt>
                <c:pt idx="10">
                  <c:v>1.1000000000000001</c:v>
                </c:pt>
                <c:pt idx="1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9-46D2-95DE-B95C19650218}"/>
            </c:ext>
          </c:extLst>
        </c:ser>
        <c:ser>
          <c:idx val="1"/>
          <c:order val="1"/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Аппроксимация!$C$95:$N$95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Аппроксимация!$C$97:$N$97</c:f>
              <c:numCache>
                <c:formatCode>General</c:formatCode>
                <c:ptCount val="12"/>
                <c:pt idx="0">
                  <c:v>9.1805788113062121</c:v>
                </c:pt>
                <c:pt idx="1">
                  <c:v>9.0592844275561344</c:v>
                </c:pt>
                <c:pt idx="2">
                  <c:v>8.0650737633103091</c:v>
                </c:pt>
                <c:pt idx="3">
                  <c:v>6.8459954721215075</c:v>
                </c:pt>
                <c:pt idx="4">
                  <c:v>5.2282810579098742</c:v>
                </c:pt>
                <c:pt idx="5">
                  <c:v>4.5020996846598447</c:v>
                </c:pt>
                <c:pt idx="6">
                  <c:v>2.9280952614581395</c:v>
                </c:pt>
                <c:pt idx="7">
                  <c:v>2.5133095298808712</c:v>
                </c:pt>
                <c:pt idx="8">
                  <c:v>1.252899487646415</c:v>
                </c:pt>
                <c:pt idx="9">
                  <c:v>0.9114276792902114</c:v>
                </c:pt>
                <c:pt idx="10">
                  <c:v>0.85640325722582666</c:v>
                </c:pt>
                <c:pt idx="11">
                  <c:v>0.94655156763465875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9-46D2-95DE-B95C19650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908000"/>
        <c:axId val="1743906752"/>
      </c:scatterChart>
      <c:valAx>
        <c:axId val="17439080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43906752"/>
        <c:crosses val="autoZero"/>
        <c:crossBetween val="midCat"/>
      </c:valAx>
      <c:valAx>
        <c:axId val="17439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4390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Линии</a:t>
            </a:r>
            <a:r>
              <a:rPr lang="ru-RU" baseline="0"/>
              <a:t> тренда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Аппроксимация!$L$2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Аппроксимация!$K$3:$K$14</c:f>
              <c:numCache>
                <c:formatCode>General</c:formatCode>
                <c:ptCount val="12"/>
                <c:pt idx="0">
                  <c:v>0.01</c:v>
                </c:pt>
                <c:pt idx="1">
                  <c:v>0.02</c:v>
                </c:pt>
                <c:pt idx="2">
                  <c:v>0.10199999999999999</c:v>
                </c:pt>
                <c:pt idx="3">
                  <c:v>0.20300000000000001</c:v>
                </c:pt>
                <c:pt idx="4">
                  <c:v>0.34</c:v>
                </c:pt>
                <c:pt idx="5">
                  <c:v>0.40400000000000003</c:v>
                </c:pt>
                <c:pt idx="6">
                  <c:v>0.55500000000000005</c:v>
                </c:pt>
                <c:pt idx="7">
                  <c:v>0.6</c:v>
                </c:pt>
                <c:pt idx="8">
                  <c:v>0.77700000000000002</c:v>
                </c:pt>
                <c:pt idx="9">
                  <c:v>0.87</c:v>
                </c:pt>
                <c:pt idx="10">
                  <c:v>0.90500000000000003</c:v>
                </c:pt>
                <c:pt idx="11">
                  <c:v>1</c:v>
                </c:pt>
              </c:numCache>
            </c:numRef>
          </c:xVal>
          <c:yVal>
            <c:numRef>
              <c:f>Аппроксимация!$L$3:$L$14</c:f>
              <c:numCache>
                <c:formatCode>General</c:formatCode>
                <c:ptCount val="12"/>
                <c:pt idx="0">
                  <c:v>10</c:v>
                </c:pt>
                <c:pt idx="1">
                  <c:v>9.2200000000000006</c:v>
                </c:pt>
                <c:pt idx="2">
                  <c:v>8.5</c:v>
                </c:pt>
                <c:pt idx="3">
                  <c:v>6.12</c:v>
                </c:pt>
                <c:pt idx="4">
                  <c:v>4.3</c:v>
                </c:pt>
                <c:pt idx="5">
                  <c:v>3.4</c:v>
                </c:pt>
                <c:pt idx="6">
                  <c:v>3.33</c:v>
                </c:pt>
                <c:pt idx="7">
                  <c:v>2.5</c:v>
                </c:pt>
                <c:pt idx="8">
                  <c:v>2.2200000000000002</c:v>
                </c:pt>
                <c:pt idx="9">
                  <c:v>1.5</c:v>
                </c:pt>
                <c:pt idx="10">
                  <c:v>1.1000000000000001</c:v>
                </c:pt>
                <c:pt idx="1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3-4118-9DA9-2F78F763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175328"/>
        <c:axId val="1466177824"/>
      </c:scatterChart>
      <c:valAx>
        <c:axId val="146617532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66177824"/>
        <c:crosses val="autoZero"/>
        <c:crossBetween val="midCat"/>
      </c:valAx>
      <c:valAx>
        <c:axId val="146617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6617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'Решение краевой задачи'!$C$57:$O$57</c:f>
              <c:numCache>
                <c:formatCode>General</c:formatCode>
                <c:ptCount val="1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</c:numCache>
            </c:numRef>
          </c:xVal>
          <c:yVal>
            <c:numRef>
              <c:f>'Решение краевой задачи'!$C$58:$O$58</c:f>
              <c:numCache>
                <c:formatCode>General</c:formatCode>
                <c:ptCount val="13"/>
                <c:pt idx="0">
                  <c:v>-0.45025922902475157</c:v>
                </c:pt>
                <c:pt idx="1">
                  <c:v>-0.28878353853343458</c:v>
                </c:pt>
                <c:pt idx="2">
                  <c:v>-1.0148894086577487E-2</c:v>
                </c:pt>
                <c:pt idx="3">
                  <c:v>0.42811373876736492</c:v>
                </c:pt>
                <c:pt idx="4">
                  <c:v>1</c:v>
                </c:pt>
                <c:pt idx="5">
                  <c:v>1.632523552578065</c:v>
                </c:pt>
                <c:pt idx="6">
                  <c:v>2.2281794831599826</c:v>
                </c:pt>
                <c:pt idx="7">
                  <c:v>2.6995127921489992</c:v>
                </c:pt>
                <c:pt idx="8">
                  <c:v>3.0000000025151929</c:v>
                </c:pt>
                <c:pt idx="9">
                  <c:v>3.1364672015669059</c:v>
                </c:pt>
                <c:pt idx="10">
                  <c:v>3.1736007640696697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B5-496B-BA34-406F8E6A1EC3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'Решение краевой задачи'!$Q$29:$Q$39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'Решение краевой задачи'!$R$29:$R$39</c:f>
              <c:numCache>
                <c:formatCode>0.000</c:formatCode>
                <c:ptCount val="11"/>
                <c:pt idx="0">
                  <c:v>1</c:v>
                </c:pt>
                <c:pt idx="1">
                  <c:v>1.2509823442487642</c:v>
                </c:pt>
                <c:pt idx="2">
                  <c:v>1.5057561447062175</c:v>
                </c:pt>
                <c:pt idx="3">
                  <c:v>1.757782431136504</c:v>
                </c:pt>
                <c:pt idx="4">
                  <c:v>2.0005903442859867</c:v>
                </c:pt>
                <c:pt idx="5">
                  <c:v>2.2281799935613336</c:v>
                </c:pt>
                <c:pt idx="6">
                  <c:v>2.4353888191268314</c:v>
                </c:pt>
                <c:pt idx="7">
                  <c:v>2.618185010746461</c:v>
                </c:pt>
                <c:pt idx="8">
                  <c:v>2.7738608641399467</c:v>
                </c:pt>
                <c:pt idx="9">
                  <c:v>2.9011116958148429</c:v>
                </c:pt>
                <c:pt idx="1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B5-496B-BA34-406F8E6A1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11824"/>
        <c:axId val="420908872"/>
      </c:scatterChart>
      <c:valAx>
        <c:axId val="42091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908872"/>
        <c:crosses val="autoZero"/>
        <c:crossBetween val="midCat"/>
      </c:valAx>
      <c:valAx>
        <c:axId val="42090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91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001926322180655E-2"/>
          <c:y val="4.5542506774325635E-2"/>
          <c:w val="0.62155534621139663"/>
          <c:h val="0.91311715475715449"/>
        </c:manualLayout>
      </c:layout>
      <c:scatterChart>
        <c:scatterStyle val="smoothMarker"/>
        <c:varyColors val="0"/>
        <c:ser>
          <c:idx val="0"/>
          <c:order val="0"/>
          <c:tx>
            <c:v>График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Данные!$A$1:$A$30000</c:f>
              <c:numCache>
                <c:formatCode>General</c:formatCode>
                <c:ptCount val="30000"/>
                <c:pt idx="0">
                  <c:v>0.01</c:v>
                </c:pt>
                <c:pt idx="1">
                  <c:v>0.11</c:v>
                </c:pt>
              </c:numCache>
            </c:numRef>
          </c:xVal>
          <c:yVal>
            <c:numRef>
              <c:f>Данные!$B$1:$B$30000</c:f>
              <c:numCache>
                <c:formatCode>General</c:formatCode>
                <c:ptCount val="30000"/>
                <c:pt idx="0">
                  <c:v>9.9999999999999982</c:v>
                </c:pt>
                <c:pt idx="1">
                  <c:v>2.2000000000000317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6-45D9-90B3-B3C444ED3DAA}"/>
            </c:ext>
          </c:extLst>
        </c:ser>
        <c:ser>
          <c:idx val="1"/>
          <c:order val="1"/>
          <c:tx>
            <c:v>Заданные точки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078-4A9F-912E-426E49E3E8EF}"/>
              </c:ext>
            </c:extLst>
          </c:dPt>
          <c:dPt>
            <c:idx val="2"/>
            <c:marker>
              <c:symbol val="circle"/>
              <c:size val="5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078-4A9F-912E-426E49E3E8EF}"/>
              </c:ext>
            </c:extLst>
          </c:dPt>
          <c:xVal>
            <c:numRef>
              <c:f>Данные!$C:$C</c:f>
              <c:numCache>
                <c:formatCode>General</c:formatCode>
                <c:ptCount val="1048576"/>
                <c:pt idx="0">
                  <c:v>0.01</c:v>
                </c:pt>
                <c:pt idx="1">
                  <c:v>0.02</c:v>
                </c:pt>
              </c:numCache>
            </c:numRef>
          </c:xVal>
          <c:yVal>
            <c:numRef>
              <c:f>Данные!$D:$D</c:f>
              <c:numCache>
                <c:formatCode>General</c:formatCode>
                <c:ptCount val="1048576"/>
                <c:pt idx="0">
                  <c:v>10</c:v>
                </c:pt>
                <c:pt idx="1">
                  <c:v>9.2200000000000006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38-4D10-90CC-7E7D4F74F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1160"/>
        <c:axId val="421534440"/>
      </c:scatterChart>
      <c:valAx>
        <c:axId val="42153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x</a:t>
                </a:r>
              </a:p>
            </c:rich>
          </c:tx>
          <c:layout>
            <c:manualLayout>
              <c:xMode val="edge"/>
              <c:yMode val="edge"/>
              <c:x val="0.70806997466029709"/>
              <c:y val="0.208895975935871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534440"/>
        <c:crosses val="autoZero"/>
        <c:crossBetween val="midCat"/>
      </c:valAx>
      <c:valAx>
        <c:axId val="42153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531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84615242746206"/>
          <c:y val="0.420180299035323"/>
          <c:w val="0.28779733867597745"/>
          <c:h val="0.13554303162696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chart" Target="../charts/chart2.xml"/><Relationship Id="rId7" Type="http://schemas.openxmlformats.org/officeDocument/2006/relationships/chart" Target="../charts/chart4.xml"/><Relationship Id="rId2" Type="http://schemas.openxmlformats.org/officeDocument/2006/relationships/chart" Target="../charts/chart1.xml"/><Relationship Id="rId1" Type="http://schemas.openxmlformats.org/officeDocument/2006/relationships/image" Target="../media/image6.png"/><Relationship Id="rId6" Type="http://schemas.openxmlformats.org/officeDocument/2006/relationships/image" Target="../media/image8.png"/><Relationship Id="rId5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10.png"/><Relationship Id="rId1" Type="http://schemas.openxmlformats.org/officeDocument/2006/relationships/image" Target="../media/image1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12.png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291353</xdr:colOff>
      <xdr:row>10</xdr:row>
      <xdr:rowOff>145677</xdr:rowOff>
    </xdr:from>
    <xdr:to>
      <xdr:col>15</xdr:col>
      <xdr:colOff>250025</xdr:colOff>
      <xdr:row>13</xdr:row>
      <xdr:rowOff>129154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5677" y="6051177"/>
          <a:ext cx="1774024" cy="554977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15</xdr:col>
      <xdr:colOff>425824</xdr:colOff>
      <xdr:row>10</xdr:row>
      <xdr:rowOff>78441</xdr:rowOff>
    </xdr:from>
    <xdr:ext cx="2085714" cy="570885"/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5500" y="5983941"/>
          <a:ext cx="2085714" cy="570885"/>
        </a:xfrm>
        <a:prstGeom prst="rect">
          <a:avLst/>
        </a:prstGeom>
        <a:ln>
          <a:solidFill>
            <a:schemeClr val="bg1"/>
          </a:solidFill>
        </a:ln>
      </xdr:spPr>
    </xdr:pic>
    <xdr:clientData/>
  </xdr:oneCellAnchor>
  <xdr:oneCellAnchor>
    <xdr:from>
      <xdr:col>19</xdr:col>
      <xdr:colOff>392207</xdr:colOff>
      <xdr:row>10</xdr:row>
      <xdr:rowOff>78441</xdr:rowOff>
    </xdr:from>
    <xdr:ext cx="1423146" cy="597773"/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02354" y="5983941"/>
          <a:ext cx="1423146" cy="597773"/>
        </a:xfrm>
        <a:prstGeom prst="rect">
          <a:avLst/>
        </a:prstGeom>
        <a:ln>
          <a:solidFill>
            <a:schemeClr val="bg1"/>
          </a:solidFill>
        </a:ln>
      </xdr:spPr>
    </xdr:pic>
    <xdr:clientData/>
  </xdr:oneCellAnchor>
  <xdr:oneCellAnchor>
    <xdr:from>
      <xdr:col>22</xdr:col>
      <xdr:colOff>369793</xdr:colOff>
      <xdr:row>10</xdr:row>
      <xdr:rowOff>78440</xdr:rowOff>
    </xdr:from>
    <xdr:ext cx="1961030" cy="608979"/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95293" y="5983940"/>
          <a:ext cx="1961030" cy="608979"/>
        </a:xfrm>
        <a:prstGeom prst="rect">
          <a:avLst/>
        </a:prstGeom>
        <a:ln>
          <a:solidFill>
            <a:schemeClr val="bg1"/>
          </a:solidFill>
        </a:ln>
      </xdr:spPr>
    </xdr:pic>
    <xdr:clientData/>
  </xdr:oneCellAnchor>
  <xdr:twoCellAnchor editAs="oneCell">
    <xdr:from>
      <xdr:col>12</xdr:col>
      <xdr:colOff>493059</xdr:colOff>
      <xdr:row>16</xdr:row>
      <xdr:rowOff>0</xdr:rowOff>
    </xdr:from>
    <xdr:to>
      <xdr:col>14</xdr:col>
      <xdr:colOff>478659</xdr:colOff>
      <xdr:row>17</xdr:row>
      <xdr:rowOff>19079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67383" y="12763500"/>
          <a:ext cx="1195835" cy="209579"/>
        </a:xfrm>
        <a:prstGeom prst="rect">
          <a:avLst/>
        </a:prstGeom>
      </xdr:spPr>
    </xdr:pic>
    <xdr:clientData/>
  </xdr:twoCellAnchor>
  <xdr:twoCellAnchor editAs="oneCell">
    <xdr:from>
      <xdr:col>15</xdr:col>
      <xdr:colOff>515469</xdr:colOff>
      <xdr:row>15</xdr:row>
      <xdr:rowOff>179294</xdr:rowOff>
    </xdr:from>
    <xdr:to>
      <xdr:col>19</xdr:col>
      <xdr:colOff>63028</xdr:colOff>
      <xdr:row>17</xdr:row>
      <xdr:rowOff>53109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05145" y="12752294"/>
          <a:ext cx="1968030" cy="254815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380999</xdr:colOff>
      <xdr:row>19</xdr:row>
      <xdr:rowOff>100853</xdr:rowOff>
    </xdr:from>
    <xdr:to>
      <xdr:col>22</xdr:col>
      <xdr:colOff>244682</xdr:colOff>
      <xdr:row>25</xdr:row>
      <xdr:rowOff>81590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55323" y="7339853"/>
          <a:ext cx="5914859" cy="1123737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190501</xdr:colOff>
      <xdr:row>27</xdr:row>
      <xdr:rowOff>112058</xdr:rowOff>
    </xdr:from>
    <xdr:to>
      <xdr:col>17</xdr:col>
      <xdr:colOff>421102</xdr:colOff>
      <xdr:row>40</xdr:row>
      <xdr:rowOff>145676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64825" y="8875058"/>
          <a:ext cx="3256189" cy="25101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43</xdr:row>
          <xdr:rowOff>28575</xdr:rowOff>
        </xdr:from>
        <xdr:to>
          <xdr:col>15</xdr:col>
          <xdr:colOff>314325</xdr:colOff>
          <xdr:row>44</xdr:row>
          <xdr:rowOff>133350</xdr:rowOff>
        </xdr:to>
        <xdr:sp macro="" textlink="">
          <xdr:nvSpPr>
            <xdr:cNvPr id="6152" name="Object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428625</xdr:colOff>
          <xdr:row>43</xdr:row>
          <xdr:rowOff>47625</xdr:rowOff>
        </xdr:from>
        <xdr:to>
          <xdr:col>16</xdr:col>
          <xdr:colOff>485775</xdr:colOff>
          <xdr:row>44</xdr:row>
          <xdr:rowOff>104775</xdr:rowOff>
        </xdr:to>
        <xdr:sp macro="" textlink="">
          <xdr:nvSpPr>
            <xdr:cNvPr id="6153" name="Object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43</xdr:row>
          <xdr:rowOff>66675</xdr:rowOff>
        </xdr:from>
        <xdr:to>
          <xdr:col>18</xdr:col>
          <xdr:colOff>133350</xdr:colOff>
          <xdr:row>44</xdr:row>
          <xdr:rowOff>104775</xdr:rowOff>
        </xdr:to>
        <xdr:sp macro="" textlink="">
          <xdr:nvSpPr>
            <xdr:cNvPr id="6154" name="Object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581025</xdr:colOff>
          <xdr:row>4</xdr:row>
          <xdr:rowOff>47625</xdr:rowOff>
        </xdr:from>
        <xdr:to>
          <xdr:col>21</xdr:col>
          <xdr:colOff>190500</xdr:colOff>
          <xdr:row>8</xdr:row>
          <xdr:rowOff>85725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11</xdr:row>
          <xdr:rowOff>57150</xdr:rowOff>
        </xdr:from>
        <xdr:to>
          <xdr:col>4</xdr:col>
          <xdr:colOff>19050</xdr:colOff>
          <xdr:row>14</xdr:row>
          <xdr:rowOff>0</xdr:rowOff>
        </xdr:to>
        <xdr:sp macro="" textlink="">
          <xdr:nvSpPr>
            <xdr:cNvPr id="6159" name="CommandButton8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</xdr:row>
      <xdr:rowOff>9525</xdr:rowOff>
    </xdr:from>
    <xdr:to>
      <xdr:col>10</xdr:col>
      <xdr:colOff>595210</xdr:colOff>
      <xdr:row>7</xdr:row>
      <xdr:rowOff>117432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962025"/>
          <a:ext cx="1780952" cy="56190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0</xdr:colOff>
      <xdr:row>5</xdr:row>
      <xdr:rowOff>4761</xdr:rowOff>
    </xdr:from>
    <xdr:to>
      <xdr:col>28</xdr:col>
      <xdr:colOff>593912</xdr:colOff>
      <xdr:row>28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598393</xdr:colOff>
      <xdr:row>143</xdr:row>
      <xdr:rowOff>189658</xdr:rowOff>
    </xdr:from>
    <xdr:to>
      <xdr:col>12</xdr:col>
      <xdr:colOff>141194</xdr:colOff>
      <xdr:row>165</xdr:row>
      <xdr:rowOff>175372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8</xdr:col>
      <xdr:colOff>19050</xdr:colOff>
      <xdr:row>39</xdr:row>
      <xdr:rowOff>19050</xdr:rowOff>
    </xdr:from>
    <xdr:ext cx="2085714" cy="447619"/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95850" y="7524750"/>
          <a:ext cx="2085714" cy="447619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twoCellAnchor>
    <xdr:from>
      <xdr:col>12</xdr:col>
      <xdr:colOff>4480</xdr:colOff>
      <xdr:row>38</xdr:row>
      <xdr:rowOff>185735</xdr:rowOff>
    </xdr:from>
    <xdr:to>
      <xdr:col>29</xdr:col>
      <xdr:colOff>11206</xdr:colOff>
      <xdr:row>61</xdr:row>
      <xdr:rowOff>179293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8</xdr:col>
      <xdr:colOff>11205</xdr:colOff>
      <xdr:row>73</xdr:row>
      <xdr:rowOff>11206</xdr:rowOff>
    </xdr:from>
    <xdr:ext cx="1209524" cy="485714"/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52146" y="14074588"/>
          <a:ext cx="1209524" cy="4857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oneCellAnchor>
  <xdr:twoCellAnchor>
    <xdr:from>
      <xdr:col>12</xdr:col>
      <xdr:colOff>0</xdr:colOff>
      <xdr:row>73</xdr:row>
      <xdr:rowOff>3082</xdr:rowOff>
    </xdr:from>
    <xdr:to>
      <xdr:col>29</xdr:col>
      <xdr:colOff>0</xdr:colOff>
      <xdr:row>95</xdr:row>
      <xdr:rowOff>179294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8</xdr:col>
      <xdr:colOff>11206</xdr:colOff>
      <xdr:row>109</xdr:row>
      <xdr:rowOff>11206</xdr:rowOff>
    </xdr:from>
    <xdr:ext cx="1809524" cy="485714"/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52147" y="21011030"/>
          <a:ext cx="1809524" cy="4857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oneCellAnchor>
  <xdr:twoCellAnchor>
    <xdr:from>
      <xdr:col>11</xdr:col>
      <xdr:colOff>605117</xdr:colOff>
      <xdr:row>109</xdr:row>
      <xdr:rowOff>4761</xdr:rowOff>
    </xdr:from>
    <xdr:to>
      <xdr:col>29</xdr:col>
      <xdr:colOff>0</xdr:colOff>
      <xdr:row>131</xdr:row>
      <xdr:rowOff>190499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85</xdr:row>
      <xdr:rowOff>9525</xdr:rowOff>
    </xdr:from>
    <xdr:to>
      <xdr:col>6</xdr:col>
      <xdr:colOff>764598</xdr:colOff>
      <xdr:row>87</xdr:row>
      <xdr:rowOff>233278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1" y="20850225"/>
          <a:ext cx="5191124" cy="700003"/>
        </a:xfrm>
        <a:prstGeom prst="rect">
          <a:avLst/>
        </a:prstGeom>
      </xdr:spPr>
    </xdr:pic>
    <xdr:clientData/>
  </xdr:twoCellAnchor>
  <xdr:twoCellAnchor editAs="oneCell">
    <xdr:from>
      <xdr:col>1</xdr:col>
      <xdr:colOff>13235</xdr:colOff>
      <xdr:row>4</xdr:row>
      <xdr:rowOff>197923</xdr:rowOff>
    </xdr:from>
    <xdr:to>
      <xdr:col>3</xdr:col>
      <xdr:colOff>531763</xdr:colOff>
      <xdr:row>6</xdr:row>
      <xdr:rowOff>180604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5556" y="1177637"/>
          <a:ext cx="2382707" cy="472538"/>
        </a:xfrm>
        <a:prstGeom prst="rect">
          <a:avLst/>
        </a:prstGeom>
      </xdr:spPr>
    </xdr:pic>
    <xdr:clientData/>
  </xdr:twoCellAnchor>
  <xdr:twoCellAnchor>
    <xdr:from>
      <xdr:col>3</xdr:col>
      <xdr:colOff>848592</xdr:colOff>
      <xdr:row>7</xdr:row>
      <xdr:rowOff>1</xdr:rowOff>
    </xdr:from>
    <xdr:to>
      <xdr:col>19</xdr:col>
      <xdr:colOff>1</xdr:colOff>
      <xdr:row>39</xdr:row>
      <xdr:rowOff>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15587</xdr:colOff>
      <xdr:row>6</xdr:row>
      <xdr:rowOff>236824</xdr:rowOff>
    </xdr:from>
    <xdr:to>
      <xdr:col>43</xdr:col>
      <xdr:colOff>173181</xdr:colOff>
      <xdr:row>39</xdr:row>
      <xdr:rowOff>17319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16566</xdr:colOff>
      <xdr:row>90</xdr:row>
      <xdr:rowOff>189670</xdr:rowOff>
    </xdr:from>
    <xdr:to>
      <xdr:col>19</xdr:col>
      <xdr:colOff>8283</xdr:colOff>
      <xdr:row>119</xdr:row>
      <xdr:rowOff>8282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9</xdr:col>
      <xdr:colOff>298013</xdr:colOff>
      <xdr:row>9</xdr:row>
      <xdr:rowOff>172969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209550"/>
          <a:ext cx="5896798" cy="1133633"/>
        </a:xfrm>
        <a:prstGeom prst="rect">
          <a:avLst/>
        </a:prstGeom>
      </xdr:spPr>
    </xdr:pic>
    <xdr:clientData/>
  </xdr:twoCellAnchor>
  <xdr:twoCellAnchor>
    <xdr:from>
      <xdr:col>6</xdr:col>
      <xdr:colOff>5984</xdr:colOff>
      <xdr:row>32</xdr:row>
      <xdr:rowOff>232749</xdr:rowOff>
    </xdr:from>
    <xdr:to>
      <xdr:col>22</xdr:col>
      <xdr:colOff>259773</xdr:colOff>
      <xdr:row>56</xdr:row>
      <xdr:rowOff>207818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13607</xdr:colOff>
      <xdr:row>78</xdr:row>
      <xdr:rowOff>17320</xdr:rowOff>
    </xdr:from>
    <xdr:to>
      <xdr:col>38</xdr:col>
      <xdr:colOff>585107</xdr:colOff>
      <xdr:row>119</xdr:row>
      <xdr:rowOff>225138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17317</xdr:colOff>
      <xdr:row>140</xdr:row>
      <xdr:rowOff>9524</xdr:rowOff>
    </xdr:from>
    <xdr:to>
      <xdr:col>36</xdr:col>
      <xdr:colOff>588818</xdr:colOff>
      <xdr:row>182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0</xdr:rowOff>
    </xdr:from>
    <xdr:to>
      <xdr:col>5</xdr:col>
      <xdr:colOff>27214</xdr:colOff>
      <xdr:row>15</xdr:row>
      <xdr:rowOff>33618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3256189" cy="2510118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23</xdr:row>
      <xdr:rowOff>9524</xdr:rowOff>
    </xdr:from>
    <xdr:to>
      <xdr:col>5</xdr:col>
      <xdr:colOff>575965</xdr:colOff>
      <xdr:row>26</xdr:row>
      <xdr:rowOff>229888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7934" y="5603297"/>
          <a:ext cx="2575349" cy="94772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17</xdr:col>
      <xdr:colOff>8410</xdr:colOff>
      <xdr:row>23</xdr:row>
      <xdr:rowOff>17318</xdr:rowOff>
    </xdr:from>
    <xdr:to>
      <xdr:col>32</xdr:col>
      <xdr:colOff>598715</xdr:colOff>
      <xdr:row>42</xdr:row>
      <xdr:rowOff>17318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3781</xdr:colOff>
      <xdr:row>48</xdr:row>
      <xdr:rowOff>228148</xdr:rowOff>
    </xdr:from>
    <xdr:to>
      <xdr:col>34</xdr:col>
      <xdr:colOff>0</xdr:colOff>
      <xdr:row>69</xdr:row>
      <xdr:rowOff>225138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-1</xdr:colOff>
      <xdr:row>75</xdr:row>
      <xdr:rowOff>238988</xdr:rowOff>
    </xdr:from>
    <xdr:to>
      <xdr:col>34</xdr:col>
      <xdr:colOff>0</xdr:colOff>
      <xdr:row>97</xdr:row>
      <xdr:rowOff>242452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17318</xdr:colOff>
      <xdr:row>0</xdr:row>
      <xdr:rowOff>238991</xdr:rowOff>
    </xdr:from>
    <xdr:to>
      <xdr:col>31</xdr:col>
      <xdr:colOff>17317</xdr:colOff>
      <xdr:row>20</xdr:row>
      <xdr:rowOff>17318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5</xdr:row>
          <xdr:rowOff>38100</xdr:rowOff>
        </xdr:from>
        <xdr:to>
          <xdr:col>3</xdr:col>
          <xdr:colOff>581025</xdr:colOff>
          <xdr:row>6</xdr:row>
          <xdr:rowOff>142875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5</xdr:row>
          <xdr:rowOff>66675</xdr:rowOff>
        </xdr:from>
        <xdr:to>
          <xdr:col>5</xdr:col>
          <xdr:colOff>381000</xdr:colOff>
          <xdr:row>6</xdr:row>
          <xdr:rowOff>123825</xdr:rowOff>
        </xdr:to>
        <xdr:sp macro="" textlink="">
          <xdr:nvSpPr>
            <xdr:cNvPr id="12290" name="Object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142875</xdr:rowOff>
        </xdr:from>
        <xdr:to>
          <xdr:col>5</xdr:col>
          <xdr:colOff>381000</xdr:colOff>
          <xdr:row>7</xdr:row>
          <xdr:rowOff>180975</xdr:rowOff>
        </xdr:to>
        <xdr:sp macro="" textlink="">
          <xdr:nvSpPr>
            <xdr:cNvPr id="12291" name="Object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>
    <xdr:from>
      <xdr:col>21</xdr:col>
      <xdr:colOff>13608</xdr:colOff>
      <xdr:row>26</xdr:row>
      <xdr:rowOff>190499</xdr:rowOff>
    </xdr:from>
    <xdr:to>
      <xdr:col>33</xdr:col>
      <xdr:colOff>13607</xdr:colOff>
      <xdr:row>48</xdr:row>
      <xdr:rowOff>180974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3519</xdr:colOff>
      <xdr:row>2</xdr:row>
      <xdr:rowOff>9524</xdr:rowOff>
    </xdr:from>
    <xdr:to>
      <xdr:col>13</xdr:col>
      <xdr:colOff>466725</xdr:colOff>
      <xdr:row>17</xdr:row>
      <xdr:rowOff>413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wmf"/><Relationship Id="rId12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wmf"/><Relationship Id="rId10" Type="http://schemas.openxmlformats.org/officeDocument/2006/relationships/control" Target="../activeX/activeX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w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4.bin"/><Relationship Id="rId9" Type="http://schemas.openxmlformats.org/officeDocument/2006/relationships/image" Target="../media/image3.w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>
    <tabColor rgb="FF00FF99"/>
  </sheetPr>
  <dimension ref="A1:AD48"/>
  <sheetViews>
    <sheetView zoomScale="85" zoomScaleNormal="85" workbookViewId="0">
      <selection activeCell="N8" sqref="N8"/>
    </sheetView>
  </sheetViews>
  <sheetFormatPr defaultRowHeight="15" x14ac:dyDescent="0.25"/>
  <cols>
    <col min="1" max="1" width="9.140625" style="140"/>
    <col min="2" max="2" width="12.28515625" style="140" bestFit="1" customWidth="1"/>
    <col min="3" max="16384" width="9.140625" style="140"/>
  </cols>
  <sheetData>
    <row r="1" spans="1:30" x14ac:dyDescent="0.25">
      <c r="A1" s="141"/>
      <c r="B1" s="141"/>
      <c r="C1" s="141"/>
      <c r="D1" s="141"/>
      <c r="E1" s="141"/>
      <c r="F1" s="141"/>
      <c r="G1" s="141"/>
      <c r="H1" s="141"/>
    </row>
    <row r="2" spans="1:30" x14ac:dyDescent="0.25">
      <c r="A2" s="141"/>
      <c r="B2" s="141"/>
      <c r="C2" s="141"/>
      <c r="D2" s="141"/>
      <c r="E2" s="141"/>
      <c r="F2" s="141"/>
      <c r="G2" s="141"/>
      <c r="H2" s="141"/>
    </row>
    <row r="11" spans="1:30" ht="15" customHeight="1" x14ac:dyDescent="0.25">
      <c r="F11" s="196" t="s">
        <v>150</v>
      </c>
      <c r="G11" s="197"/>
      <c r="H11" s="197"/>
      <c r="I11" s="197"/>
      <c r="J11" s="197"/>
      <c r="K11" s="197"/>
      <c r="L11" s="198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205" t="s">
        <v>145</v>
      </c>
      <c r="AB11" s="205"/>
      <c r="AC11" s="205"/>
      <c r="AD11" s="206"/>
    </row>
    <row r="12" spans="1:30" ht="15" customHeight="1" x14ac:dyDescent="0.25">
      <c r="F12" s="199"/>
      <c r="G12" s="200"/>
      <c r="H12" s="200"/>
      <c r="I12" s="200"/>
      <c r="J12" s="200"/>
      <c r="K12" s="200"/>
      <c r="L12" s="201"/>
      <c r="AA12" s="207"/>
      <c r="AB12" s="207"/>
      <c r="AC12" s="207"/>
      <c r="AD12" s="208"/>
    </row>
    <row r="13" spans="1:30" ht="15" customHeight="1" x14ac:dyDescent="0.25">
      <c r="F13" s="199"/>
      <c r="G13" s="200"/>
      <c r="H13" s="200"/>
      <c r="I13" s="200"/>
      <c r="J13" s="200"/>
      <c r="K13" s="200"/>
      <c r="L13" s="201"/>
      <c r="AA13" s="207"/>
      <c r="AB13" s="207"/>
      <c r="AC13" s="207"/>
      <c r="AD13" s="208"/>
    </row>
    <row r="14" spans="1:30" ht="15" customHeight="1" x14ac:dyDescent="0.25">
      <c r="F14" s="202"/>
      <c r="G14" s="203"/>
      <c r="H14" s="203"/>
      <c r="I14" s="203"/>
      <c r="J14" s="203"/>
      <c r="K14" s="203"/>
      <c r="L14" s="20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5"/>
    </row>
    <row r="15" spans="1:30" ht="15" customHeight="1" x14ac:dyDescent="0.25"/>
    <row r="16" spans="1:30" ht="15" customHeight="1" x14ac:dyDescent="0.25">
      <c r="F16" s="187" t="s">
        <v>151</v>
      </c>
      <c r="G16" s="188"/>
      <c r="H16" s="188"/>
      <c r="I16" s="188"/>
      <c r="J16" s="188"/>
      <c r="K16" s="188"/>
      <c r="L16" s="189"/>
      <c r="M16" s="187" t="s">
        <v>148</v>
      </c>
      <c r="N16" s="142"/>
      <c r="O16" s="142"/>
      <c r="P16" s="188" t="s">
        <v>147</v>
      </c>
      <c r="Q16" s="142"/>
      <c r="R16" s="142"/>
      <c r="S16" s="142"/>
      <c r="T16" s="142"/>
      <c r="U16" s="205" t="s">
        <v>146</v>
      </c>
      <c r="V16" s="205"/>
      <c r="W16" s="205"/>
      <c r="X16" s="206"/>
    </row>
    <row r="17" spans="6:24" ht="15" customHeight="1" x14ac:dyDescent="0.25">
      <c r="F17" s="190"/>
      <c r="G17" s="191"/>
      <c r="H17" s="191"/>
      <c r="I17" s="191"/>
      <c r="J17" s="191"/>
      <c r="K17" s="191"/>
      <c r="L17" s="192"/>
      <c r="M17" s="190"/>
      <c r="P17" s="191"/>
      <c r="U17" s="207"/>
      <c r="V17" s="207"/>
      <c r="W17" s="207"/>
      <c r="X17" s="208"/>
    </row>
    <row r="18" spans="6:24" ht="15" customHeight="1" x14ac:dyDescent="0.25">
      <c r="F18" s="193"/>
      <c r="G18" s="194"/>
      <c r="H18" s="194"/>
      <c r="I18" s="194"/>
      <c r="J18" s="194"/>
      <c r="K18" s="194"/>
      <c r="L18" s="195"/>
      <c r="M18" s="193"/>
      <c r="N18" s="144"/>
      <c r="O18" s="144"/>
      <c r="P18" s="194"/>
      <c r="Q18" s="144"/>
      <c r="R18" s="144"/>
      <c r="S18" s="144"/>
      <c r="T18" s="144"/>
      <c r="U18" s="209"/>
      <c r="V18" s="209"/>
      <c r="W18" s="209"/>
      <c r="X18" s="210"/>
    </row>
    <row r="19" spans="6:24" ht="14.25" customHeight="1" x14ac:dyDescent="0.25">
      <c r="U19" s="148"/>
      <c r="V19" s="148"/>
      <c r="W19" s="148"/>
      <c r="X19" s="148"/>
    </row>
    <row r="20" spans="6:24" x14ac:dyDescent="0.25">
      <c r="F20" s="187" t="s">
        <v>152</v>
      </c>
      <c r="G20" s="188"/>
      <c r="H20" s="188"/>
      <c r="I20" s="188"/>
      <c r="J20" s="188"/>
      <c r="K20" s="188"/>
      <c r="L20" s="189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3"/>
    </row>
    <row r="21" spans="6:24" x14ac:dyDescent="0.25">
      <c r="F21" s="190"/>
      <c r="G21" s="191"/>
      <c r="H21" s="191"/>
      <c r="I21" s="191"/>
      <c r="J21" s="191"/>
      <c r="K21" s="191"/>
      <c r="L21" s="192"/>
      <c r="W21" s="149"/>
    </row>
    <row r="22" spans="6:24" x14ac:dyDescent="0.25">
      <c r="F22" s="190"/>
      <c r="G22" s="191"/>
      <c r="H22" s="191"/>
      <c r="I22" s="191"/>
      <c r="J22" s="191"/>
      <c r="K22" s="191"/>
      <c r="L22" s="192"/>
      <c r="W22" s="149"/>
    </row>
    <row r="23" spans="6:24" x14ac:dyDescent="0.25">
      <c r="F23" s="190"/>
      <c r="G23" s="191"/>
      <c r="H23" s="191"/>
      <c r="I23" s="191"/>
      <c r="J23" s="191"/>
      <c r="K23" s="191"/>
      <c r="L23" s="192"/>
      <c r="W23" s="149"/>
    </row>
    <row r="24" spans="6:24" x14ac:dyDescent="0.25">
      <c r="F24" s="190"/>
      <c r="G24" s="191"/>
      <c r="H24" s="191"/>
      <c r="I24" s="191"/>
      <c r="J24" s="191"/>
      <c r="K24" s="191"/>
      <c r="L24" s="192"/>
      <c r="W24" s="149"/>
    </row>
    <row r="25" spans="6:24" x14ac:dyDescent="0.25">
      <c r="F25" s="190"/>
      <c r="G25" s="191"/>
      <c r="H25" s="191"/>
      <c r="I25" s="191"/>
      <c r="J25" s="191"/>
      <c r="K25" s="191"/>
      <c r="L25" s="192"/>
      <c r="W25" s="149"/>
    </row>
    <row r="26" spans="6:24" x14ac:dyDescent="0.25">
      <c r="F26" s="193"/>
      <c r="G26" s="194"/>
      <c r="H26" s="194"/>
      <c r="I26" s="194"/>
      <c r="J26" s="194"/>
      <c r="K26" s="194"/>
      <c r="L26" s="195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5"/>
    </row>
    <row r="28" spans="6:24" x14ac:dyDescent="0.25">
      <c r="F28" s="196" t="s">
        <v>153</v>
      </c>
      <c r="G28" s="197"/>
      <c r="H28" s="197"/>
      <c r="I28" s="197"/>
      <c r="J28" s="197"/>
      <c r="K28" s="197"/>
      <c r="L28" s="198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3"/>
    </row>
    <row r="29" spans="6:24" x14ac:dyDescent="0.25">
      <c r="F29" s="199"/>
      <c r="G29" s="200"/>
      <c r="H29" s="200"/>
      <c r="I29" s="200"/>
      <c r="J29" s="200"/>
      <c r="K29" s="200"/>
      <c r="L29" s="201"/>
      <c r="W29" s="149"/>
    </row>
    <row r="30" spans="6:24" x14ac:dyDescent="0.25">
      <c r="F30" s="199"/>
      <c r="G30" s="200"/>
      <c r="H30" s="200"/>
      <c r="I30" s="200"/>
      <c r="J30" s="200"/>
      <c r="K30" s="200"/>
      <c r="L30" s="201"/>
      <c r="W30" s="149"/>
    </row>
    <row r="31" spans="6:24" x14ac:dyDescent="0.25">
      <c r="F31" s="199"/>
      <c r="G31" s="200"/>
      <c r="H31" s="200"/>
      <c r="I31" s="200"/>
      <c r="J31" s="200"/>
      <c r="K31" s="200"/>
      <c r="L31" s="201"/>
      <c r="W31" s="149"/>
    </row>
    <row r="32" spans="6:24" x14ac:dyDescent="0.25">
      <c r="F32" s="199"/>
      <c r="G32" s="200"/>
      <c r="H32" s="200"/>
      <c r="I32" s="200"/>
      <c r="J32" s="200"/>
      <c r="K32" s="200"/>
      <c r="L32" s="201"/>
      <c r="W32" s="149"/>
    </row>
    <row r="33" spans="6:25" x14ac:dyDescent="0.25">
      <c r="F33" s="199"/>
      <c r="G33" s="200"/>
      <c r="H33" s="200"/>
      <c r="I33" s="200"/>
      <c r="J33" s="200"/>
      <c r="K33" s="200"/>
      <c r="L33" s="201"/>
      <c r="W33" s="149"/>
    </row>
    <row r="34" spans="6:25" x14ac:dyDescent="0.25">
      <c r="F34" s="199"/>
      <c r="G34" s="200"/>
      <c r="H34" s="200"/>
      <c r="I34" s="200"/>
      <c r="J34" s="200"/>
      <c r="K34" s="200"/>
      <c r="L34" s="201"/>
      <c r="W34" s="149"/>
    </row>
    <row r="35" spans="6:25" x14ac:dyDescent="0.25">
      <c r="F35" s="199"/>
      <c r="G35" s="200"/>
      <c r="H35" s="200"/>
      <c r="I35" s="200"/>
      <c r="J35" s="200"/>
      <c r="K35" s="200"/>
      <c r="L35" s="201"/>
      <c r="W35" s="149"/>
    </row>
    <row r="36" spans="6:25" x14ac:dyDescent="0.25">
      <c r="F36" s="199"/>
      <c r="G36" s="200"/>
      <c r="H36" s="200"/>
      <c r="I36" s="200"/>
      <c r="J36" s="200"/>
      <c r="K36" s="200"/>
      <c r="L36" s="201"/>
      <c r="W36" s="149"/>
    </row>
    <row r="37" spans="6:25" x14ac:dyDescent="0.25">
      <c r="F37" s="199"/>
      <c r="G37" s="200"/>
      <c r="H37" s="200"/>
      <c r="I37" s="200"/>
      <c r="J37" s="200"/>
      <c r="K37" s="200"/>
      <c r="L37" s="201"/>
      <c r="W37" s="149"/>
    </row>
    <row r="38" spans="6:25" x14ac:dyDescent="0.25">
      <c r="F38" s="199"/>
      <c r="G38" s="200"/>
      <c r="H38" s="200"/>
      <c r="I38" s="200"/>
      <c r="J38" s="200"/>
      <c r="K38" s="200"/>
      <c r="L38" s="201"/>
      <c r="W38" s="149"/>
    </row>
    <row r="39" spans="6:25" x14ac:dyDescent="0.25">
      <c r="F39" s="199"/>
      <c r="G39" s="200"/>
      <c r="H39" s="200"/>
      <c r="I39" s="200"/>
      <c r="J39" s="200"/>
      <c r="K39" s="200"/>
      <c r="L39" s="201"/>
      <c r="W39" s="149"/>
    </row>
    <row r="40" spans="6:25" x14ac:dyDescent="0.25">
      <c r="F40" s="199"/>
      <c r="G40" s="200"/>
      <c r="H40" s="200"/>
      <c r="I40" s="200"/>
      <c r="J40" s="200"/>
      <c r="K40" s="200"/>
      <c r="L40" s="201"/>
      <c r="W40" s="149"/>
    </row>
    <row r="41" spans="6:25" x14ac:dyDescent="0.25">
      <c r="F41" s="202"/>
      <c r="G41" s="203"/>
      <c r="H41" s="203"/>
      <c r="I41" s="203"/>
      <c r="J41" s="203"/>
      <c r="K41" s="203"/>
      <c r="L41" s="20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5"/>
    </row>
    <row r="43" spans="6:25" x14ac:dyDescent="0.25">
      <c r="F43" s="187" t="s">
        <v>154</v>
      </c>
      <c r="G43" s="188"/>
      <c r="H43" s="188"/>
      <c r="I43" s="188"/>
      <c r="J43" s="188"/>
      <c r="K43" s="188"/>
      <c r="L43" s="189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3"/>
    </row>
    <row r="44" spans="6:25" x14ac:dyDescent="0.25">
      <c r="F44" s="190"/>
      <c r="G44" s="191"/>
      <c r="H44" s="191"/>
      <c r="I44" s="191"/>
      <c r="J44" s="191"/>
      <c r="K44" s="191"/>
      <c r="L44" s="192"/>
      <c r="M44" s="190" t="s">
        <v>148</v>
      </c>
      <c r="T44" s="191" t="s">
        <v>149</v>
      </c>
      <c r="U44" s="191"/>
      <c r="V44" s="191"/>
      <c r="W44" s="149"/>
    </row>
    <row r="45" spans="6:25" x14ac:dyDescent="0.25">
      <c r="F45" s="190"/>
      <c r="G45" s="191"/>
      <c r="H45" s="191"/>
      <c r="I45" s="191"/>
      <c r="J45" s="191"/>
      <c r="K45" s="191"/>
      <c r="L45" s="192"/>
      <c r="M45" s="190"/>
      <c r="T45" s="191"/>
      <c r="U45" s="191"/>
      <c r="V45" s="191"/>
      <c r="W45" s="149"/>
      <c r="Y45"/>
    </row>
    <row r="46" spans="6:25" ht="15" customHeight="1" x14ac:dyDescent="0.25">
      <c r="F46" s="193"/>
      <c r="G46" s="194"/>
      <c r="H46" s="194"/>
      <c r="I46" s="194"/>
      <c r="J46" s="194"/>
      <c r="K46" s="194"/>
      <c r="L46" s="195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5"/>
      <c r="Y46" s="141"/>
    </row>
    <row r="47" spans="6:25" ht="15" customHeight="1" x14ac:dyDescent="0.25">
      <c r="Y47" s="141"/>
    </row>
    <row r="48" spans="6:25" ht="15" customHeight="1" x14ac:dyDescent="0.25">
      <c r="Y48" s="141"/>
    </row>
  </sheetData>
  <sheetProtection formatCells="0" formatColumns="0" formatRows="0" insertColumns="0" insertRows="0" insertHyperlinks="0" deleteColumns="0" deleteRows="0" sort="0" autoFilter="0" pivotTables="0"/>
  <mergeCells count="11">
    <mergeCell ref="F16:L18"/>
    <mergeCell ref="M16:M18"/>
    <mergeCell ref="P16:P18"/>
    <mergeCell ref="U16:X18"/>
    <mergeCell ref="AA11:AD13"/>
    <mergeCell ref="F11:L14"/>
    <mergeCell ref="F20:L26"/>
    <mergeCell ref="F28:L41"/>
    <mergeCell ref="F43:L46"/>
    <mergeCell ref="T44:V45"/>
    <mergeCell ref="M44:M45"/>
  </mergeCells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6152" r:id="rId4">
          <objectPr defaultSize="0" autoPict="0" r:id="rId5">
            <anchor moveWithCells="1" sizeWithCells="1">
              <from>
                <xdr:col>12</xdr:col>
                <xdr:colOff>476250</xdr:colOff>
                <xdr:row>43</xdr:row>
                <xdr:rowOff>28575</xdr:rowOff>
              </from>
              <to>
                <xdr:col>15</xdr:col>
                <xdr:colOff>314325</xdr:colOff>
                <xdr:row>44</xdr:row>
                <xdr:rowOff>133350</xdr:rowOff>
              </to>
            </anchor>
          </objectPr>
        </oleObject>
      </mc:Choice>
      <mc:Fallback>
        <oleObject progId="Equation.3" shapeId="6152" r:id="rId4"/>
      </mc:Fallback>
    </mc:AlternateContent>
    <mc:AlternateContent xmlns:mc="http://schemas.openxmlformats.org/markup-compatibility/2006">
      <mc:Choice Requires="x14">
        <oleObject progId="Equation.3" shapeId="6153" r:id="rId6">
          <objectPr defaultSize="0" autoPict="0" r:id="rId7">
            <anchor moveWithCells="1" sizeWithCells="1">
              <from>
                <xdr:col>15</xdr:col>
                <xdr:colOff>428625</xdr:colOff>
                <xdr:row>43</xdr:row>
                <xdr:rowOff>47625</xdr:rowOff>
              </from>
              <to>
                <xdr:col>16</xdr:col>
                <xdr:colOff>485775</xdr:colOff>
                <xdr:row>44</xdr:row>
                <xdr:rowOff>104775</xdr:rowOff>
              </to>
            </anchor>
          </objectPr>
        </oleObject>
      </mc:Choice>
      <mc:Fallback>
        <oleObject progId="Equation.3" shapeId="6153" r:id="rId6"/>
      </mc:Fallback>
    </mc:AlternateContent>
    <mc:AlternateContent xmlns:mc="http://schemas.openxmlformats.org/markup-compatibility/2006">
      <mc:Choice Requires="x14">
        <oleObject progId="Equation.3" shapeId="6154" r:id="rId8">
          <objectPr defaultSize="0" autoPict="0" r:id="rId9">
            <anchor moveWithCells="1" sizeWithCells="1">
              <from>
                <xdr:col>17</xdr:col>
                <xdr:colOff>85725</xdr:colOff>
                <xdr:row>43</xdr:row>
                <xdr:rowOff>66675</xdr:rowOff>
              </from>
              <to>
                <xdr:col>18</xdr:col>
                <xdr:colOff>133350</xdr:colOff>
                <xdr:row>44</xdr:row>
                <xdr:rowOff>104775</xdr:rowOff>
              </to>
            </anchor>
          </objectPr>
        </oleObject>
      </mc:Choice>
      <mc:Fallback>
        <oleObject progId="Equation.3" shapeId="6154" r:id="rId8"/>
      </mc:Fallback>
    </mc:AlternateContent>
  </oleObjects>
  <controls>
    <mc:AlternateContent xmlns:mc="http://schemas.openxmlformats.org/markup-compatibility/2006">
      <mc:Choice Requires="x14">
        <control shapeId="6159" r:id="rId10" name="CommandButton8">
          <controlPr defaultSize="0" autoLine="0" r:id="rId11">
            <anchor moveWithCells="1">
              <from>
                <xdr:col>0</xdr:col>
                <xdr:colOff>266700</xdr:colOff>
                <xdr:row>11</xdr:row>
                <xdr:rowOff>57150</xdr:rowOff>
              </from>
              <to>
                <xdr:col>4</xdr:col>
                <xdr:colOff>19050</xdr:colOff>
                <xdr:row>14</xdr:row>
                <xdr:rowOff>0</xdr:rowOff>
              </to>
            </anchor>
          </controlPr>
        </control>
      </mc:Choice>
      <mc:Fallback>
        <control shapeId="6159" r:id="rId10" name="CommandButton8"/>
      </mc:Fallback>
    </mc:AlternateContent>
    <mc:AlternateContent xmlns:mc="http://schemas.openxmlformats.org/markup-compatibility/2006">
      <mc:Choice Requires="x14">
        <control shapeId="6158" r:id="rId12" name="Label1">
          <controlPr defaultSize="0" autoLine="0" r:id="rId13">
            <anchor moveWithCells="1">
              <from>
                <xdr:col>16</xdr:col>
                <xdr:colOff>581025</xdr:colOff>
                <xdr:row>4</xdr:row>
                <xdr:rowOff>47625</xdr:rowOff>
              </from>
              <to>
                <xdr:col>21</xdr:col>
                <xdr:colOff>190500</xdr:colOff>
                <xdr:row>8</xdr:row>
                <xdr:rowOff>85725</xdr:rowOff>
              </to>
            </anchor>
          </controlPr>
        </control>
      </mc:Choice>
      <mc:Fallback>
        <control shapeId="6158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rgb="FF66FFCC"/>
  </sheetPr>
  <dimension ref="B6:J139"/>
  <sheetViews>
    <sheetView zoomScale="85" zoomScaleNormal="85" workbookViewId="0">
      <selection activeCell="L21" sqref="L21"/>
    </sheetView>
  </sheetViews>
  <sheetFormatPr defaultRowHeight="15" x14ac:dyDescent="0.25"/>
  <sheetData>
    <row r="6" spans="2:10" ht="21" x14ac:dyDescent="0.25">
      <c r="B6" s="211" t="s">
        <v>0</v>
      </c>
      <c r="C6" s="212"/>
      <c r="D6" s="212"/>
      <c r="E6" s="212"/>
      <c r="F6" s="212"/>
      <c r="G6" s="213"/>
      <c r="H6" s="1"/>
      <c r="I6" s="1"/>
    </row>
    <row r="7" spans="2:10" x14ac:dyDescent="0.25">
      <c r="B7" s="10" t="s">
        <v>1</v>
      </c>
      <c r="C7" s="10" t="s">
        <v>2</v>
      </c>
      <c r="D7" s="12" t="s">
        <v>3</v>
      </c>
      <c r="E7" s="11" t="s">
        <v>4</v>
      </c>
      <c r="F7" s="11" t="s">
        <v>5</v>
      </c>
      <c r="G7" s="11" t="s">
        <v>6</v>
      </c>
      <c r="H7" s="1"/>
      <c r="I7" s="1"/>
    </row>
    <row r="8" spans="2:10" x14ac:dyDescent="0.25">
      <c r="B8" s="6">
        <v>0</v>
      </c>
      <c r="C8" s="6">
        <f>J10</f>
        <v>0.8</v>
      </c>
      <c r="D8" s="6">
        <f>((1.5*(C8 ^ 2) +2)^(1/2))/(C8 + (20.8*(C8^2)-1) ^(1/2))</f>
        <v>0.39928673889260619</v>
      </c>
      <c r="E8" s="6">
        <f>D8</f>
        <v>0.39928673889260619</v>
      </c>
      <c r="F8" s="6">
        <f>E8</f>
        <v>0.39928673889260619</v>
      </c>
      <c r="G8" s="4">
        <f>D8</f>
        <v>0.39928673889260619</v>
      </c>
      <c r="H8" s="1"/>
      <c r="I8" s="1"/>
    </row>
    <row r="9" spans="2:10" x14ac:dyDescent="0.25">
      <c r="B9" s="7">
        <v>1</v>
      </c>
      <c r="C9" s="7">
        <f t="shared" ref="C9:C18" si="0">C8 + $J$13</f>
        <v>0.9</v>
      </c>
      <c r="D9" s="7">
        <f t="shared" ref="D9:D18" si="1">((1.5*(C9 ^ 2) +2)^(1/2))/(C9 + (20.8*(C9^2)-1) ^(1/2))</f>
        <v>0.36735479692689571</v>
      </c>
      <c r="E9" s="7">
        <f t="shared" ref="E9:E18" si="2">D9</f>
        <v>0.36735479692689571</v>
      </c>
      <c r="F9" s="7">
        <f>2*E9</f>
        <v>0.73470959385379142</v>
      </c>
      <c r="G9" s="5">
        <f>4*D9</f>
        <v>1.4694191877075828</v>
      </c>
      <c r="H9" s="1"/>
      <c r="I9" s="1"/>
    </row>
    <row r="10" spans="2:10" x14ac:dyDescent="0.25">
      <c r="B10" s="7">
        <v>2</v>
      </c>
      <c r="C10" s="7">
        <f t="shared" si="0"/>
        <v>1</v>
      </c>
      <c r="D10" s="7">
        <f t="shared" si="1"/>
        <v>0.34328901393191458</v>
      </c>
      <c r="E10" s="7">
        <f t="shared" si="2"/>
        <v>0.34328901393191458</v>
      </c>
      <c r="F10" s="7">
        <f t="shared" ref="F10:F17" si="3">2*E10</f>
        <v>0.68657802786382915</v>
      </c>
      <c r="G10" s="5">
        <f>2*D10</f>
        <v>0.68657802786382915</v>
      </c>
      <c r="I10" s="2" t="s">
        <v>7</v>
      </c>
      <c r="J10" s="4">
        <v>0.8</v>
      </c>
    </row>
    <row r="11" spans="2:10" x14ac:dyDescent="0.25">
      <c r="B11" s="7">
        <v>3</v>
      </c>
      <c r="C11" s="7">
        <f t="shared" si="0"/>
        <v>1.1000000000000001</v>
      </c>
      <c r="D11" s="7">
        <f t="shared" si="1"/>
        <v>0.32466278705329293</v>
      </c>
      <c r="E11" s="7">
        <f t="shared" si="2"/>
        <v>0.32466278705329293</v>
      </c>
      <c r="F11" s="7">
        <f t="shared" si="3"/>
        <v>0.64932557410658587</v>
      </c>
      <c r="G11" s="5">
        <f t="shared" ref="G11" si="4">4*D11</f>
        <v>1.2986511482131717</v>
      </c>
      <c r="I11" s="3" t="s">
        <v>8</v>
      </c>
      <c r="J11" s="5">
        <v>1.8</v>
      </c>
    </row>
    <row r="12" spans="2:10" x14ac:dyDescent="0.25">
      <c r="B12" s="7">
        <v>4</v>
      </c>
      <c r="C12" s="7">
        <f t="shared" si="0"/>
        <v>1.2000000000000002</v>
      </c>
      <c r="D12" s="7">
        <f t="shared" si="1"/>
        <v>0.30993752352979326</v>
      </c>
      <c r="E12" s="7">
        <f t="shared" si="2"/>
        <v>0.30993752352979326</v>
      </c>
      <c r="F12" s="7">
        <f t="shared" si="3"/>
        <v>0.61987504705958651</v>
      </c>
      <c r="G12" s="5">
        <f t="shared" ref="G12" si="5">2*D12</f>
        <v>0.61987504705958651</v>
      </c>
      <c r="I12" s="3" t="s">
        <v>9</v>
      </c>
      <c r="J12" s="5">
        <v>10</v>
      </c>
    </row>
    <row r="13" spans="2:10" x14ac:dyDescent="0.25">
      <c r="B13" s="7">
        <v>5</v>
      </c>
      <c r="C13" s="7">
        <f t="shared" si="0"/>
        <v>1.3000000000000003</v>
      </c>
      <c r="D13" s="7">
        <f t="shared" si="1"/>
        <v>0.29809105728982899</v>
      </c>
      <c r="E13" s="7">
        <f t="shared" si="2"/>
        <v>0.29809105728982899</v>
      </c>
      <c r="F13" s="7">
        <f t="shared" si="3"/>
        <v>0.59618211457965797</v>
      </c>
      <c r="G13" s="5">
        <f t="shared" ref="G13" si="6">4*D13</f>
        <v>1.1923642291593159</v>
      </c>
      <c r="I13" s="9" t="s">
        <v>10</v>
      </c>
      <c r="J13" s="8">
        <f>(J11-J10) / J12</f>
        <v>0.1</v>
      </c>
    </row>
    <row r="14" spans="2:10" x14ac:dyDescent="0.25">
      <c r="B14" s="7">
        <v>6</v>
      </c>
      <c r="C14" s="7">
        <f t="shared" si="0"/>
        <v>1.4000000000000004</v>
      </c>
      <c r="D14" s="7">
        <f t="shared" si="1"/>
        <v>0.28841902627520966</v>
      </c>
      <c r="E14" s="7">
        <f t="shared" si="2"/>
        <v>0.28841902627520966</v>
      </c>
      <c r="F14" s="7">
        <f t="shared" si="3"/>
        <v>0.57683805255041931</v>
      </c>
      <c r="G14" s="5">
        <f t="shared" ref="G14" si="7">2*D14</f>
        <v>0.57683805255041931</v>
      </c>
      <c r="H14" s="1"/>
      <c r="I14" s="1"/>
    </row>
    <row r="15" spans="2:10" x14ac:dyDescent="0.25">
      <c r="B15" s="7">
        <v>7</v>
      </c>
      <c r="C15" s="7">
        <f t="shared" si="0"/>
        <v>1.5000000000000004</v>
      </c>
      <c r="D15" s="7">
        <f t="shared" si="1"/>
        <v>0.28042153869059278</v>
      </c>
      <c r="E15" s="7">
        <f t="shared" si="2"/>
        <v>0.28042153869059278</v>
      </c>
      <c r="F15" s="7">
        <f t="shared" si="3"/>
        <v>0.56084307738118555</v>
      </c>
      <c r="G15" s="5">
        <f t="shared" ref="G15" si="8">4*D15</f>
        <v>1.1216861547623711</v>
      </c>
      <c r="H15" s="1"/>
      <c r="I15" s="1"/>
    </row>
    <row r="16" spans="2:10" x14ac:dyDescent="0.25">
      <c r="B16" s="7">
        <v>8</v>
      </c>
      <c r="C16" s="7">
        <f t="shared" si="0"/>
        <v>1.6000000000000005</v>
      </c>
      <c r="D16" s="7">
        <f t="shared" si="1"/>
        <v>0.27373506459520214</v>
      </c>
      <c r="E16" s="7">
        <f t="shared" si="2"/>
        <v>0.27373506459520214</v>
      </c>
      <c r="F16" s="7">
        <f t="shared" si="3"/>
        <v>0.54747012919040428</v>
      </c>
      <c r="G16" s="5">
        <f t="shared" ref="G16" si="9">2*D16</f>
        <v>0.54747012919040428</v>
      </c>
      <c r="H16" s="1"/>
      <c r="I16" s="1"/>
    </row>
    <row r="17" spans="2:9" x14ac:dyDescent="0.25">
      <c r="B17" s="7">
        <v>9</v>
      </c>
      <c r="C17" s="7">
        <f t="shared" si="0"/>
        <v>1.7000000000000006</v>
      </c>
      <c r="D17" s="7">
        <f t="shared" si="1"/>
        <v>0.26808974666179408</v>
      </c>
      <c r="E17" s="7">
        <f t="shared" si="2"/>
        <v>0.26808974666179408</v>
      </c>
      <c r="F17" s="7">
        <f t="shared" si="3"/>
        <v>0.53617949332358816</v>
      </c>
      <c r="G17" s="5">
        <f t="shared" ref="G17" si="10">4*D17</f>
        <v>1.0723589866471763</v>
      </c>
      <c r="H17" s="1"/>
      <c r="I17" s="1"/>
    </row>
    <row r="18" spans="2:9" x14ac:dyDescent="0.25">
      <c r="B18" s="25">
        <v>10</v>
      </c>
      <c r="C18" s="25">
        <f t="shared" si="0"/>
        <v>1.8000000000000007</v>
      </c>
      <c r="D18" s="25">
        <f t="shared" si="1"/>
        <v>0.26328169557502423</v>
      </c>
      <c r="E18" s="25">
        <f t="shared" si="2"/>
        <v>0.26328169557502423</v>
      </c>
      <c r="F18" s="25">
        <f>2 *E18</f>
        <v>0.52656339115004847</v>
      </c>
      <c r="G18" s="8">
        <f>2*D18</f>
        <v>0.52656339115004847</v>
      </c>
      <c r="H18" s="1"/>
      <c r="I18" s="1"/>
    </row>
    <row r="21" spans="2:9" x14ac:dyDescent="0.25">
      <c r="B21" s="13" t="s">
        <v>11</v>
      </c>
      <c r="C21" s="14">
        <f>SUM(E8:E17)*J13</f>
        <v>0.31532872938471301</v>
      </c>
      <c r="D21" s="14">
        <f>SUM(F8:F18)*J13/2</f>
        <v>0.32169256199758517</v>
      </c>
      <c r="E21" s="14">
        <f>SUM(G8:G18)*J13/3</f>
        <v>0.31703636977321709</v>
      </c>
    </row>
    <row r="22" spans="2:9" x14ac:dyDescent="0.25">
      <c r="B22" s="13" t="s">
        <v>12</v>
      </c>
      <c r="C22" s="14">
        <f>SUM(E9:E18)*J13</f>
        <v>0.30172822505295488</v>
      </c>
    </row>
    <row r="40" spans="2:10" ht="21" x14ac:dyDescent="0.25">
      <c r="B40" s="211" t="s">
        <v>0</v>
      </c>
      <c r="C40" s="212"/>
      <c r="D40" s="212"/>
      <c r="E40" s="212"/>
      <c r="F40" s="212"/>
      <c r="G40" s="213"/>
    </row>
    <row r="41" spans="2:10" x14ac:dyDescent="0.25">
      <c r="B41" s="10" t="s">
        <v>1</v>
      </c>
      <c r="C41" s="10" t="s">
        <v>2</v>
      </c>
      <c r="D41" s="12" t="s">
        <v>3</v>
      </c>
      <c r="E41" s="11" t="s">
        <v>4</v>
      </c>
      <c r="F41" s="11" t="s">
        <v>5</v>
      </c>
      <c r="G41" s="11" t="s">
        <v>6</v>
      </c>
    </row>
    <row r="42" spans="2:10" x14ac:dyDescent="0.25">
      <c r="B42" s="17">
        <v>0</v>
      </c>
      <c r="C42" s="17">
        <f>J46</f>
        <v>0.3</v>
      </c>
      <c r="D42" s="17">
        <f t="shared" ref="D42:D62" si="11">(SIN(C42^2+0.6))/(1.5+COS(0.8*C42+1.2))</f>
        <v>0.39041212343177417</v>
      </c>
      <c r="E42" s="17">
        <f t="shared" ref="E42:E62" si="12">D42</f>
        <v>0.39041212343177417</v>
      </c>
      <c r="F42" s="17">
        <f>D42</f>
        <v>0.39041212343177417</v>
      </c>
      <c r="G42" s="17">
        <f>F42</f>
        <v>0.39041212343177417</v>
      </c>
    </row>
    <row r="43" spans="2:10" x14ac:dyDescent="0.25">
      <c r="B43" s="18">
        <v>1</v>
      </c>
      <c r="C43" s="18">
        <f t="shared" ref="C43:C62" si="13">C42+$J$49</f>
        <v>0.33</v>
      </c>
      <c r="D43" s="18">
        <f t="shared" si="11"/>
        <v>0.40520468068264892</v>
      </c>
      <c r="E43" s="18">
        <f t="shared" si="12"/>
        <v>0.40520468068264892</v>
      </c>
      <c r="F43" s="18">
        <f t="shared" ref="F43:F61" si="14">2*D43</f>
        <v>0.81040936136529784</v>
      </c>
      <c r="G43" s="18">
        <f>4*D43</f>
        <v>1.6208187227305957</v>
      </c>
    </row>
    <row r="44" spans="2:10" x14ac:dyDescent="0.25">
      <c r="B44" s="18">
        <v>2</v>
      </c>
      <c r="C44" s="18">
        <f t="shared" si="13"/>
        <v>0.36000000000000004</v>
      </c>
      <c r="D44" s="18">
        <f t="shared" si="11"/>
        <v>0.42116052956827771</v>
      </c>
      <c r="E44" s="18">
        <f t="shared" si="12"/>
        <v>0.42116052956827771</v>
      </c>
      <c r="F44" s="18">
        <f t="shared" si="14"/>
        <v>0.84232105913655542</v>
      </c>
      <c r="G44" s="18">
        <f>2*D44</f>
        <v>0.84232105913655542</v>
      </c>
    </row>
    <row r="45" spans="2:10" x14ac:dyDescent="0.25">
      <c r="B45" s="18">
        <v>3</v>
      </c>
      <c r="C45" s="18">
        <f t="shared" si="13"/>
        <v>0.39000000000000007</v>
      </c>
      <c r="D45" s="18">
        <f t="shared" si="11"/>
        <v>0.43827961074995753</v>
      </c>
      <c r="E45" s="18">
        <f t="shared" si="12"/>
        <v>0.43827961074995753</v>
      </c>
      <c r="F45" s="18">
        <f t="shared" si="14"/>
        <v>0.87655922149991505</v>
      </c>
      <c r="G45" s="18">
        <f>4*D45</f>
        <v>1.7531184429998301</v>
      </c>
    </row>
    <row r="46" spans="2:10" x14ac:dyDescent="0.25">
      <c r="B46" s="18">
        <v>4</v>
      </c>
      <c r="C46" s="18">
        <f t="shared" si="13"/>
        <v>0.4200000000000001</v>
      </c>
      <c r="D46" s="18">
        <f t="shared" si="11"/>
        <v>0.45655490058150794</v>
      </c>
      <c r="E46" s="18">
        <f t="shared" si="12"/>
        <v>0.45655490058150794</v>
      </c>
      <c r="F46" s="18">
        <f t="shared" si="14"/>
        <v>0.91310980116301588</v>
      </c>
      <c r="G46" s="18">
        <f>2*D46</f>
        <v>0.91310980116301588</v>
      </c>
      <c r="I46" s="15" t="s">
        <v>13</v>
      </c>
      <c r="J46" s="20">
        <v>0.3</v>
      </c>
    </row>
    <row r="47" spans="2:10" x14ac:dyDescent="0.25">
      <c r="B47" s="18">
        <v>5</v>
      </c>
      <c r="C47" s="18">
        <f t="shared" si="13"/>
        <v>0.45000000000000012</v>
      </c>
      <c r="D47" s="18">
        <f t="shared" si="11"/>
        <v>0.47597131472783688</v>
      </c>
      <c r="E47" s="18">
        <f t="shared" si="12"/>
        <v>0.47597131472783688</v>
      </c>
      <c r="F47" s="18">
        <f t="shared" si="14"/>
        <v>0.95194262945567376</v>
      </c>
      <c r="G47" s="18">
        <f>4*D47</f>
        <v>1.9038852589113475</v>
      </c>
      <c r="I47" s="16" t="s">
        <v>8</v>
      </c>
      <c r="J47" s="21">
        <v>0.9</v>
      </c>
    </row>
    <row r="48" spans="2:10" x14ac:dyDescent="0.25">
      <c r="B48" s="18">
        <v>6</v>
      </c>
      <c r="C48" s="18">
        <f t="shared" si="13"/>
        <v>0.48000000000000015</v>
      </c>
      <c r="D48" s="18">
        <f t="shared" si="11"/>
        <v>0.49650450339911972</v>
      </c>
      <c r="E48" s="18">
        <f t="shared" si="12"/>
        <v>0.49650450339911972</v>
      </c>
      <c r="F48" s="18">
        <f t="shared" si="14"/>
        <v>0.99300900679823945</v>
      </c>
      <c r="G48" s="18">
        <f>2*D48</f>
        <v>0.99300900679823945</v>
      </c>
      <c r="I48" s="16" t="s">
        <v>14</v>
      </c>
      <c r="J48" s="21">
        <v>20</v>
      </c>
    </row>
    <row r="49" spans="2:10" x14ac:dyDescent="0.25">
      <c r="B49" s="18">
        <v>7</v>
      </c>
      <c r="C49" s="18">
        <f t="shared" si="13"/>
        <v>0.51000000000000012</v>
      </c>
      <c r="D49" s="18">
        <f t="shared" si="11"/>
        <v>0.51811953762422025</v>
      </c>
      <c r="E49" s="18">
        <f t="shared" si="12"/>
        <v>0.51811953762422025</v>
      </c>
      <c r="F49" s="18">
        <f t="shared" si="14"/>
        <v>1.0362390752484405</v>
      </c>
      <c r="G49" s="18">
        <f>4*D49</f>
        <v>2.072478150496881</v>
      </c>
      <c r="I49" s="22" t="s">
        <v>15</v>
      </c>
      <c r="J49" s="23">
        <f>(J47-J46) / J48</f>
        <v>3.0000000000000006E-2</v>
      </c>
    </row>
    <row r="50" spans="2:10" x14ac:dyDescent="0.25">
      <c r="B50" s="18">
        <v>8</v>
      </c>
      <c r="C50" s="18">
        <f t="shared" si="13"/>
        <v>0.54000000000000015</v>
      </c>
      <c r="D50" s="18">
        <f t="shared" si="11"/>
        <v>0.54076948770798794</v>
      </c>
      <c r="E50" s="18">
        <f t="shared" si="12"/>
        <v>0.54076948770798794</v>
      </c>
      <c r="F50" s="18">
        <f t="shared" si="14"/>
        <v>1.0815389754159759</v>
      </c>
      <c r="G50" s="18">
        <f>2*D50</f>
        <v>1.0815389754159759</v>
      </c>
    </row>
    <row r="51" spans="2:10" x14ac:dyDescent="0.25">
      <c r="B51" s="18">
        <v>9</v>
      </c>
      <c r="C51" s="18">
        <f t="shared" si="13"/>
        <v>0.57000000000000017</v>
      </c>
      <c r="D51" s="18">
        <f t="shared" si="11"/>
        <v>0.56439389713794919</v>
      </c>
      <c r="E51" s="18">
        <f t="shared" si="12"/>
        <v>0.56439389713794919</v>
      </c>
      <c r="F51" s="18">
        <f t="shared" si="14"/>
        <v>1.1287877942758984</v>
      </c>
      <c r="G51" s="18">
        <f>4*D51</f>
        <v>2.2575755885517967</v>
      </c>
    </row>
    <row r="52" spans="2:10" x14ac:dyDescent="0.25">
      <c r="B52" s="18">
        <v>10</v>
      </c>
      <c r="C52" s="18">
        <f t="shared" si="13"/>
        <v>0.6000000000000002</v>
      </c>
      <c r="D52" s="18">
        <f t="shared" si="11"/>
        <v>0.58891715777696363</v>
      </c>
      <c r="E52" s="18">
        <f t="shared" si="12"/>
        <v>0.58891715777696363</v>
      </c>
      <c r="F52" s="18">
        <f t="shared" si="14"/>
        <v>1.1778343155539273</v>
      </c>
      <c r="G52" s="18">
        <f>2*D52</f>
        <v>1.1778343155539273</v>
      </c>
    </row>
    <row r="53" spans="2:10" x14ac:dyDescent="0.25">
      <c r="B53" s="18">
        <v>11</v>
      </c>
      <c r="C53" s="18">
        <f t="shared" si="13"/>
        <v>0.63000000000000023</v>
      </c>
      <c r="D53" s="18">
        <f t="shared" si="11"/>
        <v>0.61424679525092785</v>
      </c>
      <c r="E53" s="18">
        <f t="shared" si="12"/>
        <v>0.61424679525092785</v>
      </c>
      <c r="F53" s="18">
        <f t="shared" si="14"/>
        <v>1.2284935905018557</v>
      </c>
      <c r="G53" s="18">
        <f>4*D53</f>
        <v>2.4569871810037114</v>
      </c>
    </row>
    <row r="54" spans="2:10" x14ac:dyDescent="0.25">
      <c r="B54" s="18">
        <v>12</v>
      </c>
      <c r="C54" s="18">
        <f t="shared" si="13"/>
        <v>0.66000000000000025</v>
      </c>
      <c r="D54" s="18">
        <f t="shared" si="11"/>
        <v>0.64027167706554167</v>
      </c>
      <c r="E54" s="18">
        <f t="shared" si="12"/>
        <v>0.64027167706554167</v>
      </c>
      <c r="F54" s="18">
        <f t="shared" si="14"/>
        <v>1.2805433541310833</v>
      </c>
      <c r="G54" s="18">
        <f>2*D54</f>
        <v>1.2805433541310833</v>
      </c>
    </row>
    <row r="55" spans="2:10" x14ac:dyDescent="0.25">
      <c r="B55" s="18">
        <v>13</v>
      </c>
      <c r="C55" s="18">
        <f t="shared" si="13"/>
        <v>0.69000000000000028</v>
      </c>
      <c r="D55" s="18">
        <f t="shared" si="11"/>
        <v>0.66686016021242001</v>
      </c>
      <c r="E55" s="18">
        <f t="shared" si="12"/>
        <v>0.66686016021242001</v>
      </c>
      <c r="F55" s="18">
        <f t="shared" si="14"/>
        <v>1.33372032042484</v>
      </c>
      <c r="G55" s="18">
        <f>4*D55</f>
        <v>2.66744064084968</v>
      </c>
    </row>
    <row r="56" spans="2:10" x14ac:dyDescent="0.25">
      <c r="B56" s="18">
        <v>14</v>
      </c>
      <c r="C56" s="18">
        <f t="shared" si="13"/>
        <v>0.72000000000000031</v>
      </c>
      <c r="D56" s="18">
        <f t="shared" si="11"/>
        <v>0.69385819989711706</v>
      </c>
      <c r="E56" s="18">
        <f t="shared" si="12"/>
        <v>0.69385819989711706</v>
      </c>
      <c r="F56" s="18">
        <f t="shared" si="14"/>
        <v>1.3877163997942341</v>
      </c>
      <c r="G56" s="18">
        <f>2*D56</f>
        <v>1.3877163997942341</v>
      </c>
    </row>
    <row r="57" spans="2:10" x14ac:dyDescent="0.25">
      <c r="B57" s="18">
        <v>15</v>
      </c>
      <c r="C57" s="18">
        <f t="shared" si="13"/>
        <v>0.75000000000000033</v>
      </c>
      <c r="D57" s="18">
        <f t="shared" si="11"/>
        <v>0.7210874465776268</v>
      </c>
      <c r="E57" s="18">
        <f t="shared" si="12"/>
        <v>0.7210874465776268</v>
      </c>
      <c r="F57" s="18">
        <f t="shared" si="14"/>
        <v>1.4421748931552536</v>
      </c>
      <c r="G57" s="18">
        <f>4*D57</f>
        <v>2.8843497863105072</v>
      </c>
    </row>
    <row r="58" spans="2:10" x14ac:dyDescent="0.25">
      <c r="B58" s="18">
        <v>16</v>
      </c>
      <c r="C58" s="18">
        <f t="shared" si="13"/>
        <v>0.78000000000000036</v>
      </c>
      <c r="D58" s="18">
        <f t="shared" si="11"/>
        <v>0.74834336476890062</v>
      </c>
      <c r="E58" s="18">
        <f t="shared" si="12"/>
        <v>0.74834336476890062</v>
      </c>
      <c r="F58" s="18">
        <f t="shared" si="14"/>
        <v>1.4966867295378012</v>
      </c>
      <c r="G58" s="18">
        <f>2*D58</f>
        <v>1.4966867295378012</v>
      </c>
    </row>
    <row r="59" spans="2:10" x14ac:dyDescent="0.25">
      <c r="B59" s="18">
        <v>17</v>
      </c>
      <c r="C59" s="18">
        <f t="shared" si="13"/>
        <v>0.81000000000000039</v>
      </c>
      <c r="D59" s="18">
        <f t="shared" si="11"/>
        <v>0.77539341405966666</v>
      </c>
      <c r="E59" s="18">
        <f t="shared" si="12"/>
        <v>0.77539341405966666</v>
      </c>
      <c r="F59" s="18">
        <f t="shared" si="14"/>
        <v>1.5507868281193333</v>
      </c>
      <c r="G59" s="18">
        <f>4*D59</f>
        <v>3.1015736562386667</v>
      </c>
    </row>
    <row r="60" spans="2:10" x14ac:dyDescent="0.25">
      <c r="B60" s="18">
        <v>18</v>
      </c>
      <c r="C60" s="18">
        <f t="shared" si="13"/>
        <v>0.84000000000000041</v>
      </c>
      <c r="D60" s="18">
        <f t="shared" si="11"/>
        <v>0.80197534049565011</v>
      </c>
      <c r="E60" s="18">
        <f t="shared" si="12"/>
        <v>0.80197534049565011</v>
      </c>
      <c r="F60" s="18">
        <f t="shared" si="14"/>
        <v>1.6039506809913002</v>
      </c>
      <c r="G60" s="18">
        <f>2*D60</f>
        <v>1.6039506809913002</v>
      </c>
    </row>
    <row r="61" spans="2:10" x14ac:dyDescent="0.25">
      <c r="B61" s="18">
        <v>19</v>
      </c>
      <c r="C61" s="18">
        <f t="shared" si="13"/>
        <v>0.87000000000000044</v>
      </c>
      <c r="D61" s="18">
        <f t="shared" si="11"/>
        <v>0.82779563487630015</v>
      </c>
      <c r="E61" s="18">
        <f t="shared" si="12"/>
        <v>0.82779563487630015</v>
      </c>
      <c r="F61" s="18">
        <f t="shared" si="14"/>
        <v>1.6555912697526003</v>
      </c>
      <c r="G61" s="18">
        <f>4*D61</f>
        <v>3.3111825395052006</v>
      </c>
    </row>
    <row r="62" spans="2:10" x14ac:dyDescent="0.25">
      <c r="B62" s="19">
        <v>20</v>
      </c>
      <c r="C62" s="19">
        <f t="shared" si="13"/>
        <v>0.90000000000000047</v>
      </c>
      <c r="D62" s="19">
        <f t="shared" si="11"/>
        <v>0.85252822352648938</v>
      </c>
      <c r="E62" s="19">
        <f t="shared" si="12"/>
        <v>0.85252822352648938</v>
      </c>
      <c r="F62" s="19">
        <f>D62</f>
        <v>0.85252822352648938</v>
      </c>
      <c r="G62" s="19">
        <f>D62</f>
        <v>0.85252822352648938</v>
      </c>
    </row>
    <row r="65" spans="2:10" x14ac:dyDescent="0.25">
      <c r="B65" s="13" t="s">
        <v>11</v>
      </c>
      <c r="C65" s="14">
        <f>SUM(E42:E61)*J49</f>
        <v>0.35358359329777195</v>
      </c>
      <c r="D65" s="14">
        <f>SUM(F42:F62)*J49/2</f>
        <v>0.36051533479919268</v>
      </c>
      <c r="E65" s="14">
        <f>SUM(G42:G62)*J49/3</f>
        <v>0.36049060637078623</v>
      </c>
    </row>
    <row r="66" spans="2:10" x14ac:dyDescent="0.25">
      <c r="B66" s="13" t="s">
        <v>12</v>
      </c>
      <c r="C66" s="14">
        <f>SUM(E43:E62)*J49</f>
        <v>0.3674470763006133</v>
      </c>
    </row>
    <row r="68" spans="2:10" x14ac:dyDescent="0.25">
      <c r="B68" s="13" t="s">
        <v>11</v>
      </c>
      <c r="C68" s="24">
        <f>sprl(J46,J47,J48,2)</f>
        <v>0.35358359329777189</v>
      </c>
      <c r="D68" s="24">
        <f>str(J46,J47,J48,2)</f>
        <v>0.36051533479919257</v>
      </c>
      <c r="E68" s="24">
        <f>ssimp(J46,J47,J48,2)</f>
        <v>0.36049060637078612</v>
      </c>
    </row>
    <row r="69" spans="2:10" x14ac:dyDescent="0.25">
      <c r="B69" s="13" t="s">
        <v>12</v>
      </c>
      <c r="C69" s="24">
        <f>sprp(J46,J47,J48,2)</f>
        <v>0.3674470763006133</v>
      </c>
    </row>
    <row r="74" spans="2:10" ht="21" x14ac:dyDescent="0.25">
      <c r="B74" s="211" t="s">
        <v>0</v>
      </c>
      <c r="C74" s="212"/>
      <c r="D74" s="212"/>
      <c r="E74" s="212"/>
      <c r="F74" s="212"/>
      <c r="G74" s="213"/>
    </row>
    <row r="75" spans="2:10" x14ac:dyDescent="0.25">
      <c r="B75" s="10" t="s">
        <v>1</v>
      </c>
      <c r="C75" s="10" t="s">
        <v>2</v>
      </c>
      <c r="D75" s="12" t="s">
        <v>3</v>
      </c>
      <c r="E75" s="11" t="s">
        <v>4</v>
      </c>
      <c r="F75" s="11" t="s">
        <v>5</v>
      </c>
      <c r="G75" s="11" t="s">
        <v>6</v>
      </c>
    </row>
    <row r="76" spans="2:10" x14ac:dyDescent="0.25">
      <c r="B76" s="17">
        <v>0</v>
      </c>
      <c r="C76" s="17">
        <f>J77</f>
        <v>2.1</v>
      </c>
      <c r="D76" s="17">
        <f t="shared" ref="D76:D96" si="15">1/((C76^2-3)^(1/2))</f>
        <v>0.84215192106651893</v>
      </c>
      <c r="E76" s="17">
        <f t="shared" ref="E76:E96" si="16">D76</f>
        <v>0.84215192106651893</v>
      </c>
      <c r="F76" s="17">
        <f>D76</f>
        <v>0.84215192106651893</v>
      </c>
      <c r="G76" s="17">
        <f>D76</f>
        <v>0.84215192106651893</v>
      </c>
    </row>
    <row r="77" spans="2:10" x14ac:dyDescent="0.25">
      <c r="B77" s="18">
        <v>1</v>
      </c>
      <c r="C77" s="18">
        <f t="shared" ref="C77:C96" si="17">C76+$J$80</f>
        <v>2.1750000000000003</v>
      </c>
      <c r="D77" s="18">
        <f t="shared" si="15"/>
        <v>0.76014862358528656</v>
      </c>
      <c r="E77" s="18">
        <f t="shared" si="16"/>
        <v>0.76014862358528656</v>
      </c>
      <c r="F77" s="18">
        <f t="shared" ref="F77:F95" si="18">2*D77</f>
        <v>1.5202972471705731</v>
      </c>
      <c r="G77" s="18">
        <f>4*D77</f>
        <v>3.0405944943411463</v>
      </c>
      <c r="I77" s="15" t="s">
        <v>13</v>
      </c>
      <c r="J77" s="20">
        <v>2.1</v>
      </c>
    </row>
    <row r="78" spans="2:10" x14ac:dyDescent="0.25">
      <c r="B78" s="18">
        <v>2</v>
      </c>
      <c r="C78" s="18">
        <f t="shared" si="17"/>
        <v>2.2500000000000004</v>
      </c>
      <c r="D78" s="18">
        <f t="shared" si="15"/>
        <v>0.69631062382279107</v>
      </c>
      <c r="E78" s="18">
        <f t="shared" si="16"/>
        <v>0.69631062382279107</v>
      </c>
      <c r="F78" s="18">
        <f t="shared" si="18"/>
        <v>1.3926212476455821</v>
      </c>
      <c r="G78" s="18">
        <f>2*D78</f>
        <v>1.3926212476455821</v>
      </c>
      <c r="I78" s="16" t="s">
        <v>8</v>
      </c>
      <c r="J78" s="21">
        <v>3.6</v>
      </c>
    </row>
    <row r="79" spans="2:10" x14ac:dyDescent="0.25">
      <c r="B79" s="18">
        <v>3</v>
      </c>
      <c r="C79" s="18">
        <f t="shared" si="17"/>
        <v>2.3250000000000006</v>
      </c>
      <c r="D79" s="18">
        <f t="shared" si="15"/>
        <v>0.64474210939968157</v>
      </c>
      <c r="E79" s="18">
        <f t="shared" si="16"/>
        <v>0.64474210939968157</v>
      </c>
      <c r="F79" s="18">
        <f t="shared" si="18"/>
        <v>1.2894842187993631</v>
      </c>
      <c r="G79" s="18">
        <f>4*D79</f>
        <v>2.5789684375987263</v>
      </c>
      <c r="I79" s="16" t="s">
        <v>14</v>
      </c>
      <c r="J79" s="21">
        <v>20</v>
      </c>
    </row>
    <row r="80" spans="2:10" x14ac:dyDescent="0.25">
      <c r="B80" s="18">
        <v>4</v>
      </c>
      <c r="C80" s="18">
        <f t="shared" si="17"/>
        <v>2.4000000000000008</v>
      </c>
      <c r="D80" s="18">
        <f t="shared" si="15"/>
        <v>0.60192926542884551</v>
      </c>
      <c r="E80" s="18">
        <f t="shared" si="16"/>
        <v>0.60192926542884551</v>
      </c>
      <c r="F80" s="18">
        <f t="shared" si="18"/>
        <v>1.203858530857691</v>
      </c>
      <c r="G80" s="18">
        <f>2*D80</f>
        <v>1.203858530857691</v>
      </c>
      <c r="I80" s="22" t="s">
        <v>10</v>
      </c>
      <c r="J80" s="23">
        <f>(J78-J77)/J79</f>
        <v>7.4999999999999997E-2</v>
      </c>
    </row>
    <row r="81" spans="2:7" x14ac:dyDescent="0.25">
      <c r="B81" s="18">
        <v>5</v>
      </c>
      <c r="C81" s="18">
        <f t="shared" si="17"/>
        <v>2.475000000000001</v>
      </c>
      <c r="D81" s="18">
        <f t="shared" si="15"/>
        <v>0.56562886489061004</v>
      </c>
      <c r="E81" s="18">
        <f t="shared" si="16"/>
        <v>0.56562886489061004</v>
      </c>
      <c r="F81" s="18">
        <f t="shared" si="18"/>
        <v>1.1312577297812201</v>
      </c>
      <c r="G81" s="18">
        <f>4*D81</f>
        <v>2.2625154595624402</v>
      </c>
    </row>
    <row r="82" spans="2:7" x14ac:dyDescent="0.25">
      <c r="B82" s="18">
        <v>6</v>
      </c>
      <c r="C82" s="18">
        <f t="shared" si="17"/>
        <v>2.5500000000000012</v>
      </c>
      <c r="D82" s="18">
        <f t="shared" si="15"/>
        <v>0.53433168514526441</v>
      </c>
      <c r="E82" s="18">
        <f t="shared" si="16"/>
        <v>0.53433168514526441</v>
      </c>
      <c r="F82" s="18">
        <f t="shared" si="18"/>
        <v>1.0686633702905288</v>
      </c>
      <c r="G82" s="18">
        <f>2*D82</f>
        <v>1.0686633702905288</v>
      </c>
    </row>
    <row r="83" spans="2:7" x14ac:dyDescent="0.25">
      <c r="B83" s="18">
        <v>7</v>
      </c>
      <c r="C83" s="18">
        <f t="shared" si="17"/>
        <v>2.6250000000000013</v>
      </c>
      <c r="D83" s="18">
        <f t="shared" si="15"/>
        <v>0.50697940041958189</v>
      </c>
      <c r="E83" s="18">
        <f t="shared" si="16"/>
        <v>0.50697940041958189</v>
      </c>
      <c r="F83" s="18">
        <f t="shared" si="18"/>
        <v>1.0139588008391638</v>
      </c>
      <c r="G83" s="18">
        <f>4*D83</f>
        <v>2.0279176016783276</v>
      </c>
    </row>
    <row r="84" spans="2:7" x14ac:dyDescent="0.25">
      <c r="B84" s="18">
        <v>8</v>
      </c>
      <c r="C84" s="18">
        <f t="shared" si="17"/>
        <v>2.7000000000000015</v>
      </c>
      <c r="D84" s="18">
        <f t="shared" si="15"/>
        <v>0.48280454958526708</v>
      </c>
      <c r="E84" s="18">
        <f t="shared" si="16"/>
        <v>0.48280454958526708</v>
      </c>
      <c r="F84" s="18">
        <f t="shared" si="18"/>
        <v>0.96560909917053417</v>
      </c>
      <c r="G84" s="18">
        <f>2*D84</f>
        <v>0.96560909917053417</v>
      </c>
    </row>
    <row r="85" spans="2:7" x14ac:dyDescent="0.25">
      <c r="B85" s="18">
        <v>9</v>
      </c>
      <c r="C85" s="18">
        <f t="shared" si="17"/>
        <v>2.7750000000000017</v>
      </c>
      <c r="D85" s="18">
        <f t="shared" si="15"/>
        <v>0.46123493781728592</v>
      </c>
      <c r="E85" s="18">
        <f t="shared" si="16"/>
        <v>0.46123493781728592</v>
      </c>
      <c r="F85" s="18">
        <f t="shared" si="18"/>
        <v>0.92246987563457183</v>
      </c>
      <c r="G85" s="18">
        <f>4*D85</f>
        <v>1.8449397512691437</v>
      </c>
    </row>
    <row r="86" spans="2:7" x14ac:dyDescent="0.25">
      <c r="B86" s="18">
        <v>10</v>
      </c>
      <c r="C86" s="18">
        <f t="shared" si="17"/>
        <v>2.8500000000000019</v>
      </c>
      <c r="D86" s="18">
        <f t="shared" si="15"/>
        <v>0.44183388180600347</v>
      </c>
      <c r="E86" s="18">
        <f t="shared" si="16"/>
        <v>0.44183388180600347</v>
      </c>
      <c r="F86" s="18">
        <f t="shared" si="18"/>
        <v>0.88366776361200694</v>
      </c>
      <c r="G86" s="18">
        <f>2*D86</f>
        <v>0.88366776361200694</v>
      </c>
    </row>
    <row r="87" spans="2:7" x14ac:dyDescent="0.25">
      <c r="B87" s="18">
        <v>11</v>
      </c>
      <c r="C87" s="18">
        <f t="shared" si="17"/>
        <v>2.925000000000002</v>
      </c>
      <c r="D87" s="18">
        <f t="shared" si="15"/>
        <v>0.42426141708635756</v>
      </c>
      <c r="E87" s="18">
        <f t="shared" si="16"/>
        <v>0.42426141708635756</v>
      </c>
      <c r="F87" s="18">
        <f t="shared" si="18"/>
        <v>0.84852283417271512</v>
      </c>
      <c r="G87" s="18">
        <f>4*D87</f>
        <v>1.6970456683454302</v>
      </c>
    </row>
    <row r="88" spans="2:7" x14ac:dyDescent="0.25">
      <c r="B88" s="18">
        <v>12</v>
      </c>
      <c r="C88" s="18">
        <f t="shared" si="17"/>
        <v>3.0000000000000022</v>
      </c>
      <c r="D88" s="18">
        <f t="shared" si="15"/>
        <v>0.40824829046386252</v>
      </c>
      <c r="E88" s="18">
        <f t="shared" si="16"/>
        <v>0.40824829046386252</v>
      </c>
      <c r="F88" s="18">
        <f t="shared" si="18"/>
        <v>0.81649658092772504</v>
      </c>
      <c r="G88" s="18">
        <f>2*D88</f>
        <v>0.81649658092772504</v>
      </c>
    </row>
    <row r="89" spans="2:7" x14ac:dyDescent="0.25">
      <c r="B89" s="18">
        <v>13</v>
      </c>
      <c r="C89" s="18">
        <f t="shared" si="17"/>
        <v>3.0750000000000024</v>
      </c>
      <c r="D89" s="18">
        <f t="shared" si="15"/>
        <v>0.39357803455053958</v>
      </c>
      <c r="E89" s="18">
        <f t="shared" si="16"/>
        <v>0.39357803455053958</v>
      </c>
      <c r="F89" s="18">
        <f t="shared" si="18"/>
        <v>0.78715606910107916</v>
      </c>
      <c r="G89" s="18">
        <f>4*D89</f>
        <v>1.5743121382021583</v>
      </c>
    </row>
    <row r="90" spans="2:7" x14ac:dyDescent="0.25">
      <c r="B90" s="18">
        <v>14</v>
      </c>
      <c r="C90" s="18">
        <f t="shared" si="17"/>
        <v>3.1500000000000026</v>
      </c>
      <c r="D90" s="18">
        <f t="shared" si="15"/>
        <v>0.380074311792643</v>
      </c>
      <c r="E90" s="18">
        <f t="shared" si="16"/>
        <v>0.380074311792643</v>
      </c>
      <c r="F90" s="18">
        <f t="shared" si="18"/>
        <v>0.76014862358528601</v>
      </c>
      <c r="G90" s="18">
        <f>2*D90</f>
        <v>0.76014862358528601</v>
      </c>
    </row>
    <row r="91" spans="2:7" x14ac:dyDescent="0.25">
      <c r="B91" s="18">
        <v>15</v>
      </c>
      <c r="C91" s="18">
        <f t="shared" si="17"/>
        <v>3.2250000000000028</v>
      </c>
      <c r="D91" s="18">
        <f t="shared" si="15"/>
        <v>0.36759178807280085</v>
      </c>
      <c r="E91" s="18">
        <f t="shared" si="16"/>
        <v>0.36759178807280085</v>
      </c>
      <c r="F91" s="18">
        <f t="shared" si="18"/>
        <v>0.7351835761456017</v>
      </c>
      <c r="G91" s="18">
        <f>4*D91</f>
        <v>1.4703671522912034</v>
      </c>
    </row>
    <row r="92" spans="2:7" x14ac:dyDescent="0.25">
      <c r="B92" s="18">
        <v>16</v>
      </c>
      <c r="C92" s="18">
        <f t="shared" si="17"/>
        <v>3.3000000000000029</v>
      </c>
      <c r="D92" s="18">
        <f t="shared" si="15"/>
        <v>0.35600942725445178</v>
      </c>
      <c r="E92" s="18">
        <f t="shared" si="16"/>
        <v>0.35600942725445178</v>
      </c>
      <c r="F92" s="18">
        <f t="shared" si="18"/>
        <v>0.71201885450890356</v>
      </c>
      <c r="G92" s="18">
        <f>2*D92</f>
        <v>0.71201885450890356</v>
      </c>
    </row>
    <row r="93" spans="2:7" x14ac:dyDescent="0.25">
      <c r="B93" s="18">
        <v>17</v>
      </c>
      <c r="C93" s="18">
        <f t="shared" si="17"/>
        <v>3.3750000000000031</v>
      </c>
      <c r="D93" s="18">
        <f t="shared" si="15"/>
        <v>0.34522548160168204</v>
      </c>
      <c r="E93" s="18">
        <f t="shared" si="16"/>
        <v>0.34522548160168204</v>
      </c>
      <c r="F93" s="18">
        <f t="shared" si="18"/>
        <v>0.69045096320336408</v>
      </c>
      <c r="G93" s="18">
        <f>4*D93</f>
        <v>1.3809019264067282</v>
      </c>
    </row>
    <row r="94" spans="2:7" x14ac:dyDescent="0.25">
      <c r="B94" s="18">
        <v>18</v>
      </c>
      <c r="C94" s="18">
        <f t="shared" si="17"/>
        <v>3.4500000000000033</v>
      </c>
      <c r="D94" s="18">
        <f t="shared" si="15"/>
        <v>0.33515369273430329</v>
      </c>
      <c r="E94" s="18">
        <f t="shared" si="16"/>
        <v>0.33515369273430329</v>
      </c>
      <c r="F94" s="18">
        <f t="shared" si="18"/>
        <v>0.67030738546860658</v>
      </c>
      <c r="G94" s="18">
        <f>2*D94</f>
        <v>0.67030738546860658</v>
      </c>
    </row>
    <row r="95" spans="2:7" x14ac:dyDescent="0.25">
      <c r="B95" s="18">
        <v>19</v>
      </c>
      <c r="C95" s="18">
        <f t="shared" si="17"/>
        <v>3.5250000000000035</v>
      </c>
      <c r="D95" s="18">
        <f t="shared" si="15"/>
        <v>0.32572037142419952</v>
      </c>
      <c r="E95" s="18">
        <f t="shared" si="16"/>
        <v>0.32572037142419952</v>
      </c>
      <c r="F95" s="18">
        <f t="shared" si="18"/>
        <v>0.65144074284839903</v>
      </c>
      <c r="G95" s="18">
        <f>4*D95</f>
        <v>1.3028814856967981</v>
      </c>
    </row>
    <row r="96" spans="2:7" x14ac:dyDescent="0.25">
      <c r="B96" s="19">
        <v>20</v>
      </c>
      <c r="C96" s="19">
        <f t="shared" si="17"/>
        <v>3.6000000000000036</v>
      </c>
      <c r="D96" s="19">
        <f t="shared" si="15"/>
        <v>0.31686212526223856</v>
      </c>
      <c r="E96" s="19">
        <f t="shared" si="16"/>
        <v>0.31686212526223856</v>
      </c>
      <c r="F96" s="19">
        <f>D96</f>
        <v>0.31686212526223856</v>
      </c>
      <c r="G96" s="23">
        <f>D96</f>
        <v>0.31686212526223856</v>
      </c>
    </row>
    <row r="99" spans="2:7" x14ac:dyDescent="0.25">
      <c r="B99" s="13" t="s">
        <v>11</v>
      </c>
      <c r="C99" s="14">
        <f>SUM(E76:E95)*J80</f>
        <v>0.74054690084609842</v>
      </c>
      <c r="D99" s="14">
        <f>SUM(F76:F96)*J80/2</f>
        <v>0.72084853350343803</v>
      </c>
      <c r="E99" s="14">
        <f>SUM(G76:G96)*J80/3</f>
        <v>0.72032124044469326</v>
      </c>
    </row>
    <row r="100" spans="2:7" x14ac:dyDescent="0.25">
      <c r="B100" s="13" t="s">
        <v>12</v>
      </c>
      <c r="C100" s="14">
        <f>SUM(E77:E96)*J80</f>
        <v>0.70115016616077741</v>
      </c>
    </row>
    <row r="102" spans="2:7" x14ac:dyDescent="0.25">
      <c r="B102" s="13" t="s">
        <v>11</v>
      </c>
      <c r="C102" s="24">
        <f>sprl(J77,J78,J79,3)</f>
        <v>0</v>
      </c>
      <c r="D102" s="24">
        <f>str(J77,J78,J79,3)</f>
        <v>0</v>
      </c>
      <c r="E102" s="24">
        <f>ssimp(J77,J78,J79,3)</f>
        <v>0</v>
      </c>
    </row>
    <row r="103" spans="2:7" x14ac:dyDescent="0.25">
      <c r="B103" s="13" t="s">
        <v>12</v>
      </c>
      <c r="C103" s="24">
        <f>sprp(J77,J78,J79,3)</f>
        <v>0</v>
      </c>
    </row>
    <row r="110" spans="2:7" ht="21" x14ac:dyDescent="0.25">
      <c r="B110" s="211" t="s">
        <v>0</v>
      </c>
      <c r="C110" s="212"/>
      <c r="D110" s="212"/>
      <c r="E110" s="212"/>
      <c r="F110" s="212"/>
      <c r="G110" s="213"/>
    </row>
    <row r="111" spans="2:7" x14ac:dyDescent="0.25">
      <c r="B111" s="10" t="s">
        <v>1</v>
      </c>
      <c r="C111" s="10" t="s">
        <v>2</v>
      </c>
      <c r="D111" s="12" t="s">
        <v>3</v>
      </c>
      <c r="E111" s="11" t="s">
        <v>4</v>
      </c>
      <c r="F111" s="11" t="s">
        <v>5</v>
      </c>
      <c r="G111" s="11" t="s">
        <v>6</v>
      </c>
    </row>
    <row r="112" spans="2:7" x14ac:dyDescent="0.25">
      <c r="B112" s="17">
        <v>0</v>
      </c>
      <c r="C112" s="17">
        <f>J114</f>
        <v>0.8</v>
      </c>
      <c r="D112" s="17">
        <f t="shared" ref="D112:D132" si="19">SIN(C112^2-0.4)/(C112+2)</f>
        <v>8.4893795152548107E-2</v>
      </c>
      <c r="E112" s="17">
        <f>D112</f>
        <v>8.4893795152548107E-2</v>
      </c>
      <c r="F112" s="17">
        <f>E112</f>
        <v>8.4893795152548107E-2</v>
      </c>
      <c r="G112" s="17">
        <f>F112</f>
        <v>8.4893795152548107E-2</v>
      </c>
    </row>
    <row r="113" spans="2:10" x14ac:dyDescent="0.25">
      <c r="B113" s="18">
        <v>1</v>
      </c>
      <c r="C113" s="18">
        <f t="shared" ref="C113:C132" si="20">C112+$J$117</f>
        <v>0.82000000000000006</v>
      </c>
      <c r="D113" s="18">
        <f t="shared" si="19"/>
        <v>9.5405573203337896E-2</v>
      </c>
      <c r="E113" s="18">
        <f t="shared" ref="E113:E132" si="21">D113</f>
        <v>9.5405573203337896E-2</v>
      </c>
      <c r="F113" s="18">
        <f t="shared" ref="F113:F131" si="22">2*D113</f>
        <v>0.19081114640667579</v>
      </c>
      <c r="G113" s="18">
        <f>4*D113</f>
        <v>0.38162229281335158</v>
      </c>
    </row>
    <row r="114" spans="2:10" x14ac:dyDescent="0.25">
      <c r="B114" s="18">
        <v>2</v>
      </c>
      <c r="C114" s="18">
        <f t="shared" si="20"/>
        <v>0.84000000000000008</v>
      </c>
      <c r="D114" s="18">
        <f t="shared" si="19"/>
        <v>0.10593853144144151</v>
      </c>
      <c r="E114" s="18">
        <f t="shared" si="21"/>
        <v>0.10593853144144151</v>
      </c>
      <c r="F114" s="18">
        <f t="shared" si="22"/>
        <v>0.21187706288288302</v>
      </c>
      <c r="G114" s="18">
        <f>2*D114</f>
        <v>0.21187706288288302</v>
      </c>
      <c r="I114" s="15" t="s">
        <v>13</v>
      </c>
      <c r="J114" s="20">
        <v>0.8</v>
      </c>
    </row>
    <row r="115" spans="2:10" x14ac:dyDescent="0.25">
      <c r="B115" s="18">
        <v>3</v>
      </c>
      <c r="C115" s="18">
        <f t="shared" si="20"/>
        <v>0.8600000000000001</v>
      </c>
      <c r="D115" s="18">
        <f t="shared" si="19"/>
        <v>0.11647201524674552</v>
      </c>
      <c r="E115" s="18">
        <f t="shared" si="21"/>
        <v>0.11647201524674552</v>
      </c>
      <c r="F115" s="18">
        <f t="shared" si="22"/>
        <v>0.23294403049349105</v>
      </c>
      <c r="G115" s="18">
        <f>4*D115</f>
        <v>0.4658880609869821</v>
      </c>
      <c r="I115" s="16" t="s">
        <v>8</v>
      </c>
      <c r="J115" s="21">
        <v>1.2</v>
      </c>
    </row>
    <row r="116" spans="2:10" x14ac:dyDescent="0.25">
      <c r="B116" s="18">
        <v>4</v>
      </c>
      <c r="C116" s="18">
        <f t="shared" si="20"/>
        <v>0.88000000000000012</v>
      </c>
      <c r="D116" s="18">
        <f t="shared" si="19"/>
        <v>0.12698408285324492</v>
      </c>
      <c r="E116" s="18">
        <f t="shared" si="21"/>
        <v>0.12698408285324492</v>
      </c>
      <c r="F116" s="18">
        <f t="shared" si="22"/>
        <v>0.25396816570648983</v>
      </c>
      <c r="G116" s="18">
        <f>2*D116</f>
        <v>0.25396816570648983</v>
      </c>
      <c r="I116" s="16" t="s">
        <v>14</v>
      </c>
      <c r="J116" s="21">
        <v>20</v>
      </c>
    </row>
    <row r="117" spans="2:10" x14ac:dyDescent="0.25">
      <c r="B117" s="18">
        <v>5</v>
      </c>
      <c r="C117" s="18">
        <f t="shared" si="20"/>
        <v>0.90000000000000013</v>
      </c>
      <c r="D117" s="18">
        <f t="shared" si="19"/>
        <v>0.13745149240842175</v>
      </c>
      <c r="E117" s="18">
        <f t="shared" si="21"/>
        <v>0.13745149240842175</v>
      </c>
      <c r="F117" s="18">
        <f t="shared" si="22"/>
        <v>0.2749029848168435</v>
      </c>
      <c r="G117" s="18">
        <f>4*D117</f>
        <v>0.549805969633687</v>
      </c>
      <c r="I117" s="22" t="s">
        <v>10</v>
      </c>
      <c r="J117" s="23">
        <f>(J115-J114)/J116</f>
        <v>1.9999999999999997E-2</v>
      </c>
    </row>
    <row r="118" spans="2:10" x14ac:dyDescent="0.25">
      <c r="B118" s="18">
        <v>6</v>
      </c>
      <c r="C118" s="18">
        <f t="shared" si="20"/>
        <v>0.92000000000000015</v>
      </c>
      <c r="D118" s="18">
        <f t="shared" si="19"/>
        <v>0.14784969622295066</v>
      </c>
      <c r="E118" s="18">
        <f t="shared" si="21"/>
        <v>0.14784969622295066</v>
      </c>
      <c r="F118" s="18">
        <f t="shared" si="22"/>
        <v>0.29569939244590132</v>
      </c>
      <c r="G118" s="18">
        <f>2*D118</f>
        <v>0.29569939244590132</v>
      </c>
    </row>
    <row r="119" spans="2:10" x14ac:dyDescent="0.25">
      <c r="B119" s="18">
        <v>7</v>
      </c>
      <c r="C119" s="18">
        <f t="shared" si="20"/>
        <v>0.94000000000000017</v>
      </c>
      <c r="D119" s="18">
        <f t="shared" si="19"/>
        <v>0.15815284287088252</v>
      </c>
      <c r="E119" s="18">
        <f t="shared" si="21"/>
        <v>0.15815284287088252</v>
      </c>
      <c r="F119" s="18">
        <f t="shared" si="22"/>
        <v>0.31630568574176504</v>
      </c>
      <c r="G119" s="18">
        <f>4*D119</f>
        <v>0.63261137148353008</v>
      </c>
    </row>
    <row r="120" spans="2:10" x14ac:dyDescent="0.25">
      <c r="B120" s="18">
        <v>8</v>
      </c>
      <c r="C120" s="18">
        <f t="shared" si="20"/>
        <v>0.96000000000000019</v>
      </c>
      <c r="D120" s="18">
        <f t="shared" si="19"/>
        <v>0.16833378781498287</v>
      </c>
      <c r="E120" s="18">
        <f t="shared" si="21"/>
        <v>0.16833378781498287</v>
      </c>
      <c r="F120" s="18">
        <f t="shared" si="22"/>
        <v>0.33666757562996574</v>
      </c>
      <c r="G120" s="18">
        <f>2*D120</f>
        <v>0.33666757562996574</v>
      </c>
    </row>
    <row r="121" spans="2:10" x14ac:dyDescent="0.25">
      <c r="B121" s="18">
        <v>9</v>
      </c>
      <c r="C121" s="18">
        <f t="shared" si="20"/>
        <v>0.9800000000000002</v>
      </c>
      <c r="D121" s="18">
        <f t="shared" si="19"/>
        <v>0.17836411324206586</v>
      </c>
      <c r="E121" s="18">
        <f t="shared" si="21"/>
        <v>0.17836411324206586</v>
      </c>
      <c r="F121" s="18">
        <f t="shared" si="22"/>
        <v>0.35672822648413172</v>
      </c>
      <c r="G121" s="18">
        <f>4*D121</f>
        <v>0.71345645296826343</v>
      </c>
    </row>
    <row r="122" spans="2:10" x14ac:dyDescent="0.25">
      <c r="B122" s="18">
        <v>10</v>
      </c>
      <c r="C122" s="18">
        <f t="shared" si="20"/>
        <v>1.0000000000000002</v>
      </c>
      <c r="D122" s="18">
        <f t="shared" si="19"/>
        <v>0.18821415779834524</v>
      </c>
      <c r="E122" s="18">
        <f t="shared" si="21"/>
        <v>0.18821415779834524</v>
      </c>
      <c r="F122" s="18">
        <f t="shared" si="22"/>
        <v>0.37642831559669049</v>
      </c>
      <c r="G122" s="18">
        <f>2*D122</f>
        <v>0.37642831559669049</v>
      </c>
    </row>
    <row r="123" spans="2:10" x14ac:dyDescent="0.25">
      <c r="B123" s="18">
        <v>11</v>
      </c>
      <c r="C123" s="18">
        <f t="shared" si="20"/>
        <v>1.0200000000000002</v>
      </c>
      <c r="D123" s="18">
        <f t="shared" si="19"/>
        <v>0.19785305691435617</v>
      </c>
      <c r="E123" s="18">
        <f t="shared" si="21"/>
        <v>0.19785305691435617</v>
      </c>
      <c r="F123" s="18">
        <f t="shared" si="22"/>
        <v>0.39570611382871235</v>
      </c>
      <c r="G123" s="18">
        <f>4*D123</f>
        <v>0.79141222765742469</v>
      </c>
    </row>
    <row r="124" spans="2:10" x14ac:dyDescent="0.25">
      <c r="B124" s="18">
        <v>12</v>
      </c>
      <c r="C124" s="18">
        <f t="shared" si="20"/>
        <v>1.0400000000000003</v>
      </c>
      <c r="D124" s="18">
        <f t="shared" si="19"/>
        <v>0.20724879440221988</v>
      </c>
      <c r="E124" s="18">
        <f t="shared" si="21"/>
        <v>0.20724879440221988</v>
      </c>
      <c r="F124" s="18">
        <f t="shared" si="22"/>
        <v>0.41449758880443976</v>
      </c>
      <c r="G124" s="18">
        <f>2*D124</f>
        <v>0.41449758880443976</v>
      </c>
    </row>
    <row r="125" spans="2:10" x14ac:dyDescent="0.25">
      <c r="B125" s="18">
        <v>13</v>
      </c>
      <c r="C125" s="18">
        <f t="shared" si="20"/>
        <v>1.0600000000000003</v>
      </c>
      <c r="D125" s="18">
        <f t="shared" si="19"/>
        <v>0.21636826599421025</v>
      </c>
      <c r="E125" s="18">
        <f t="shared" si="21"/>
        <v>0.21636826599421025</v>
      </c>
      <c r="F125" s="18">
        <f t="shared" si="22"/>
        <v>0.43273653198842049</v>
      </c>
      <c r="G125" s="18">
        <f>4*D125</f>
        <v>0.86547306397684098</v>
      </c>
    </row>
    <row r="126" spans="2:10" x14ac:dyDescent="0.25">
      <c r="B126" s="18">
        <v>14</v>
      </c>
      <c r="C126" s="18">
        <f t="shared" si="20"/>
        <v>1.0800000000000003</v>
      </c>
      <c r="D126" s="18">
        <f t="shared" si="19"/>
        <v>0.22517735547004966</v>
      </c>
      <c r="E126" s="18">
        <f t="shared" si="21"/>
        <v>0.22517735547004966</v>
      </c>
      <c r="F126" s="18">
        <f t="shared" si="22"/>
        <v>0.45035471094009932</v>
      </c>
      <c r="G126" s="18">
        <f>2*D126</f>
        <v>0.45035471094009932</v>
      </c>
    </row>
    <row r="127" spans="2:10" x14ac:dyDescent="0.25">
      <c r="B127" s="18">
        <v>15</v>
      </c>
      <c r="C127" s="18">
        <f t="shared" si="20"/>
        <v>1.1000000000000003</v>
      </c>
      <c r="D127" s="18">
        <f t="shared" si="19"/>
        <v>0.23364102399036862</v>
      </c>
      <c r="E127" s="18">
        <f t="shared" si="21"/>
        <v>0.23364102399036862</v>
      </c>
      <c r="F127" s="18">
        <f t="shared" si="22"/>
        <v>0.46728204798073725</v>
      </c>
      <c r="G127" s="18">
        <f>4*D127</f>
        <v>0.93456409596147449</v>
      </c>
    </row>
    <row r="128" spans="2:10" x14ac:dyDescent="0.25">
      <c r="B128" s="18">
        <v>16</v>
      </c>
      <c r="C128" s="18">
        <f t="shared" si="20"/>
        <v>1.1200000000000003</v>
      </c>
      <c r="D128" s="18">
        <f t="shared" si="19"/>
        <v>0.24172341321461743</v>
      </c>
      <c r="E128" s="18">
        <f t="shared" si="21"/>
        <v>0.24172341321461743</v>
      </c>
      <c r="F128" s="18">
        <f t="shared" si="22"/>
        <v>0.48344682642923487</v>
      </c>
      <c r="G128" s="18">
        <f>2*D128</f>
        <v>0.48344682642923487</v>
      </c>
    </row>
    <row r="129" spans="2:7" x14ac:dyDescent="0.25">
      <c r="B129" s="18">
        <v>17</v>
      </c>
      <c r="C129" s="18">
        <f t="shared" si="20"/>
        <v>1.1400000000000003</v>
      </c>
      <c r="D129" s="18">
        <f t="shared" si="19"/>
        <v>0.24938796273269234</v>
      </c>
      <c r="E129" s="18">
        <f t="shared" si="21"/>
        <v>0.24938796273269234</v>
      </c>
      <c r="F129" s="18">
        <f t="shared" si="22"/>
        <v>0.49877592546538468</v>
      </c>
      <c r="G129" s="18">
        <f>4*D129</f>
        <v>0.99755185093076937</v>
      </c>
    </row>
    <row r="130" spans="2:7" x14ac:dyDescent="0.25">
      <c r="B130" s="18">
        <v>18</v>
      </c>
      <c r="C130" s="18">
        <f t="shared" si="20"/>
        <v>1.1600000000000004</v>
      </c>
      <c r="D130" s="18">
        <f t="shared" si="19"/>
        <v>0.2565975422799654</v>
      </c>
      <c r="E130" s="18">
        <f t="shared" si="21"/>
        <v>0.2565975422799654</v>
      </c>
      <c r="F130" s="18">
        <f t="shared" si="22"/>
        <v>0.51319508455993079</v>
      </c>
      <c r="G130" s="18">
        <f>2*D130</f>
        <v>0.51319508455993079</v>
      </c>
    </row>
    <row r="131" spans="2:7" x14ac:dyDescent="0.25">
      <c r="B131" s="18">
        <v>19</v>
      </c>
      <c r="C131" s="18">
        <f t="shared" si="20"/>
        <v>1.1800000000000004</v>
      </c>
      <c r="D131" s="18">
        <f t="shared" si="19"/>
        <v>0.26331459913461414</v>
      </c>
      <c r="E131" s="18">
        <f t="shared" si="21"/>
        <v>0.26331459913461414</v>
      </c>
      <c r="F131" s="18">
        <f t="shared" si="22"/>
        <v>0.52662919826922827</v>
      </c>
      <c r="G131" s="18">
        <f>4*D131</f>
        <v>1.0532583965384565</v>
      </c>
    </row>
    <row r="132" spans="2:7" x14ac:dyDescent="0.25">
      <c r="B132" s="19">
        <v>20</v>
      </c>
      <c r="C132" s="19">
        <f t="shared" si="20"/>
        <v>1.2000000000000004</v>
      </c>
      <c r="D132" s="19">
        <f t="shared" si="19"/>
        <v>0.2695013210135434</v>
      </c>
      <c r="E132" s="19">
        <f t="shared" si="21"/>
        <v>0.2695013210135434</v>
      </c>
      <c r="F132" s="19">
        <f>D132</f>
        <v>0.2695013210135434</v>
      </c>
      <c r="G132" s="19">
        <f>D132</f>
        <v>0.2695013210135434</v>
      </c>
    </row>
    <row r="135" spans="2:7" x14ac:dyDescent="0.25">
      <c r="B135" s="13" t="s">
        <v>11</v>
      </c>
      <c r="C135" s="14">
        <f>SUM(E112:E131)*J117</f>
        <v>7.198744204776121E-2</v>
      </c>
      <c r="D135" s="14">
        <f>SUM(F112:F132)*J117/2</f>
        <v>7.3833517306371166E-2</v>
      </c>
      <c r="E135" s="14">
        <f>SUM(G112:G132)*J117/3</f>
        <v>7.3841157480750028E-2</v>
      </c>
    </row>
    <row r="136" spans="2:7" x14ac:dyDescent="0.25">
      <c r="B136" s="13" t="s">
        <v>12</v>
      </c>
      <c r="C136" s="14">
        <f>SUM(E113:E132)*J117</f>
        <v>7.5679592564981121E-2</v>
      </c>
    </row>
    <row r="138" spans="2:7" x14ac:dyDescent="0.25">
      <c r="B138" s="13" t="s">
        <v>11</v>
      </c>
      <c r="C138" s="24">
        <f>sprl(J114,J115,J116,4)</f>
        <v>0</v>
      </c>
      <c r="D138" s="24">
        <f>str(J114,J115,J116,4)</f>
        <v>0</v>
      </c>
      <c r="E138" s="24">
        <f>ssimp(J114,J115,J116,4)</f>
        <v>0</v>
      </c>
    </row>
    <row r="139" spans="2:7" x14ac:dyDescent="0.25">
      <c r="B139" s="13" t="s">
        <v>12</v>
      </c>
      <c r="C139" s="24">
        <f>sprp(J114,J115,J116,4)</f>
        <v>0</v>
      </c>
    </row>
  </sheetData>
  <mergeCells count="4">
    <mergeCell ref="B6:G6"/>
    <mergeCell ref="B40:G40"/>
    <mergeCell ref="B74:G74"/>
    <mergeCell ref="B110:G110"/>
  </mergeCells>
  <pageMargins left="0.7" right="0.7" top="0.75" bottom="0.75" header="0.3" footer="0.3"/>
  <pageSetup paperSize="9" orientation="portrait" verticalDpi="0" r:id="rId1"/>
  <ignoredErrors>
    <ignoredError sqref="F42 G44 G52:G60 G10:G18 F18 G78:G94 G114:G130 G50 G48 G46 G45 G47 G49 G5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tabColor rgb="FFCCFFCC"/>
  </sheetPr>
  <dimension ref="A8:AD169"/>
  <sheetViews>
    <sheetView topLeftCell="A37" zoomScale="70" zoomScaleNormal="70" workbookViewId="0">
      <selection activeCell="S42" sqref="S42"/>
    </sheetView>
  </sheetViews>
  <sheetFormatPr defaultRowHeight="18.75" x14ac:dyDescent="0.3"/>
  <cols>
    <col min="1" max="1" width="9.140625" style="28"/>
    <col min="2" max="2" width="14.28515625" style="28" bestFit="1" customWidth="1"/>
    <col min="3" max="3" width="13.5703125" style="28" bestFit="1" customWidth="1"/>
    <col min="4" max="4" width="12.85546875" style="28" bestFit="1" customWidth="1"/>
    <col min="5" max="5" width="12.7109375" style="28" customWidth="1"/>
    <col min="6" max="6" width="13.140625" style="28" customWidth="1"/>
    <col min="7" max="7" width="13.5703125" style="28" bestFit="1" customWidth="1"/>
    <col min="8" max="8" width="12.85546875" style="28" bestFit="1" customWidth="1"/>
    <col min="9" max="9" width="12" style="28" bestFit="1" customWidth="1"/>
    <col min="10" max="10" width="11.140625" style="28" customWidth="1"/>
    <col min="11" max="11" width="11.42578125" style="28" customWidth="1"/>
    <col min="12" max="12" width="13.42578125" style="28" customWidth="1"/>
    <col min="13" max="13" width="11.42578125" style="28" bestFit="1" customWidth="1"/>
    <col min="14" max="14" width="12.85546875" style="28" customWidth="1"/>
    <col min="15" max="16" width="12.140625" style="28" bestFit="1" customWidth="1"/>
    <col min="17" max="17" width="14.140625" style="28" bestFit="1" customWidth="1"/>
    <col min="18" max="18" width="13" style="28" bestFit="1" customWidth="1"/>
    <col min="19" max="19" width="12.140625" style="28" bestFit="1" customWidth="1"/>
    <col min="20" max="20" width="13.7109375" style="28" bestFit="1" customWidth="1"/>
    <col min="21" max="21" width="12.7109375" style="28" bestFit="1" customWidth="1"/>
    <col min="22" max="22" width="12.7109375" style="53" bestFit="1" customWidth="1"/>
    <col min="23" max="23" width="12" style="53" bestFit="1" customWidth="1"/>
    <col min="24" max="24" width="11.5703125" style="53" bestFit="1" customWidth="1"/>
    <col min="25" max="25" width="12" style="53" bestFit="1" customWidth="1"/>
    <col min="26" max="28" width="11.42578125" style="53" bestFit="1" customWidth="1"/>
    <col min="29" max="30" width="11.140625" style="53" bestFit="1" customWidth="1"/>
    <col min="31" max="31" width="11.42578125" style="53" bestFit="1" customWidth="1"/>
    <col min="32" max="32" width="9.140625" style="53"/>
    <col min="33" max="33" width="10" style="53" bestFit="1" customWidth="1"/>
    <col min="34" max="16384" width="9.140625" style="53"/>
  </cols>
  <sheetData>
    <row r="8" spans="2:22" ht="21" x14ac:dyDescent="0.3">
      <c r="B8" s="31" t="s">
        <v>2</v>
      </c>
      <c r="C8" s="63" t="s">
        <v>3</v>
      </c>
      <c r="U8" s="64" t="s">
        <v>16</v>
      </c>
      <c r="V8" s="64" t="s">
        <v>17</v>
      </c>
    </row>
    <row r="9" spans="2:22" x14ac:dyDescent="0.3">
      <c r="B9" s="54">
        <v>-5</v>
      </c>
      <c r="C9" s="171">
        <f t="shared" ref="C9:C39" si="0">3^B9+2+B9</f>
        <v>-2.9958847736625516</v>
      </c>
      <c r="U9" s="62">
        <f t="shared" ref="U9:U39" si="1">-B9-2</f>
        <v>3</v>
      </c>
      <c r="V9" s="152">
        <f t="shared" ref="V9:V39" si="2">3^B9</f>
        <v>4.11522633744856E-3</v>
      </c>
    </row>
    <row r="10" spans="2:22" x14ac:dyDescent="0.3">
      <c r="B10" s="54">
        <v>-4.7</v>
      </c>
      <c r="C10" s="171">
        <f t="shared" si="0"/>
        <v>-2.694278233867013</v>
      </c>
      <c r="U10" s="54">
        <f t="shared" si="1"/>
        <v>2.7</v>
      </c>
      <c r="V10" s="56">
        <f t="shared" si="2"/>
        <v>5.721766132987278E-3</v>
      </c>
    </row>
    <row r="11" spans="2:22" x14ac:dyDescent="0.3">
      <c r="B11" s="54">
        <v>-4.4000000000000004</v>
      </c>
      <c r="C11" s="171">
        <f t="shared" si="0"/>
        <v>-2.3920445183336145</v>
      </c>
      <c r="U11" s="54">
        <f t="shared" si="1"/>
        <v>2.4000000000000004</v>
      </c>
      <c r="V11" s="56">
        <f t="shared" si="2"/>
        <v>7.9554816663858496E-3</v>
      </c>
    </row>
    <row r="12" spans="2:22" x14ac:dyDescent="0.3">
      <c r="B12" s="54">
        <v>-4.0999999999999996</v>
      </c>
      <c r="C12" s="171">
        <f t="shared" si="0"/>
        <v>-2.0889387844464098</v>
      </c>
      <c r="U12" s="54">
        <f t="shared" si="1"/>
        <v>2.0999999999999996</v>
      </c>
      <c r="V12" s="56">
        <f t="shared" si="2"/>
        <v>1.1061215553589659E-2</v>
      </c>
    </row>
    <row r="13" spans="2:22" x14ac:dyDescent="0.3">
      <c r="B13" s="54">
        <v>-3.8</v>
      </c>
      <c r="C13" s="171">
        <f t="shared" si="0"/>
        <v>-1.784620605683759</v>
      </c>
      <c r="U13" s="54">
        <f t="shared" si="1"/>
        <v>1.7999999999999998</v>
      </c>
      <c r="V13" s="56">
        <f t="shared" si="2"/>
        <v>1.5379394316240958E-2</v>
      </c>
    </row>
    <row r="14" spans="2:22" x14ac:dyDescent="0.3">
      <c r="B14" s="54">
        <v>-3.5</v>
      </c>
      <c r="C14" s="171">
        <f t="shared" si="0"/>
        <v>-1.4786166566966807</v>
      </c>
      <c r="U14" s="54">
        <f t="shared" si="1"/>
        <v>1.5</v>
      </c>
      <c r="V14" s="56">
        <f t="shared" si="2"/>
        <v>2.1383343303319469E-2</v>
      </c>
    </row>
    <row r="15" spans="2:22" x14ac:dyDescent="0.3">
      <c r="B15" s="54">
        <v>-3.2</v>
      </c>
      <c r="C15" s="171">
        <f t="shared" si="0"/>
        <v>-1.1702688310459175</v>
      </c>
      <c r="U15" s="54">
        <f t="shared" si="1"/>
        <v>1.2000000000000002</v>
      </c>
      <c r="V15" s="56">
        <f t="shared" si="2"/>
        <v>2.97311689540826E-2</v>
      </c>
    </row>
    <row r="16" spans="2:22" x14ac:dyDescent="0.3">
      <c r="B16" s="54">
        <v>-2.9</v>
      </c>
      <c r="C16" s="171">
        <f t="shared" si="0"/>
        <v>-0.85866210466541082</v>
      </c>
      <c r="U16" s="54">
        <f t="shared" si="1"/>
        <v>0.89999999999999991</v>
      </c>
      <c r="V16" s="56">
        <f t="shared" si="2"/>
        <v>4.1337895334589043E-2</v>
      </c>
    </row>
    <row r="17" spans="2:22" x14ac:dyDescent="0.3">
      <c r="B17" s="54">
        <v>-2.6</v>
      </c>
      <c r="C17" s="171">
        <f t="shared" si="0"/>
        <v>-0.54252423800313476</v>
      </c>
      <c r="U17" s="54">
        <f t="shared" si="1"/>
        <v>0.60000000000000009</v>
      </c>
      <c r="V17" s="56">
        <f t="shared" si="2"/>
        <v>5.7475761996865167E-2</v>
      </c>
    </row>
    <row r="18" spans="2:22" x14ac:dyDescent="0.3">
      <c r="B18" s="175">
        <v>-2.2999999999999998</v>
      </c>
      <c r="C18" s="176">
        <f t="shared" si="0"/>
        <v>-0.22008632296390385</v>
      </c>
      <c r="U18" s="54">
        <f t="shared" si="1"/>
        <v>0.29999999999999982</v>
      </c>
      <c r="V18" s="56">
        <f t="shared" si="2"/>
        <v>7.9913677036096017E-2</v>
      </c>
    </row>
    <row r="19" spans="2:22" x14ac:dyDescent="0.3">
      <c r="B19" s="175">
        <v>-2</v>
      </c>
      <c r="C19" s="176">
        <f t="shared" si="0"/>
        <v>0.11111111111111116</v>
      </c>
      <c r="U19" s="54">
        <f t="shared" si="1"/>
        <v>0</v>
      </c>
      <c r="V19" s="56">
        <f t="shared" si="2"/>
        <v>0.1111111111111111</v>
      </c>
    </row>
    <row r="20" spans="2:22" x14ac:dyDescent="0.3">
      <c r="B20" s="54">
        <v>-1.7</v>
      </c>
      <c r="C20" s="171">
        <f t="shared" si="0"/>
        <v>0.45448768559065678</v>
      </c>
      <c r="U20" s="54">
        <f t="shared" si="1"/>
        <v>-0.30000000000000004</v>
      </c>
      <c r="V20" s="56">
        <f t="shared" si="2"/>
        <v>0.15448768559065656</v>
      </c>
    </row>
    <row r="21" spans="2:22" x14ac:dyDescent="0.3">
      <c r="B21" s="54">
        <v>-1.4</v>
      </c>
      <c r="C21" s="171">
        <f t="shared" si="0"/>
        <v>0.81479800499241817</v>
      </c>
      <c r="U21" s="54">
        <f t="shared" si="1"/>
        <v>-0.60000000000000009</v>
      </c>
      <c r="V21" s="56">
        <f t="shared" si="2"/>
        <v>0.21479800499241811</v>
      </c>
    </row>
    <row r="22" spans="2:22" x14ac:dyDescent="0.3">
      <c r="B22" s="54">
        <v>-1.1000000000000001</v>
      </c>
      <c r="C22" s="171">
        <f t="shared" si="0"/>
        <v>1.1986528199469206</v>
      </c>
      <c r="U22" s="54">
        <f t="shared" si="1"/>
        <v>-0.89999999999999991</v>
      </c>
      <c r="V22" s="56">
        <f t="shared" si="2"/>
        <v>0.29865281994692067</v>
      </c>
    </row>
    <row r="23" spans="2:22" x14ac:dyDescent="0.3">
      <c r="B23" s="54">
        <v>-0.8</v>
      </c>
      <c r="C23" s="171">
        <f t="shared" si="0"/>
        <v>1.6152436465385056</v>
      </c>
      <c r="U23" s="54">
        <f t="shared" si="1"/>
        <v>-1.2</v>
      </c>
      <c r="V23" s="56">
        <f t="shared" si="2"/>
        <v>0.41524364653850571</v>
      </c>
    </row>
    <row r="24" spans="2:22" x14ac:dyDescent="0.3">
      <c r="B24" s="54">
        <v>-0.5</v>
      </c>
      <c r="C24" s="171">
        <f t="shared" si="0"/>
        <v>2.0773502691896257</v>
      </c>
      <c r="U24" s="54">
        <f t="shared" si="1"/>
        <v>-1.5</v>
      </c>
      <c r="V24" s="56">
        <f t="shared" si="2"/>
        <v>0.57735026918962584</v>
      </c>
    </row>
    <row r="25" spans="2:22" x14ac:dyDescent="0.3">
      <c r="B25" s="54">
        <v>-0.2</v>
      </c>
      <c r="C25" s="171">
        <f t="shared" si="0"/>
        <v>2.6027415617602303</v>
      </c>
      <c r="U25" s="54">
        <f t="shared" si="1"/>
        <v>-1.8</v>
      </c>
      <c r="V25" s="56">
        <f t="shared" si="2"/>
        <v>0.80274156176023059</v>
      </c>
    </row>
    <row r="26" spans="2:22" x14ac:dyDescent="0.3">
      <c r="B26" s="54">
        <v>9.9999999999999603E-2</v>
      </c>
      <c r="C26" s="171">
        <f t="shared" si="0"/>
        <v>3.2161231740339034</v>
      </c>
      <c r="U26" s="54">
        <f t="shared" si="1"/>
        <v>-2.0999999999999996</v>
      </c>
      <c r="V26" s="56">
        <f t="shared" si="2"/>
        <v>1.1161231740339039</v>
      </c>
    </row>
    <row r="27" spans="2:22" x14ac:dyDescent="0.3">
      <c r="B27" s="54">
        <v>0.4</v>
      </c>
      <c r="C27" s="171">
        <f t="shared" si="0"/>
        <v>3.9518455739153597</v>
      </c>
      <c r="U27" s="54">
        <f t="shared" si="1"/>
        <v>-2.4</v>
      </c>
      <c r="V27" s="56">
        <f t="shared" si="2"/>
        <v>1.5518455739153598</v>
      </c>
    </row>
    <row r="28" spans="2:22" x14ac:dyDescent="0.3">
      <c r="B28" s="54">
        <v>0.7</v>
      </c>
      <c r="C28" s="171">
        <f t="shared" si="0"/>
        <v>4.8576692799745933</v>
      </c>
      <c r="U28" s="54">
        <f t="shared" si="1"/>
        <v>-2.7</v>
      </c>
      <c r="V28" s="56">
        <f t="shared" si="2"/>
        <v>2.1576692799745931</v>
      </c>
    </row>
    <row r="29" spans="2:22" x14ac:dyDescent="0.3">
      <c r="B29" s="54">
        <v>1</v>
      </c>
      <c r="C29" s="171">
        <f t="shared" si="0"/>
        <v>6</v>
      </c>
      <c r="U29" s="54">
        <f t="shared" si="1"/>
        <v>-3</v>
      </c>
      <c r="V29" s="56">
        <f t="shared" si="2"/>
        <v>3</v>
      </c>
    </row>
    <row r="30" spans="2:22" x14ac:dyDescent="0.3">
      <c r="B30" s="54">
        <v>1.3</v>
      </c>
      <c r="C30" s="171">
        <f t="shared" si="0"/>
        <v>7.471167510947728</v>
      </c>
      <c r="U30" s="54">
        <f t="shared" si="1"/>
        <v>-3.3</v>
      </c>
      <c r="V30" s="56">
        <f t="shared" si="2"/>
        <v>4.1711675109477282</v>
      </c>
    </row>
    <row r="31" spans="2:22" x14ac:dyDescent="0.3">
      <c r="B31" s="54">
        <v>1.6</v>
      </c>
      <c r="C31" s="171">
        <f t="shared" si="0"/>
        <v>9.3995461347952904</v>
      </c>
      <c r="U31" s="54">
        <f t="shared" si="1"/>
        <v>-3.6</v>
      </c>
      <c r="V31" s="56">
        <f t="shared" si="2"/>
        <v>5.7995461347952899</v>
      </c>
    </row>
    <row r="32" spans="2:22" x14ac:dyDescent="0.3">
      <c r="B32" s="54">
        <v>1.9</v>
      </c>
      <c r="C32" s="171">
        <f t="shared" si="0"/>
        <v>11.963626138566859</v>
      </c>
      <c r="U32" s="54">
        <f t="shared" si="1"/>
        <v>-3.9</v>
      </c>
      <c r="V32" s="56">
        <f t="shared" si="2"/>
        <v>8.0636261385668586</v>
      </c>
    </row>
    <row r="33" spans="2:22" x14ac:dyDescent="0.3">
      <c r="B33" s="54">
        <v>2.2000000000000002</v>
      </c>
      <c r="C33" s="171">
        <f t="shared" si="0"/>
        <v>15.411578456539658</v>
      </c>
      <c r="U33" s="54">
        <f t="shared" si="1"/>
        <v>-4.2</v>
      </c>
      <c r="V33" s="56">
        <f t="shared" si="2"/>
        <v>11.211578456539659</v>
      </c>
    </row>
    <row r="34" spans="2:22" x14ac:dyDescent="0.3">
      <c r="B34" s="54">
        <v>2.5</v>
      </c>
      <c r="C34" s="171">
        <f t="shared" si="0"/>
        <v>20.088457268119903</v>
      </c>
      <c r="U34" s="54">
        <f t="shared" si="1"/>
        <v>-4.5</v>
      </c>
      <c r="V34" s="56">
        <f t="shared" si="2"/>
        <v>15.588457268119901</v>
      </c>
    </row>
    <row r="35" spans="2:22" x14ac:dyDescent="0.3">
      <c r="B35" s="54">
        <v>2.8</v>
      </c>
      <c r="C35" s="171">
        <f t="shared" si="0"/>
        <v>26.474022167526226</v>
      </c>
      <c r="U35" s="54">
        <f t="shared" si="1"/>
        <v>-4.8</v>
      </c>
      <c r="V35" s="56">
        <f t="shared" si="2"/>
        <v>21.674022167526225</v>
      </c>
    </row>
    <row r="36" spans="2:22" x14ac:dyDescent="0.3">
      <c r="B36" s="54">
        <v>3.0999999999999899</v>
      </c>
      <c r="C36" s="171">
        <f t="shared" si="0"/>
        <v>35.235325698915084</v>
      </c>
      <c r="U36" s="54">
        <f t="shared" si="1"/>
        <v>-5.0999999999999899</v>
      </c>
      <c r="V36" s="56">
        <f t="shared" si="2"/>
        <v>30.135325698915096</v>
      </c>
    </row>
    <row r="37" spans="2:22" x14ac:dyDescent="0.3">
      <c r="B37" s="54">
        <v>3.4</v>
      </c>
      <c r="C37" s="171">
        <f t="shared" si="0"/>
        <v>47.299830495714723</v>
      </c>
      <c r="U37" s="54">
        <f t="shared" si="1"/>
        <v>-5.4</v>
      </c>
      <c r="V37" s="56">
        <f t="shared" si="2"/>
        <v>41.899830495714724</v>
      </c>
    </row>
    <row r="38" spans="2:22" x14ac:dyDescent="0.3">
      <c r="B38" s="54">
        <v>3.7</v>
      </c>
      <c r="C38" s="171">
        <f t="shared" si="0"/>
        <v>63.95707055931404</v>
      </c>
      <c r="U38" s="54">
        <f t="shared" si="1"/>
        <v>-5.7</v>
      </c>
      <c r="V38" s="56">
        <f t="shared" si="2"/>
        <v>58.257070559314037</v>
      </c>
    </row>
    <row r="39" spans="2:22" x14ac:dyDescent="0.3">
      <c r="B39" s="59">
        <v>3.9999999999999898</v>
      </c>
      <c r="C39" s="172">
        <f t="shared" si="0"/>
        <v>86.999999999999076</v>
      </c>
      <c r="U39" s="59">
        <f t="shared" si="1"/>
        <v>-5.9999999999999893</v>
      </c>
      <c r="V39" s="60">
        <f t="shared" si="2"/>
        <v>80.999999999999091</v>
      </c>
    </row>
    <row r="41" spans="2:22" x14ac:dyDescent="0.3">
      <c r="B41" s="31" t="s">
        <v>18</v>
      </c>
      <c r="C41" s="51">
        <v>1E-3</v>
      </c>
    </row>
    <row r="43" spans="2:22" x14ac:dyDescent="0.3">
      <c r="B43" s="217" t="s">
        <v>36</v>
      </c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9"/>
      <c r="Q43" s="31" t="s">
        <v>41</v>
      </c>
      <c r="R43" s="52">
        <f>dihotomia(-2.3,-2,0.001,1)</f>
        <v>-2.0990234375000001</v>
      </c>
    </row>
    <row r="44" spans="2:22" ht="20.25" x14ac:dyDescent="0.3">
      <c r="B44" s="65" t="s">
        <v>1</v>
      </c>
      <c r="C44" s="31" t="s">
        <v>39</v>
      </c>
      <c r="D44" s="31" t="s">
        <v>23</v>
      </c>
      <c r="E44" s="31" t="s">
        <v>24</v>
      </c>
      <c r="F44" s="31" t="s">
        <v>37</v>
      </c>
      <c r="G44" s="31" t="s">
        <v>32</v>
      </c>
      <c r="H44" s="33" t="s">
        <v>26</v>
      </c>
      <c r="I44" s="33" t="s">
        <v>38</v>
      </c>
      <c r="J44" s="49" t="s">
        <v>27</v>
      </c>
      <c r="K44" s="33" t="s">
        <v>40</v>
      </c>
      <c r="L44" s="52" t="s">
        <v>29</v>
      </c>
      <c r="M44" s="66" t="s">
        <v>30</v>
      </c>
      <c r="N44" s="66" t="s">
        <v>31</v>
      </c>
      <c r="Q44" s="31" t="s">
        <v>42</v>
      </c>
      <c r="R44" s="52">
        <f>hord(-2.3,-2,0.001,1)</f>
        <v>-2.099595329070215</v>
      </c>
    </row>
    <row r="45" spans="2:22" x14ac:dyDescent="0.3">
      <c r="B45" s="67">
        <v>1</v>
      </c>
      <c r="C45" s="158">
        <v>-2.2999999999999998</v>
      </c>
      <c r="D45" s="159">
        <v>-2.2999999999999998</v>
      </c>
      <c r="E45" s="159">
        <v>-2</v>
      </c>
      <c r="F45" s="158">
        <f>D45-H45/I45</f>
        <v>-2.0976764965646106</v>
      </c>
      <c r="G45" s="158">
        <f>E45-J45*(C45-E45)/(K45-J45)</f>
        <v>-2.100644902115345</v>
      </c>
      <c r="H45" s="159">
        <f>uu(D45,1)</f>
        <v>-0.22008632296390376</v>
      </c>
      <c r="I45" s="158">
        <f>proizuu(D45,1)</f>
        <v>1.0877941476245097</v>
      </c>
      <c r="J45" s="159">
        <f>uu(E45,1)</f>
        <v>0.1111111111111111</v>
      </c>
      <c r="K45" s="160">
        <f>uu(C45,1)</f>
        <v>-0.22008632296390376</v>
      </c>
      <c r="L45" s="159">
        <f>ABS(F45-G45)</f>
        <v>2.9684055507344098E-3</v>
      </c>
      <c r="M45" s="62" t="str">
        <f>IF(L45&lt;$C$41,"ИСТИНА","ЛОЖЬ")</f>
        <v>ЛОЖЬ</v>
      </c>
      <c r="N45" s="68" t="str">
        <f>IF(M45="ЛОЖЬ","----------",(F45+G45)/2)</f>
        <v>----------</v>
      </c>
      <c r="Q45" s="31" t="s">
        <v>43</v>
      </c>
      <c r="R45" s="52">
        <f>kas(-2.3, 2,0.001,1)</f>
        <v>-2.0995952197836054</v>
      </c>
    </row>
    <row r="46" spans="2:22" ht="37.5" x14ac:dyDescent="0.3">
      <c r="B46" s="72">
        <v>2</v>
      </c>
      <c r="C46" s="161">
        <v>-2.2999999999999998</v>
      </c>
      <c r="D46" s="162">
        <f>F45</f>
        <v>-2.0976764965646106</v>
      </c>
      <c r="E46" s="162">
        <f>G45</f>
        <v>-2.100644902115345</v>
      </c>
      <c r="F46" s="162">
        <f>D46-H46/I46</f>
        <v>-2.0995950200977638</v>
      </c>
      <c r="G46" s="161">
        <f>E46-J46*(C46-E46)/(K46-J46)</f>
        <v>-2.0995845110487772</v>
      </c>
      <c r="H46" s="161">
        <f>uu(D46,1)</f>
        <v>2.1288846855428284E-3</v>
      </c>
      <c r="I46" s="162">
        <f>proizuu(D46,1)</f>
        <v>1.1096474183166243</v>
      </c>
      <c r="J46" s="161">
        <f>uu(E46,1)</f>
        <v>-1.1644687342579757E-3</v>
      </c>
      <c r="K46" s="163">
        <f>uu(C46,1)</f>
        <v>-0.22008632296390376</v>
      </c>
      <c r="L46" s="161">
        <f>ABS(F46-G46)</f>
        <v>1.0509048986584446E-5</v>
      </c>
      <c r="M46" s="72" t="str">
        <f>IF(L46&lt;$C$41,"ИСТИНА","ЛОЖЬ")</f>
        <v>ИСТИНА</v>
      </c>
      <c r="N46" s="73">
        <f>IF(M46="ЛОЖЬ","----------",(F46+G46)/2)</f>
        <v>-2.0995897655732705</v>
      </c>
      <c r="Q46" s="75" t="s">
        <v>44</v>
      </c>
      <c r="R46" s="52">
        <f>comb(-2.3,-2,0.001,1)</f>
        <v>-2.099593598385515</v>
      </c>
    </row>
    <row r="48" spans="2:22" x14ac:dyDescent="0.3">
      <c r="B48" s="217" t="s">
        <v>20</v>
      </c>
      <c r="C48" s="218"/>
      <c r="D48" s="218"/>
      <c r="E48" s="218"/>
      <c r="F48" s="218"/>
      <c r="G48" s="218"/>
      <c r="H48" s="218"/>
      <c r="I48" s="218"/>
      <c r="J48" s="218"/>
      <c r="K48" s="219"/>
    </row>
    <row r="49" spans="2:21" ht="20.25" x14ac:dyDescent="0.3">
      <c r="B49" s="65" t="s">
        <v>1</v>
      </c>
      <c r="C49" s="31" t="s">
        <v>23</v>
      </c>
      <c r="D49" s="31" t="s">
        <v>24</v>
      </c>
      <c r="E49" s="31" t="s">
        <v>25</v>
      </c>
      <c r="F49" s="33" t="s">
        <v>26</v>
      </c>
      <c r="G49" s="33" t="s">
        <v>27</v>
      </c>
      <c r="H49" s="33" t="s">
        <v>28</v>
      </c>
      <c r="I49" s="52" t="s">
        <v>29</v>
      </c>
      <c r="J49" s="66" t="s">
        <v>30</v>
      </c>
      <c r="K49" s="66" t="s">
        <v>31</v>
      </c>
    </row>
    <row r="50" spans="2:21" x14ac:dyDescent="0.3">
      <c r="B50" s="67">
        <v>1</v>
      </c>
      <c r="C50" s="151">
        <v>-2.2999999999999998</v>
      </c>
      <c r="D50" s="151">
        <v>-2</v>
      </c>
      <c r="E50" s="151">
        <f t="shared" ref="E50:E59" si="3">(C50+D50)/2</f>
        <v>-2.15</v>
      </c>
      <c r="F50" s="151">
        <f t="shared" ref="F50:F59" si="4">3^C50+2+C50</f>
        <v>-0.22008632296390385</v>
      </c>
      <c r="G50" s="151">
        <f t="shared" ref="G50:G59" si="5">3^D50+2+D50</f>
        <v>0.11111111111111116</v>
      </c>
      <c r="H50" s="151">
        <f t="shared" ref="H50:H59" si="6">3^E50+2+E50</f>
        <v>-5.5769975865146204E-2</v>
      </c>
      <c r="I50" s="151">
        <f t="shared" ref="I50:I59" si="7">ABS(D50-C50)</f>
        <v>0.29999999999999982</v>
      </c>
      <c r="J50" s="67" t="b">
        <f t="shared" ref="J50:J59" si="8">IF(I50&gt;$C$41,FALSE,TRUE)</f>
        <v>0</v>
      </c>
      <c r="K50" s="68" t="str">
        <f t="shared" ref="K50:K59" si="9">IF(J50=FALSE,"----------",E50)</f>
        <v>----------</v>
      </c>
    </row>
    <row r="51" spans="2:21" x14ac:dyDescent="0.3">
      <c r="B51" s="69">
        <v>2</v>
      </c>
      <c r="C51" s="154">
        <f t="shared" ref="C51:C59" si="10">IF(G50*H50&lt;0,E50,C50)</f>
        <v>-2.15</v>
      </c>
      <c r="D51" s="154">
        <f t="shared" ref="D51:D59" si="11">IF(F50*H50&lt;0,E50,D50)</f>
        <v>-2</v>
      </c>
      <c r="E51" s="154">
        <f t="shared" si="3"/>
        <v>-2.0750000000000002</v>
      </c>
      <c r="F51" s="154">
        <f t="shared" si="4"/>
        <v>-5.5769975865146204E-2</v>
      </c>
      <c r="G51" s="154">
        <f t="shared" si="5"/>
        <v>0.11111111111111116</v>
      </c>
      <c r="H51" s="154">
        <f t="shared" si="6"/>
        <v>2.7323031042138179E-2</v>
      </c>
      <c r="I51" s="154">
        <f t="shared" si="7"/>
        <v>0.14999999999999991</v>
      </c>
      <c r="J51" s="69" t="b">
        <f t="shared" si="8"/>
        <v>0</v>
      </c>
      <c r="K51" s="71" t="str">
        <f t="shared" si="9"/>
        <v>----------</v>
      </c>
    </row>
    <row r="52" spans="2:21" x14ac:dyDescent="0.3">
      <c r="B52" s="69">
        <v>3</v>
      </c>
      <c r="C52" s="154">
        <f t="shared" si="10"/>
        <v>-2.15</v>
      </c>
      <c r="D52" s="154">
        <f t="shared" si="11"/>
        <v>-2.0750000000000002</v>
      </c>
      <c r="E52" s="154">
        <f t="shared" si="3"/>
        <v>-2.1124999999999998</v>
      </c>
      <c r="F52" s="154">
        <f t="shared" si="4"/>
        <v>-5.5769975865146204E-2</v>
      </c>
      <c r="G52" s="154">
        <f t="shared" si="5"/>
        <v>2.7323031042138179E-2</v>
      </c>
      <c r="H52" s="154">
        <f t="shared" si="6"/>
        <v>-1.4306814469373208E-2</v>
      </c>
      <c r="I52" s="154">
        <f t="shared" si="7"/>
        <v>7.4999999999999734E-2</v>
      </c>
      <c r="J52" s="69" t="b">
        <f t="shared" si="8"/>
        <v>0</v>
      </c>
      <c r="K52" s="71" t="str">
        <f t="shared" si="9"/>
        <v>----------</v>
      </c>
      <c r="M52" s="53"/>
      <c r="N52" s="53"/>
      <c r="O52" s="53"/>
      <c r="P52" s="53"/>
      <c r="Q52" s="53"/>
      <c r="R52" s="53"/>
      <c r="S52" s="53"/>
      <c r="T52" s="53"/>
      <c r="U52" s="53"/>
    </row>
    <row r="53" spans="2:21" x14ac:dyDescent="0.3">
      <c r="B53" s="69">
        <v>4</v>
      </c>
      <c r="C53" s="154">
        <f t="shared" si="10"/>
        <v>-2.1124999999999998</v>
      </c>
      <c r="D53" s="154">
        <f t="shared" si="11"/>
        <v>-2.0750000000000002</v>
      </c>
      <c r="E53" s="154">
        <f t="shared" si="3"/>
        <v>-2.09375</v>
      </c>
      <c r="F53" s="154">
        <f t="shared" si="4"/>
        <v>-1.4306814469373208E-2</v>
      </c>
      <c r="G53" s="154">
        <f t="shared" si="5"/>
        <v>2.7323031042138179E-2</v>
      </c>
      <c r="H53" s="154">
        <f t="shared" si="6"/>
        <v>6.4868413866716601E-3</v>
      </c>
      <c r="I53" s="154">
        <f t="shared" si="7"/>
        <v>3.7499999999999645E-2</v>
      </c>
      <c r="J53" s="69" t="b">
        <f t="shared" si="8"/>
        <v>0</v>
      </c>
      <c r="K53" s="71" t="str">
        <f t="shared" si="9"/>
        <v>----------</v>
      </c>
      <c r="M53" s="53"/>
      <c r="N53" s="53"/>
      <c r="O53" s="53"/>
      <c r="P53" s="53"/>
      <c r="Q53" s="53"/>
      <c r="R53" s="53"/>
      <c r="S53" s="53"/>
      <c r="T53" s="53"/>
      <c r="U53" s="53"/>
    </row>
    <row r="54" spans="2:21" x14ac:dyDescent="0.3">
      <c r="B54" s="69">
        <v>5</v>
      </c>
      <c r="C54" s="154">
        <f t="shared" si="10"/>
        <v>-2.1124999999999998</v>
      </c>
      <c r="D54" s="154">
        <f t="shared" si="11"/>
        <v>-2.09375</v>
      </c>
      <c r="E54" s="154">
        <f t="shared" si="3"/>
        <v>-2.1031249999999999</v>
      </c>
      <c r="F54" s="154">
        <f t="shared" si="4"/>
        <v>-1.4306814469373208E-2</v>
      </c>
      <c r="G54" s="154">
        <f t="shared" si="5"/>
        <v>6.4868413866716601E-3</v>
      </c>
      <c r="H54" s="154">
        <f t="shared" si="6"/>
        <v>-3.915248648202585E-3</v>
      </c>
      <c r="I54" s="154">
        <f t="shared" si="7"/>
        <v>1.8749999999999822E-2</v>
      </c>
      <c r="J54" s="69" t="b">
        <f t="shared" si="8"/>
        <v>0</v>
      </c>
      <c r="K54" s="71" t="str">
        <f t="shared" si="9"/>
        <v>----------</v>
      </c>
      <c r="M54" s="53"/>
      <c r="N54" s="53"/>
      <c r="O54" s="53"/>
      <c r="P54" s="53"/>
      <c r="Q54" s="53"/>
      <c r="R54" s="53"/>
      <c r="S54" s="53"/>
      <c r="T54" s="53"/>
      <c r="U54" s="53"/>
    </row>
    <row r="55" spans="2:21" x14ac:dyDescent="0.3">
      <c r="B55" s="69">
        <v>6</v>
      </c>
      <c r="C55" s="154">
        <f t="shared" si="10"/>
        <v>-2.1031249999999999</v>
      </c>
      <c r="D55" s="154">
        <f t="shared" si="11"/>
        <v>-2.09375</v>
      </c>
      <c r="E55" s="154">
        <f t="shared" si="3"/>
        <v>-2.0984375000000002</v>
      </c>
      <c r="F55" s="154">
        <f t="shared" si="4"/>
        <v>-3.915248648202585E-3</v>
      </c>
      <c r="G55" s="154">
        <f t="shared" si="5"/>
        <v>6.4868413866716601E-3</v>
      </c>
      <c r="H55" s="154">
        <f t="shared" si="6"/>
        <v>1.2844740591870796E-3</v>
      </c>
      <c r="I55" s="154">
        <f t="shared" si="7"/>
        <v>9.3749999999999112E-3</v>
      </c>
      <c r="J55" s="69" t="b">
        <f t="shared" si="8"/>
        <v>0</v>
      </c>
      <c r="K55" s="71" t="str">
        <f t="shared" si="9"/>
        <v>----------</v>
      </c>
      <c r="M55" s="53"/>
      <c r="N55" s="53"/>
      <c r="O55" s="53"/>
      <c r="P55" s="53"/>
      <c r="Q55" s="53"/>
      <c r="R55" s="53"/>
      <c r="S55" s="53"/>
      <c r="T55" s="53"/>
      <c r="U55" s="53"/>
    </row>
    <row r="56" spans="2:21" x14ac:dyDescent="0.3">
      <c r="B56" s="69">
        <v>7</v>
      </c>
      <c r="C56" s="154">
        <f t="shared" si="10"/>
        <v>-2.1031249999999999</v>
      </c>
      <c r="D56" s="154">
        <f t="shared" si="11"/>
        <v>-2.0984375000000002</v>
      </c>
      <c r="E56" s="154">
        <f t="shared" si="3"/>
        <v>-2.1007812499999998</v>
      </c>
      <c r="F56" s="154">
        <f t="shared" si="4"/>
        <v>-3.915248648202585E-3</v>
      </c>
      <c r="G56" s="154">
        <f t="shared" si="5"/>
        <v>1.2844740591870796E-3</v>
      </c>
      <c r="H56" s="154">
        <f t="shared" si="6"/>
        <v>-1.3157170213724534E-3</v>
      </c>
      <c r="I56" s="154">
        <f t="shared" si="7"/>
        <v>4.6874999999997335E-3</v>
      </c>
      <c r="J56" s="69" t="b">
        <f t="shared" si="8"/>
        <v>0</v>
      </c>
      <c r="K56" s="71" t="str">
        <f t="shared" si="9"/>
        <v>----------</v>
      </c>
      <c r="M56" s="53"/>
      <c r="N56" s="53"/>
      <c r="O56" s="53"/>
      <c r="P56" s="53"/>
      <c r="Q56" s="53"/>
      <c r="R56" s="53"/>
      <c r="S56" s="53"/>
      <c r="T56" s="53"/>
      <c r="U56" s="53"/>
    </row>
    <row r="57" spans="2:21" x14ac:dyDescent="0.3">
      <c r="B57" s="69">
        <v>8</v>
      </c>
      <c r="C57" s="154">
        <f t="shared" si="10"/>
        <v>-2.1007812499999998</v>
      </c>
      <c r="D57" s="154">
        <f t="shared" si="11"/>
        <v>-2.0984375000000002</v>
      </c>
      <c r="E57" s="154">
        <f t="shared" si="3"/>
        <v>-2.099609375</v>
      </c>
      <c r="F57" s="154">
        <f t="shared" si="4"/>
        <v>-1.3157170213724534E-3</v>
      </c>
      <c r="G57" s="154">
        <f t="shared" si="5"/>
        <v>1.2844740591870796E-3</v>
      </c>
      <c r="H57" s="154">
        <f t="shared" si="6"/>
        <v>-1.5704018968776268E-5</v>
      </c>
      <c r="I57" s="154">
        <f t="shared" si="7"/>
        <v>2.3437499999996447E-3</v>
      </c>
      <c r="J57" s="69" t="b">
        <f t="shared" si="8"/>
        <v>0</v>
      </c>
      <c r="K57" s="71" t="str">
        <f t="shared" si="9"/>
        <v>----------</v>
      </c>
      <c r="M57" s="53"/>
      <c r="N57" s="53"/>
      <c r="O57" s="53"/>
      <c r="P57" s="53"/>
      <c r="Q57" s="53"/>
      <c r="R57" s="53"/>
      <c r="S57" s="53"/>
      <c r="T57" s="53"/>
      <c r="U57" s="53"/>
    </row>
    <row r="58" spans="2:21" x14ac:dyDescent="0.3">
      <c r="B58" s="69">
        <v>9</v>
      </c>
      <c r="C58" s="154">
        <f t="shared" si="10"/>
        <v>-2.099609375</v>
      </c>
      <c r="D58" s="154">
        <f t="shared" si="11"/>
        <v>-2.0984375000000002</v>
      </c>
      <c r="E58" s="154">
        <f t="shared" si="3"/>
        <v>-2.0990234375000001</v>
      </c>
      <c r="F58" s="154">
        <f t="shared" si="4"/>
        <v>-1.5704018968776268E-5</v>
      </c>
      <c r="G58" s="154">
        <f t="shared" si="5"/>
        <v>1.2844740591870796E-3</v>
      </c>
      <c r="H58" s="154">
        <f t="shared" si="6"/>
        <v>6.343643723552006E-4</v>
      </c>
      <c r="I58" s="154">
        <f t="shared" si="7"/>
        <v>1.1718749999998224E-3</v>
      </c>
      <c r="J58" s="69" t="b">
        <f t="shared" si="8"/>
        <v>0</v>
      </c>
      <c r="K58" s="71" t="str">
        <f t="shared" si="9"/>
        <v>----------</v>
      </c>
      <c r="M58" s="53"/>
      <c r="N58" s="53"/>
      <c r="O58" s="53"/>
      <c r="P58" s="53"/>
      <c r="Q58" s="53"/>
      <c r="R58" s="53"/>
      <c r="S58" s="53"/>
      <c r="T58" s="53"/>
      <c r="U58" s="53"/>
    </row>
    <row r="59" spans="2:21" x14ac:dyDescent="0.3">
      <c r="B59" s="72">
        <v>10</v>
      </c>
      <c r="C59" s="156">
        <f t="shared" si="10"/>
        <v>-2.099609375</v>
      </c>
      <c r="D59" s="156">
        <f t="shared" si="11"/>
        <v>-2.0990234375000001</v>
      </c>
      <c r="E59" s="156">
        <f t="shared" si="3"/>
        <v>-2.0993164062499998</v>
      </c>
      <c r="F59" s="156">
        <f t="shared" si="4"/>
        <v>-1.5704018968776268E-5</v>
      </c>
      <c r="G59" s="156">
        <f t="shared" si="5"/>
        <v>6.343643723552006E-4</v>
      </c>
      <c r="H59" s="156">
        <f t="shared" si="6"/>
        <v>3.0932501641611765E-4</v>
      </c>
      <c r="I59" s="156">
        <f t="shared" si="7"/>
        <v>5.8593749999991118E-4</v>
      </c>
      <c r="J59" s="72" t="b">
        <f t="shared" si="8"/>
        <v>1</v>
      </c>
      <c r="K59" s="73">
        <f t="shared" si="9"/>
        <v>-2.0993164062499998</v>
      </c>
    </row>
    <row r="61" spans="2:21" x14ac:dyDescent="0.3">
      <c r="B61" s="217" t="s">
        <v>21</v>
      </c>
      <c r="C61" s="218"/>
      <c r="D61" s="218"/>
      <c r="E61" s="218"/>
      <c r="F61" s="218"/>
      <c r="G61" s="218"/>
      <c r="H61" s="218"/>
      <c r="I61" s="218"/>
      <c r="J61" s="219"/>
    </row>
    <row r="62" spans="2:21" ht="20.25" x14ac:dyDescent="0.3">
      <c r="B62" s="65" t="s">
        <v>1</v>
      </c>
      <c r="C62" s="31" t="s">
        <v>23</v>
      </c>
      <c r="D62" s="31" t="s">
        <v>24</v>
      </c>
      <c r="E62" s="31" t="s">
        <v>32</v>
      </c>
      <c r="F62" s="33" t="s">
        <v>26</v>
      </c>
      <c r="G62" s="33" t="s">
        <v>27</v>
      </c>
      <c r="H62" s="52" t="s">
        <v>29</v>
      </c>
      <c r="I62" s="66" t="s">
        <v>30</v>
      </c>
      <c r="J62" s="66" t="s">
        <v>31</v>
      </c>
    </row>
    <row r="63" spans="2:21" x14ac:dyDescent="0.3">
      <c r="B63" s="67">
        <v>1</v>
      </c>
      <c r="C63" s="152">
        <v>-2.2999999999999998</v>
      </c>
      <c r="D63" s="151">
        <v>-2</v>
      </c>
      <c r="E63" s="151">
        <f>D63-G63*(C63-D63)/(F63-G63)</f>
        <v>-2.100644902115345</v>
      </c>
      <c r="F63" s="152">
        <f t="shared" ref="F63:G65" si="12">uu(C63,1)</f>
        <v>-0.22008632296390376</v>
      </c>
      <c r="G63" s="152">
        <f t="shared" si="12"/>
        <v>0.1111111111111111</v>
      </c>
      <c r="H63" s="151">
        <f>ABS(E63-D63)</f>
        <v>0.10064490211534505</v>
      </c>
      <c r="I63" s="152" t="str">
        <f>IF(H63&lt;$C$41,"ИСТИНА","ЛОЖЬ")</f>
        <v>ЛОЖЬ</v>
      </c>
      <c r="J63" s="152" t="str">
        <f>IF(I63="ЛОЖЬ","----------",E63)</f>
        <v>----------</v>
      </c>
    </row>
    <row r="64" spans="2:21" x14ac:dyDescent="0.3">
      <c r="B64" s="69">
        <v>2</v>
      </c>
      <c r="C64" s="56">
        <v>-2.2999999999999998</v>
      </c>
      <c r="D64" s="154">
        <f>E63</f>
        <v>-2.100644902115345</v>
      </c>
      <c r="E64" s="56">
        <f>D64-G64*(C64-D64)/(F64-G64)</f>
        <v>-2.0995845110487772</v>
      </c>
      <c r="F64" s="154">
        <f t="shared" si="12"/>
        <v>-0.22008632296390376</v>
      </c>
      <c r="G64" s="154">
        <f t="shared" si="12"/>
        <v>-1.1644687342579757E-3</v>
      </c>
      <c r="H64" s="56">
        <f>ABS(E64-D64)</f>
        <v>1.0603910665678562E-3</v>
      </c>
      <c r="I64" s="56" t="str">
        <f>IF(H64&lt;$C$41,"ИСТИНА","ЛОЖЬ")</f>
        <v>ЛОЖЬ</v>
      </c>
      <c r="J64" s="56" t="str">
        <f>IF(I64="ЛОЖЬ","----------",E64)</f>
        <v>----------</v>
      </c>
      <c r="K64" s="53"/>
    </row>
    <row r="65" spans="2:21" x14ac:dyDescent="0.3">
      <c r="B65" s="72">
        <v>3</v>
      </c>
      <c r="C65" s="60">
        <v>-2.2999999999999998</v>
      </c>
      <c r="D65" s="156">
        <f>E64</f>
        <v>-2.0995845110487772</v>
      </c>
      <c r="E65" s="60">
        <f>D65-G65*(C65-D65)/(F65-G65)</f>
        <v>-2.099595329070215</v>
      </c>
      <c r="F65" s="156">
        <f t="shared" si="12"/>
        <v>-0.22008632296390376</v>
      </c>
      <c r="G65" s="156">
        <f t="shared" si="12"/>
        <v>1.1880454426974052E-5</v>
      </c>
      <c r="H65" s="60">
        <f>ABS(E65-D65)</f>
        <v>1.0818021437764003E-5</v>
      </c>
      <c r="I65" s="60" t="str">
        <f>IF(H65&lt;$C$41,"ИСТИНА","ЛОЖЬ")</f>
        <v>ИСТИНА</v>
      </c>
      <c r="J65" s="60">
        <f>IF(I65="ЛОЖЬ","----------",E65)</f>
        <v>-2.099595329070215</v>
      </c>
    </row>
    <row r="67" spans="2:21" x14ac:dyDescent="0.3">
      <c r="B67" s="53" t="s">
        <v>19</v>
      </c>
      <c r="C67" s="53">
        <f>_xlfn.CEILING.MATH(MAX(uu(C70,1),uu(D70,1)) +1)</f>
        <v>2</v>
      </c>
      <c r="D67" s="53"/>
      <c r="E67" s="53"/>
      <c r="F67" s="53"/>
      <c r="G67" s="53"/>
      <c r="H67" s="53"/>
      <c r="I67" s="53"/>
      <c r="M67" s="53"/>
      <c r="N67" s="53"/>
      <c r="O67" s="53"/>
      <c r="P67" s="53"/>
      <c r="Q67" s="53"/>
      <c r="R67" s="53"/>
      <c r="S67" s="53"/>
      <c r="T67" s="53"/>
      <c r="U67" s="53"/>
    </row>
    <row r="68" spans="2:21" x14ac:dyDescent="0.3">
      <c r="B68" s="214" t="s">
        <v>22</v>
      </c>
      <c r="C68" s="215"/>
      <c r="D68" s="215"/>
      <c r="E68" s="215"/>
      <c r="F68" s="215"/>
      <c r="G68" s="215"/>
      <c r="H68" s="215"/>
      <c r="I68" s="216"/>
      <c r="M68" s="53"/>
      <c r="N68" s="53"/>
      <c r="O68" s="53"/>
      <c r="P68" s="53"/>
      <c r="Q68" s="53"/>
      <c r="R68" s="53"/>
      <c r="S68" s="53"/>
      <c r="T68" s="53"/>
      <c r="U68" s="53"/>
    </row>
    <row r="69" spans="2:21" ht="20.25" x14ac:dyDescent="0.3">
      <c r="B69" s="65" t="s">
        <v>1</v>
      </c>
      <c r="C69" s="31" t="s">
        <v>2</v>
      </c>
      <c r="D69" s="31" t="s">
        <v>24</v>
      </c>
      <c r="E69" s="31" t="s">
        <v>33</v>
      </c>
      <c r="F69" s="33" t="s">
        <v>34</v>
      </c>
      <c r="G69" s="52" t="s">
        <v>29</v>
      </c>
      <c r="H69" s="66" t="s">
        <v>30</v>
      </c>
      <c r="I69" s="66" t="s">
        <v>31</v>
      </c>
      <c r="M69" s="53"/>
      <c r="N69" s="53"/>
      <c r="O69" s="53"/>
      <c r="P69" s="53"/>
      <c r="Q69" s="53"/>
      <c r="R69" s="53"/>
      <c r="S69" s="53"/>
      <c r="T69" s="53"/>
      <c r="U69" s="53"/>
    </row>
    <row r="70" spans="2:21" x14ac:dyDescent="0.3">
      <c r="B70" s="67">
        <v>1</v>
      </c>
      <c r="C70" s="151">
        <v>-2.2999999999999998</v>
      </c>
      <c r="D70" s="151">
        <v>-2</v>
      </c>
      <c r="E70" s="152">
        <f t="shared" ref="E70:E76" si="13">F70</f>
        <v>-2.1899568385180479</v>
      </c>
      <c r="F70" s="152">
        <f>fi(C70,$C$67,1)</f>
        <v>-2.1899568385180479</v>
      </c>
      <c r="G70" s="151">
        <f>ABS(C70-E70)</f>
        <v>0.11004316148195192</v>
      </c>
      <c r="H70" s="62" t="str">
        <f t="shared" ref="H70:H76" si="14">IF(G70&lt;$C$41,"ИСТИНА","ЛОЖЬ")</f>
        <v>ЛОЖЬ</v>
      </c>
      <c r="I70" s="68" t="str">
        <f t="shared" ref="I70:I76" si="15">IF(H70="ЛОЖЬ","----------",F70)</f>
        <v>----------</v>
      </c>
      <c r="U70" s="53"/>
    </row>
    <row r="71" spans="2:21" x14ac:dyDescent="0.3">
      <c r="B71" s="69">
        <v>2</v>
      </c>
      <c r="C71" s="154">
        <f t="shared" ref="C71:C76" si="16">E70</f>
        <v>-2.1899568385180479</v>
      </c>
      <c r="D71" s="56">
        <v>-2</v>
      </c>
      <c r="E71" s="154">
        <f t="shared" si="13"/>
        <v>-2.1400699573746191</v>
      </c>
      <c r="F71" s="154">
        <f t="shared" ref="F71:F76" si="17">fi(C71,$C$67,1)</f>
        <v>-2.1400699573746191</v>
      </c>
      <c r="G71" s="56">
        <f t="shared" ref="G71:G76" si="18">ABS(C71-E71)</f>
        <v>4.9886881143428763E-2</v>
      </c>
      <c r="H71" s="69" t="str">
        <f t="shared" si="14"/>
        <v>ЛОЖЬ</v>
      </c>
      <c r="I71" s="71" t="str">
        <f t="shared" si="15"/>
        <v>----------</v>
      </c>
      <c r="U71" s="53"/>
    </row>
    <row r="72" spans="2:21" x14ac:dyDescent="0.3">
      <c r="B72" s="69">
        <v>3</v>
      </c>
      <c r="C72" s="154">
        <f t="shared" si="16"/>
        <v>-2.1400699573746191</v>
      </c>
      <c r="D72" s="154">
        <v>-2</v>
      </c>
      <c r="E72" s="154">
        <f t="shared" si="13"/>
        <v>-2.1176667948456527</v>
      </c>
      <c r="F72" s="154">
        <f t="shared" si="17"/>
        <v>-2.1176667948456527</v>
      </c>
      <c r="G72" s="56">
        <f t="shared" si="18"/>
        <v>2.2403162528966458E-2</v>
      </c>
      <c r="H72" s="69" t="str">
        <f t="shared" si="14"/>
        <v>ЛОЖЬ</v>
      </c>
      <c r="I72" s="71" t="str">
        <f t="shared" si="15"/>
        <v>----------</v>
      </c>
      <c r="U72" s="53"/>
    </row>
    <row r="73" spans="2:21" x14ac:dyDescent="0.3">
      <c r="B73" s="69">
        <v>4</v>
      </c>
      <c r="C73" s="154">
        <f t="shared" si="16"/>
        <v>-2.1176667948456527</v>
      </c>
      <c r="D73" s="56">
        <v>-2</v>
      </c>
      <c r="E73" s="154">
        <f t="shared" si="13"/>
        <v>-2.1076520924492286</v>
      </c>
      <c r="F73" s="154">
        <f t="shared" si="17"/>
        <v>-2.1076520924492286</v>
      </c>
      <c r="G73" s="56">
        <f t="shared" si="18"/>
        <v>1.0014702396424102E-2</v>
      </c>
      <c r="H73" s="69" t="str">
        <f t="shared" si="14"/>
        <v>ЛОЖЬ</v>
      </c>
      <c r="I73" s="71" t="str">
        <f t="shared" si="15"/>
        <v>----------</v>
      </c>
      <c r="U73" s="53"/>
    </row>
    <row r="74" spans="2:21" x14ac:dyDescent="0.3">
      <c r="B74" s="69">
        <v>5</v>
      </c>
      <c r="C74" s="154">
        <f t="shared" si="16"/>
        <v>-2.1076520924492286</v>
      </c>
      <c r="D74" s="154">
        <v>-2</v>
      </c>
      <c r="E74" s="154">
        <f t="shared" si="13"/>
        <v>-2.1031848235838342</v>
      </c>
      <c r="F74" s="154">
        <f t="shared" si="17"/>
        <v>-2.1031848235838342</v>
      </c>
      <c r="G74" s="56">
        <f t="shared" si="18"/>
        <v>4.4672688653943915E-3</v>
      </c>
      <c r="H74" s="69" t="str">
        <f t="shared" si="14"/>
        <v>ЛОЖЬ</v>
      </c>
      <c r="I74" s="71" t="str">
        <f t="shared" si="15"/>
        <v>----------</v>
      </c>
    </row>
    <row r="75" spans="2:21" x14ac:dyDescent="0.3">
      <c r="B75" s="69">
        <v>6</v>
      </c>
      <c r="C75" s="154">
        <f t="shared" si="16"/>
        <v>-2.1031848235838342</v>
      </c>
      <c r="D75" s="154">
        <v>-2</v>
      </c>
      <c r="E75" s="164">
        <f t="shared" si="13"/>
        <v>-2.1011940273974559</v>
      </c>
      <c r="F75" s="154">
        <f t="shared" si="17"/>
        <v>-2.1011940273974559</v>
      </c>
      <c r="G75" s="56">
        <f t="shared" si="18"/>
        <v>1.9907961863783186E-3</v>
      </c>
      <c r="H75" s="69" t="str">
        <f t="shared" si="14"/>
        <v>ЛОЖЬ</v>
      </c>
      <c r="I75" s="71" t="str">
        <f t="shared" si="15"/>
        <v>----------</v>
      </c>
    </row>
    <row r="76" spans="2:21" x14ac:dyDescent="0.3">
      <c r="B76" s="72">
        <v>7</v>
      </c>
      <c r="C76" s="156">
        <f t="shared" si="16"/>
        <v>-2.1011940273974559</v>
      </c>
      <c r="D76" s="60">
        <v>-2</v>
      </c>
      <c r="E76" s="156">
        <f t="shared" si="13"/>
        <v>-2.1003072323705525</v>
      </c>
      <c r="F76" s="156">
        <f t="shared" si="17"/>
        <v>-2.1003072323705525</v>
      </c>
      <c r="G76" s="60">
        <f t="shared" si="18"/>
        <v>8.867950269033642E-4</v>
      </c>
      <c r="H76" s="72" t="str">
        <f t="shared" si="14"/>
        <v>ИСТИНА</v>
      </c>
      <c r="I76" s="73">
        <f t="shared" si="15"/>
        <v>-2.1003072323705525</v>
      </c>
    </row>
    <row r="78" spans="2:21" x14ac:dyDescent="0.3">
      <c r="B78" s="217" t="s">
        <v>35</v>
      </c>
      <c r="C78" s="218"/>
      <c r="D78" s="218"/>
      <c r="E78" s="218"/>
      <c r="F78" s="218"/>
      <c r="G78" s="218"/>
      <c r="H78" s="218"/>
      <c r="I78" s="219"/>
    </row>
    <row r="79" spans="2:21" ht="20.25" x14ac:dyDescent="0.3">
      <c r="B79" s="65" t="s">
        <v>1</v>
      </c>
      <c r="C79" s="31" t="s">
        <v>23</v>
      </c>
      <c r="D79" s="31" t="s">
        <v>37</v>
      </c>
      <c r="E79" s="33" t="s">
        <v>26</v>
      </c>
      <c r="F79" s="33" t="s">
        <v>38</v>
      </c>
      <c r="G79" s="52" t="s">
        <v>29</v>
      </c>
      <c r="H79" s="66" t="s">
        <v>30</v>
      </c>
      <c r="I79" s="66" t="s">
        <v>31</v>
      </c>
    </row>
    <row r="80" spans="2:21" x14ac:dyDescent="0.3">
      <c r="B80" s="67">
        <v>1</v>
      </c>
      <c r="C80" s="151">
        <v>-2.2999999999999998</v>
      </c>
      <c r="D80" s="151">
        <f>C80-uu(C80, 1)/proizuu(C80,1)</f>
        <v>-2.0976764965646106</v>
      </c>
      <c r="E80" s="151">
        <f>uu(C80,1)</f>
        <v>-0.22008632296390376</v>
      </c>
      <c r="F80" s="151">
        <f>proizuu(C80,1)</f>
        <v>1.0877941476245097</v>
      </c>
      <c r="G80" s="151">
        <f>ABS(C80-D80)</f>
        <v>0.20232350343538918</v>
      </c>
      <c r="H80" s="62" t="str">
        <f>IF(G80&lt;$C$41,"ИСТИНА","ЛОЖЬ")</f>
        <v>ЛОЖЬ</v>
      </c>
      <c r="I80" s="68" t="str">
        <f>IF(H80="ЛОЖЬ","----------",D80)</f>
        <v>----------</v>
      </c>
    </row>
    <row r="81" spans="2:29" x14ac:dyDescent="0.3">
      <c r="B81" s="69">
        <v>2</v>
      </c>
      <c r="C81" s="154">
        <f>D80</f>
        <v>-2.0976764965646106</v>
      </c>
      <c r="D81" s="56">
        <f>C81-uu(C81, 1)/proizuu(C81,1)</f>
        <v>-2.0995950200977638</v>
      </c>
      <c r="E81" s="56">
        <f>uu(C81,1)</f>
        <v>2.1288846855428284E-3</v>
      </c>
      <c r="F81" s="56">
        <f>proizuu(C81,1)</f>
        <v>1.1096474183166243</v>
      </c>
      <c r="G81" s="56">
        <f>ABS(C81-D81)</f>
        <v>1.9185235331531381E-3</v>
      </c>
      <c r="H81" s="54" t="str">
        <f>IF(G81&lt;$C$41,"ИСТИНА","ЛОЖЬ")</f>
        <v>ЛОЖЬ</v>
      </c>
      <c r="I81" s="71" t="str">
        <f>IF(H81="ЛОЖЬ","----------",D81)</f>
        <v>----------</v>
      </c>
    </row>
    <row r="82" spans="2:29" x14ac:dyDescent="0.3">
      <c r="B82" s="72">
        <v>3</v>
      </c>
      <c r="C82" s="156">
        <f>D81</f>
        <v>-2.0995950200977638</v>
      </c>
      <c r="D82" s="60">
        <f>C82-uu(C82, 1)/proizuu(C82,1)</f>
        <v>-2.0995952197836711</v>
      </c>
      <c r="E82" s="60">
        <f>uu(C82,1)</f>
        <v>2.2153485192133449E-7</v>
      </c>
      <c r="F82" s="60">
        <f>proizuu(C82,1)</f>
        <v>1.1094165563504614</v>
      </c>
      <c r="G82" s="156">
        <f>ABS(C82-D82)</f>
        <v>1.9968590736496594E-7</v>
      </c>
      <c r="H82" s="59" t="str">
        <f>IF(G82&lt;$C$41,"ИСТИНА","ЛОЖЬ")</f>
        <v>ИСТИНА</v>
      </c>
      <c r="I82" s="73">
        <f>IF(H82="ЛОЖЬ","----------",D82)</f>
        <v>-2.0995952197836711</v>
      </c>
    </row>
    <row r="91" spans="2:29" x14ac:dyDescent="0.3">
      <c r="B91" s="31" t="s">
        <v>2</v>
      </c>
      <c r="C91" s="63" t="s">
        <v>3</v>
      </c>
      <c r="D91" s="53"/>
      <c r="E91" s="53"/>
    </row>
    <row r="92" spans="2:29" x14ac:dyDescent="0.3">
      <c r="B92" s="67">
        <v>-5</v>
      </c>
      <c r="C92" s="152">
        <f>2*B92^3-9*B92^2-60*B92+1</f>
        <v>-174</v>
      </c>
    </row>
    <row r="93" spans="2:29" x14ac:dyDescent="0.3">
      <c r="B93" s="69">
        <v>-4.7</v>
      </c>
      <c r="C93" s="56">
        <f t="shared" ref="C93:C122" si="19">2*B93^3-9*B93^2-60*B93+1</f>
        <v>-123.45600000000007</v>
      </c>
    </row>
    <row r="94" spans="2:29" x14ac:dyDescent="0.3">
      <c r="B94" s="69">
        <v>-4.4000000000000004</v>
      </c>
      <c r="C94" s="56">
        <f t="shared" si="19"/>
        <v>-79.608000000000061</v>
      </c>
    </row>
    <row r="95" spans="2:29" x14ac:dyDescent="0.3">
      <c r="B95" s="69">
        <v>-4.0999999999999996</v>
      </c>
      <c r="C95" s="56">
        <f t="shared" si="19"/>
        <v>-42.131999999999977</v>
      </c>
      <c r="U95"/>
      <c r="V95"/>
      <c r="W95" s="28"/>
      <c r="X95" s="28"/>
      <c r="Y95" s="28"/>
      <c r="Z95" s="28"/>
      <c r="AA95" s="28"/>
      <c r="AB95" s="28"/>
      <c r="AC95" s="28"/>
    </row>
    <row r="96" spans="2:29" x14ac:dyDescent="0.3">
      <c r="B96" s="173">
        <v>-3.8</v>
      </c>
      <c r="C96" s="174">
        <f t="shared" si="19"/>
        <v>-10.704000000000008</v>
      </c>
      <c r="V96" s="28"/>
      <c r="W96" s="28"/>
      <c r="X96" s="28"/>
      <c r="Y96" s="28"/>
      <c r="Z96" s="28"/>
      <c r="AA96" s="28"/>
      <c r="AB96" s="28"/>
      <c r="AC96" s="28"/>
    </row>
    <row r="97" spans="2:30" x14ac:dyDescent="0.3">
      <c r="B97" s="173">
        <v>-3.5</v>
      </c>
      <c r="C97" s="174">
        <f t="shared" si="19"/>
        <v>15</v>
      </c>
      <c r="U97"/>
      <c r="V97"/>
      <c r="W97"/>
      <c r="X97"/>
      <c r="Y97"/>
      <c r="Z97"/>
      <c r="AA97"/>
      <c r="AB97"/>
      <c r="AC97"/>
      <c r="AD97"/>
    </row>
    <row r="98" spans="2:30" x14ac:dyDescent="0.3">
      <c r="B98" s="69">
        <v>-3.2</v>
      </c>
      <c r="C98" s="56">
        <f t="shared" si="19"/>
        <v>35.303999999999974</v>
      </c>
      <c r="U98"/>
      <c r="V98"/>
      <c r="W98"/>
      <c r="X98"/>
      <c r="Y98"/>
      <c r="Z98"/>
      <c r="AA98"/>
      <c r="AB98"/>
      <c r="AC98"/>
      <c r="AD98"/>
    </row>
    <row r="99" spans="2:30" x14ac:dyDescent="0.3">
      <c r="B99" s="69">
        <v>-2.9</v>
      </c>
      <c r="C99" s="56">
        <f t="shared" si="19"/>
        <v>50.532000000000011</v>
      </c>
      <c r="U99"/>
      <c r="V99"/>
      <c r="W99"/>
      <c r="X99"/>
      <c r="Y99"/>
      <c r="Z99"/>
      <c r="AA99"/>
      <c r="AB99"/>
      <c r="AC99"/>
      <c r="AD99"/>
    </row>
    <row r="100" spans="2:30" x14ac:dyDescent="0.3">
      <c r="B100" s="69">
        <v>-2.6</v>
      </c>
      <c r="C100" s="56">
        <f t="shared" si="19"/>
        <v>61.007999999999981</v>
      </c>
      <c r="U100"/>
      <c r="V100"/>
      <c r="W100"/>
      <c r="X100"/>
      <c r="Y100"/>
      <c r="Z100"/>
      <c r="AA100"/>
      <c r="AB100"/>
      <c r="AC100"/>
      <c r="AD100"/>
    </row>
    <row r="101" spans="2:30" x14ac:dyDescent="0.3">
      <c r="B101" s="69">
        <v>-2.2999999999999998</v>
      </c>
      <c r="C101" s="56">
        <f t="shared" si="19"/>
        <v>67.056000000000012</v>
      </c>
      <c r="U101"/>
      <c r="V101"/>
      <c r="W101"/>
      <c r="X101"/>
      <c r="Y101"/>
      <c r="Z101"/>
      <c r="AA101"/>
      <c r="AB101"/>
      <c r="AC101"/>
      <c r="AD101"/>
    </row>
    <row r="102" spans="2:30" x14ac:dyDescent="0.3">
      <c r="B102" s="69">
        <v>-2</v>
      </c>
      <c r="C102" s="56">
        <f t="shared" si="19"/>
        <v>69</v>
      </c>
      <c r="U102"/>
      <c r="V102"/>
      <c r="W102"/>
      <c r="X102"/>
      <c r="Y102"/>
      <c r="Z102"/>
      <c r="AA102"/>
      <c r="AB102"/>
      <c r="AC102"/>
      <c r="AD102"/>
    </row>
    <row r="103" spans="2:30" x14ac:dyDescent="0.3">
      <c r="B103" s="69">
        <v>-1.7</v>
      </c>
      <c r="C103" s="56">
        <f t="shared" si="19"/>
        <v>67.164000000000001</v>
      </c>
      <c r="U103"/>
      <c r="V103"/>
      <c r="W103"/>
      <c r="X103"/>
      <c r="Y103"/>
      <c r="Z103"/>
      <c r="AA103"/>
      <c r="AB103"/>
      <c r="AC103"/>
      <c r="AD103"/>
    </row>
    <row r="104" spans="2:30" x14ac:dyDescent="0.3">
      <c r="B104" s="69">
        <v>-1.4</v>
      </c>
      <c r="C104" s="56">
        <f t="shared" si="19"/>
        <v>61.872</v>
      </c>
      <c r="U104"/>
      <c r="V104"/>
      <c r="W104"/>
      <c r="X104"/>
      <c r="Y104"/>
      <c r="Z104"/>
      <c r="AA104"/>
      <c r="AB104"/>
      <c r="AC104"/>
      <c r="AD104"/>
    </row>
    <row r="105" spans="2:30" x14ac:dyDescent="0.3">
      <c r="B105" s="69">
        <v>-1.1000000000000001</v>
      </c>
      <c r="C105" s="56">
        <f t="shared" si="19"/>
        <v>53.447999999999993</v>
      </c>
      <c r="U105"/>
      <c r="V105"/>
      <c r="W105"/>
      <c r="X105"/>
      <c r="Y105"/>
      <c r="Z105"/>
      <c r="AA105"/>
      <c r="AB105"/>
      <c r="AC105"/>
      <c r="AD105"/>
    </row>
    <row r="106" spans="2:30" x14ac:dyDescent="0.3">
      <c r="B106" s="69">
        <v>-0.8</v>
      </c>
      <c r="C106" s="56">
        <f t="shared" si="19"/>
        <v>42.216000000000001</v>
      </c>
      <c r="U106"/>
      <c r="V106"/>
      <c r="W106"/>
      <c r="X106"/>
      <c r="Y106"/>
      <c r="Z106"/>
      <c r="AA106"/>
      <c r="AB106"/>
      <c r="AC106"/>
      <c r="AD106"/>
    </row>
    <row r="107" spans="2:30" x14ac:dyDescent="0.3">
      <c r="B107" s="69">
        <v>-0.5</v>
      </c>
      <c r="C107" s="56">
        <f t="shared" si="19"/>
        <v>28.5</v>
      </c>
      <c r="U107"/>
      <c r="V107"/>
      <c r="W107"/>
      <c r="X107"/>
      <c r="Y107"/>
      <c r="Z107"/>
      <c r="AA107"/>
      <c r="AB107"/>
      <c r="AC107"/>
      <c r="AD107"/>
    </row>
    <row r="108" spans="2:30" x14ac:dyDescent="0.3">
      <c r="B108" s="173">
        <v>-0.2</v>
      </c>
      <c r="C108" s="174">
        <f>2*B108^3-9*B108^2-60*B108+1</f>
        <v>12.624000000000001</v>
      </c>
    </row>
    <row r="109" spans="2:30" x14ac:dyDescent="0.3">
      <c r="B109" s="173">
        <v>9.9999999999999603E-2</v>
      </c>
      <c r="C109" s="174">
        <f t="shared" si="19"/>
        <v>-5.0879999999999752</v>
      </c>
    </row>
    <row r="110" spans="2:30" x14ac:dyDescent="0.3">
      <c r="B110" s="69">
        <v>0.4</v>
      </c>
      <c r="C110" s="56">
        <f t="shared" si="19"/>
        <v>-24.312000000000001</v>
      </c>
    </row>
    <row r="111" spans="2:30" x14ac:dyDescent="0.3">
      <c r="B111" s="69">
        <v>0.7</v>
      </c>
      <c r="C111" s="56">
        <f t="shared" si="19"/>
        <v>-44.723999999999997</v>
      </c>
    </row>
    <row r="112" spans="2:30" x14ac:dyDescent="0.3">
      <c r="B112" s="69">
        <v>1</v>
      </c>
      <c r="C112" s="56">
        <f t="shared" si="19"/>
        <v>-66</v>
      </c>
    </row>
    <row r="113" spans="2:21" x14ac:dyDescent="0.3">
      <c r="B113" s="69">
        <v>1.3</v>
      </c>
      <c r="C113" s="56">
        <f t="shared" si="19"/>
        <v>-87.816000000000003</v>
      </c>
    </row>
    <row r="114" spans="2:21" x14ac:dyDescent="0.3">
      <c r="B114" s="69">
        <v>1.6</v>
      </c>
      <c r="C114" s="56">
        <f t="shared" si="19"/>
        <v>-109.848</v>
      </c>
    </row>
    <row r="115" spans="2:21" x14ac:dyDescent="0.3">
      <c r="B115" s="69">
        <v>1.9</v>
      </c>
      <c r="C115" s="56">
        <f t="shared" si="19"/>
        <v>-131.77199999999999</v>
      </c>
    </row>
    <row r="116" spans="2:21" x14ac:dyDescent="0.3">
      <c r="B116" s="69">
        <v>2.2000000000000002</v>
      </c>
      <c r="C116" s="56">
        <f t="shared" si="19"/>
        <v>-153.26400000000001</v>
      </c>
    </row>
    <row r="117" spans="2:21" x14ac:dyDescent="0.3">
      <c r="B117" s="69">
        <v>2.5</v>
      </c>
      <c r="C117" s="56">
        <f t="shared" si="19"/>
        <v>-174</v>
      </c>
    </row>
    <row r="118" spans="2:21" x14ac:dyDescent="0.3">
      <c r="B118" s="69">
        <v>2.8</v>
      </c>
      <c r="C118" s="56">
        <f t="shared" si="19"/>
        <v>-193.65600000000001</v>
      </c>
    </row>
    <row r="119" spans="2:21" x14ac:dyDescent="0.3">
      <c r="B119" s="69">
        <v>3.0999999999999899</v>
      </c>
      <c r="C119" s="56">
        <f t="shared" si="19"/>
        <v>-211.90799999999942</v>
      </c>
    </row>
    <row r="120" spans="2:21" x14ac:dyDescent="0.3">
      <c r="B120" s="69">
        <v>3.4</v>
      </c>
      <c r="C120" s="56">
        <f t="shared" si="19"/>
        <v>-228.43200000000002</v>
      </c>
    </row>
    <row r="121" spans="2:21" x14ac:dyDescent="0.3">
      <c r="B121" s="69">
        <v>3.7</v>
      </c>
      <c r="C121" s="56">
        <f t="shared" si="19"/>
        <v>-242.904</v>
      </c>
    </row>
    <row r="122" spans="2:21" x14ac:dyDescent="0.3">
      <c r="B122" s="72">
        <v>3.9999999999999898</v>
      </c>
      <c r="C122" s="60">
        <f t="shared" si="19"/>
        <v>-254.9999999999996</v>
      </c>
    </row>
    <row r="124" spans="2:21" x14ac:dyDescent="0.3">
      <c r="B124" s="31" t="s">
        <v>18</v>
      </c>
      <c r="C124" s="51">
        <v>1E-3</v>
      </c>
    </row>
    <row r="125" spans="2:21" x14ac:dyDescent="0.3">
      <c r="U125" s="53"/>
    </row>
    <row r="126" spans="2:21" x14ac:dyDescent="0.3">
      <c r="B126" s="220" t="s">
        <v>36</v>
      </c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Q126" s="31" t="s">
        <v>41</v>
      </c>
      <c r="R126" s="52">
        <f>dihotomia(-3.8,-3.5,0.001,2)</f>
        <v>-3.6833984374999997</v>
      </c>
    </row>
    <row r="127" spans="2:21" ht="20.25" x14ac:dyDescent="0.3">
      <c r="B127" s="65" t="s">
        <v>1</v>
      </c>
      <c r="C127" s="31" t="s">
        <v>39</v>
      </c>
      <c r="D127" s="31" t="s">
        <v>23</v>
      </c>
      <c r="E127" s="31" t="s">
        <v>24</v>
      </c>
      <c r="F127" s="31" t="s">
        <v>37</v>
      </c>
      <c r="G127" s="31" t="s">
        <v>32</v>
      </c>
      <c r="H127" s="33" t="s">
        <v>26</v>
      </c>
      <c r="I127" s="33" t="s">
        <v>38</v>
      </c>
      <c r="J127" s="49" t="s">
        <v>27</v>
      </c>
      <c r="K127" s="33" t="s">
        <v>40</v>
      </c>
      <c r="L127" s="52" t="s">
        <v>29</v>
      </c>
      <c r="M127" s="66" t="s">
        <v>30</v>
      </c>
      <c r="N127" s="66" t="s">
        <v>31</v>
      </c>
      <c r="Q127" s="31" t="s">
        <v>42</v>
      </c>
      <c r="R127" s="52">
        <f>hord(-3.8,-3.5,0.001,2)</f>
        <v>-3.682776258292265</v>
      </c>
    </row>
    <row r="128" spans="2:21" x14ac:dyDescent="0.3">
      <c r="B128" s="67">
        <v>1</v>
      </c>
      <c r="C128" s="158">
        <v>-3.8</v>
      </c>
      <c r="D128" s="159">
        <v>-3.8</v>
      </c>
      <c r="E128" s="159">
        <v>-3.5</v>
      </c>
      <c r="F128" s="158">
        <f>D128-H128/I128</f>
        <v>-3.6873737373737372</v>
      </c>
      <c r="G128" s="158">
        <f>E128-J128*(C128-E128)/(K128-J128)</f>
        <v>-3.6750700280112043</v>
      </c>
      <c r="H128" s="159">
        <f>uu(D128,2)</f>
        <v>-10.703999999999992</v>
      </c>
      <c r="I128" s="158">
        <f>proizuu(D128,2)</f>
        <v>95.039999999999992</v>
      </c>
      <c r="J128" s="158">
        <f>uu(E128,2)</f>
        <v>15</v>
      </c>
      <c r="K128" s="160">
        <f>uu(C128,2)</f>
        <v>-10.703999999999992</v>
      </c>
      <c r="L128" s="159">
        <f>ABS(F128-G128)</f>
        <v>1.2303709362532889E-2</v>
      </c>
      <c r="M128" s="62" t="str">
        <f>IF(L128&lt;$C$41,"ИСТИНА","ЛОЖЬ")</f>
        <v>ЛОЖЬ</v>
      </c>
      <c r="N128" s="68" t="str">
        <f>IF(M128="ЛОЖЬ","----------",(F128+G128)/2)</f>
        <v>----------</v>
      </c>
      <c r="Q128" s="31" t="s">
        <v>43</v>
      </c>
      <c r="R128" s="52">
        <f>kas(-3.8,-3.5,0.001,2)</f>
        <v>-3.682812638127448</v>
      </c>
    </row>
    <row r="129" spans="2:22" ht="37.5" x14ac:dyDescent="0.3">
      <c r="B129" s="72">
        <v>2</v>
      </c>
      <c r="C129" s="161">
        <v>-3.8</v>
      </c>
      <c r="D129" s="162">
        <f>F128</f>
        <v>-3.6873737373737372</v>
      </c>
      <c r="E129" s="162">
        <f>G128</f>
        <v>-3.6750700280112043</v>
      </c>
      <c r="F129" s="162">
        <f>D129-H129/I129</f>
        <v>-3.6828199977977034</v>
      </c>
      <c r="G129" s="161">
        <f>E129-J129*(C129-E129)/(K129-J129)</f>
        <v>-3.6825007346082903</v>
      </c>
      <c r="H129" s="161">
        <f>uu(D129,2)</f>
        <v>-0.40051541097123966</v>
      </c>
      <c r="I129" s="161">
        <f>proizuu(D129,2)</f>
        <v>87.953077747168649</v>
      </c>
      <c r="J129" s="162">
        <f>uu(E129,2)</f>
        <v>0.67692579311070133</v>
      </c>
      <c r="K129" s="163">
        <f>uu(C129,2)</f>
        <v>-10.703999999999992</v>
      </c>
      <c r="L129" s="161">
        <f>ABS(F129-G129)</f>
        <v>3.1926318941311038E-4</v>
      </c>
      <c r="M129" s="72" t="str">
        <f>IF(L129&lt;$C$41,"ИСТИНА","ЛОЖЬ")</f>
        <v>ИСТИНА</v>
      </c>
      <c r="N129" s="73">
        <f>IF(M129="ЛОЖЬ","----------",(F129+G129)/2)</f>
        <v>-3.6826603662029971</v>
      </c>
      <c r="Q129" s="75" t="s">
        <v>44</v>
      </c>
      <c r="R129" s="52">
        <f>comb(-3.8,-3.5,0.001,2)</f>
        <v>-3.6829148726830239</v>
      </c>
    </row>
    <row r="131" spans="2:22" x14ac:dyDescent="0.3">
      <c r="B131" s="217" t="s">
        <v>41</v>
      </c>
      <c r="C131" s="218"/>
      <c r="D131" s="218"/>
      <c r="E131" s="218"/>
      <c r="F131" s="218"/>
      <c r="G131" s="218"/>
      <c r="H131" s="218"/>
      <c r="I131" s="218"/>
      <c r="J131" s="218"/>
      <c r="K131" s="219"/>
    </row>
    <row r="132" spans="2:22" ht="20.25" x14ac:dyDescent="0.3">
      <c r="B132" s="65" t="s">
        <v>1</v>
      </c>
      <c r="C132" s="31" t="s">
        <v>23</v>
      </c>
      <c r="D132" s="31" t="s">
        <v>24</v>
      </c>
      <c r="E132" s="31" t="s">
        <v>25</v>
      </c>
      <c r="F132" s="33" t="s">
        <v>26</v>
      </c>
      <c r="G132" s="33" t="s">
        <v>27</v>
      </c>
      <c r="H132" s="33" t="s">
        <v>28</v>
      </c>
      <c r="I132" s="52" t="s">
        <v>29</v>
      </c>
      <c r="J132" s="66" t="s">
        <v>30</v>
      </c>
      <c r="K132" s="66" t="s">
        <v>31</v>
      </c>
    </row>
    <row r="133" spans="2:22" x14ac:dyDescent="0.3">
      <c r="B133" s="67">
        <v>1</v>
      </c>
      <c r="C133" s="151">
        <f>B96</f>
        <v>-3.8</v>
      </c>
      <c r="D133" s="151">
        <f>B97</f>
        <v>-3.5</v>
      </c>
      <c r="E133" s="152">
        <f>(C133+D133)/2</f>
        <v>-3.65</v>
      </c>
      <c r="F133" s="153">
        <f t="shared" ref="F133:H134" si="20">2*C133^3-9*C133^2-60*C133+1</f>
        <v>-10.704000000000008</v>
      </c>
      <c r="G133" s="152">
        <f t="shared" si="20"/>
        <v>15</v>
      </c>
      <c r="H133" s="152">
        <f t="shared" si="20"/>
        <v>2.8432500000000118</v>
      </c>
      <c r="I133" s="152">
        <f>ABS(D133-C133)</f>
        <v>0.29999999999999982</v>
      </c>
      <c r="J133" s="68" t="str">
        <f t="shared" ref="J133:J142" si="21">IF(I133&gt;$C$124,"ЛОЖЬ","ИСТИНА")</f>
        <v>ЛОЖЬ</v>
      </c>
      <c r="K133" s="68" t="str">
        <f>IF(J133="ЛОЖЬ","----------",E133)</f>
        <v>----------</v>
      </c>
      <c r="N133" s="53"/>
      <c r="O133" s="53"/>
      <c r="P133" s="53"/>
      <c r="Q133" s="53"/>
      <c r="R133" s="53"/>
      <c r="S133" s="53"/>
      <c r="T133" s="53"/>
      <c r="U133" s="53"/>
    </row>
    <row r="134" spans="2:22" x14ac:dyDescent="0.3">
      <c r="B134" s="69">
        <v>2</v>
      </c>
      <c r="C134" s="56">
        <f>IF(F133*H133&lt;0,C133,E133)</f>
        <v>-3.8</v>
      </c>
      <c r="D134" s="154">
        <f>IF(G133*H133&lt;0,D133,E133)</f>
        <v>-3.65</v>
      </c>
      <c r="E134" s="154">
        <f>(C134+D134)/2</f>
        <v>-3.7249999999999996</v>
      </c>
      <c r="F134" s="155">
        <f t="shared" si="20"/>
        <v>-10.704000000000008</v>
      </c>
      <c r="G134" s="154">
        <f t="shared" si="20"/>
        <v>2.8432500000000118</v>
      </c>
      <c r="H134" s="154">
        <f t="shared" si="20"/>
        <v>-3.754031249999997</v>
      </c>
      <c r="I134" s="154">
        <f>ABS(D134-C134)</f>
        <v>0.14999999999999991</v>
      </c>
      <c r="J134" s="70" t="str">
        <f t="shared" si="21"/>
        <v>ЛОЖЬ</v>
      </c>
      <c r="K134" s="71" t="str">
        <f>IF(J134="ЛОЖЬ","----------",E134)</f>
        <v>----------</v>
      </c>
      <c r="N134" s="53"/>
      <c r="O134" s="53"/>
      <c r="P134" s="53"/>
      <c r="Q134" s="53"/>
      <c r="R134" s="53"/>
      <c r="S134" s="53"/>
      <c r="T134" s="53"/>
      <c r="U134" s="53"/>
    </row>
    <row r="135" spans="2:22" x14ac:dyDescent="0.3">
      <c r="B135" s="69">
        <v>3</v>
      </c>
      <c r="C135" s="56">
        <f t="shared" ref="C135:C142" si="22">IF(F134*H134&lt;0,C134,E134)</f>
        <v>-3.7249999999999996</v>
      </c>
      <c r="D135" s="154">
        <f t="shared" ref="D135:D142" si="23">IF(G134*H134&lt;0,D134,E134)</f>
        <v>-3.65</v>
      </c>
      <c r="E135" s="154">
        <f t="shared" ref="E135:E142" si="24">(C135+D135)/2</f>
        <v>-3.6875</v>
      </c>
      <c r="F135" s="155">
        <f t="shared" ref="F135:F142" si="25">2*C135^3-9*C135^2-60*C135+1</f>
        <v>-3.754031249999997</v>
      </c>
      <c r="G135" s="154">
        <f t="shared" ref="G135:G142" si="26">2*D135^3-9*D135^2-60*D135+1</f>
        <v>2.8432500000000118</v>
      </c>
      <c r="H135" s="154">
        <f t="shared" ref="H135:H142" si="27">2*E135^3-9*E135^2-60*E135+1</f>
        <v>-0.41162109375</v>
      </c>
      <c r="I135" s="154">
        <f t="shared" ref="I135:I142" si="28">ABS(D135-C135)</f>
        <v>7.4999999999999734E-2</v>
      </c>
      <c r="J135" s="70" t="str">
        <f t="shared" si="21"/>
        <v>ЛОЖЬ</v>
      </c>
      <c r="K135" s="71" t="str">
        <f t="shared" ref="K135:K142" si="29">IF(J135="ЛОЖЬ","----------",E135)</f>
        <v>----------</v>
      </c>
      <c r="N135" s="53"/>
      <c r="O135" s="53"/>
      <c r="P135" s="53"/>
      <c r="Q135" s="53"/>
      <c r="R135" s="53"/>
      <c r="S135" s="53"/>
      <c r="T135" s="53"/>
      <c r="U135" s="53"/>
    </row>
    <row r="136" spans="2:22" x14ac:dyDescent="0.3">
      <c r="B136" s="69">
        <v>4</v>
      </c>
      <c r="C136" s="56">
        <f t="shared" si="22"/>
        <v>-3.6875</v>
      </c>
      <c r="D136" s="154">
        <f t="shared" si="23"/>
        <v>-3.65</v>
      </c>
      <c r="E136" s="154">
        <f t="shared" si="24"/>
        <v>-3.6687500000000002</v>
      </c>
      <c r="F136" s="155">
        <f t="shared" si="25"/>
        <v>-0.41162109375</v>
      </c>
      <c r="G136" s="154">
        <f t="shared" si="26"/>
        <v>2.8432500000000118</v>
      </c>
      <c r="H136" s="154">
        <f t="shared" si="27"/>
        <v>1.2267172851562123</v>
      </c>
      <c r="I136" s="154">
        <f t="shared" si="28"/>
        <v>3.7500000000000089E-2</v>
      </c>
      <c r="J136" s="70" t="str">
        <f t="shared" si="21"/>
        <v>ЛОЖЬ</v>
      </c>
      <c r="K136" s="71" t="str">
        <f t="shared" si="29"/>
        <v>----------</v>
      </c>
      <c r="N136" s="53"/>
      <c r="O136" s="53"/>
      <c r="P136" s="53"/>
      <c r="Q136" s="53"/>
      <c r="R136" s="53"/>
      <c r="S136" s="53"/>
      <c r="T136" s="53"/>
      <c r="U136" s="53"/>
    </row>
    <row r="137" spans="2:22" x14ac:dyDescent="0.3">
      <c r="B137" s="69">
        <v>5</v>
      </c>
      <c r="C137" s="56">
        <f t="shared" si="22"/>
        <v>-3.6875</v>
      </c>
      <c r="D137" s="154">
        <f t="shared" si="23"/>
        <v>-3.6687500000000002</v>
      </c>
      <c r="E137" s="154">
        <f t="shared" si="24"/>
        <v>-3.6781250000000001</v>
      </c>
      <c r="F137" s="155">
        <f t="shared" si="25"/>
        <v>-0.41162109375</v>
      </c>
      <c r="G137" s="154">
        <f t="shared" si="26"/>
        <v>1.2267172851562123</v>
      </c>
      <c r="H137" s="154">
        <f t="shared" si="27"/>
        <v>0.41027874755855009</v>
      </c>
      <c r="I137" s="154">
        <f t="shared" si="28"/>
        <v>1.8749999999999822E-2</v>
      </c>
      <c r="J137" s="70" t="str">
        <f t="shared" si="21"/>
        <v>ЛОЖЬ</v>
      </c>
      <c r="K137" s="71" t="str">
        <f t="shared" si="29"/>
        <v>----------</v>
      </c>
      <c r="N137" s="53"/>
      <c r="O137" s="53"/>
      <c r="P137" s="53"/>
      <c r="Q137" s="53"/>
      <c r="R137" s="53"/>
      <c r="S137" s="53"/>
      <c r="T137" s="53"/>
      <c r="U137" s="53"/>
    </row>
    <row r="138" spans="2:22" x14ac:dyDescent="0.3">
      <c r="B138" s="69">
        <v>6</v>
      </c>
      <c r="C138" s="56">
        <f t="shared" si="22"/>
        <v>-3.6875</v>
      </c>
      <c r="D138" s="154">
        <f t="shared" si="23"/>
        <v>-3.6781250000000001</v>
      </c>
      <c r="E138" s="154">
        <f t="shared" si="24"/>
        <v>-3.6828124999999998</v>
      </c>
      <c r="F138" s="155">
        <f t="shared" si="25"/>
        <v>-0.41162109375</v>
      </c>
      <c r="G138" s="154">
        <f t="shared" si="26"/>
        <v>0.41027874755855009</v>
      </c>
      <c r="H138" s="154">
        <f t="shared" si="27"/>
        <v>1.2107849130416071E-5</v>
      </c>
      <c r="I138" s="154">
        <f t="shared" si="28"/>
        <v>9.3749999999999112E-3</v>
      </c>
      <c r="J138" s="70" t="str">
        <f t="shared" si="21"/>
        <v>ЛОЖЬ</v>
      </c>
      <c r="K138" s="71" t="str">
        <f t="shared" si="29"/>
        <v>----------</v>
      </c>
      <c r="N138" s="53"/>
      <c r="O138" s="53"/>
      <c r="P138" s="53"/>
      <c r="Q138" s="53"/>
      <c r="R138" s="53"/>
      <c r="S138" s="53"/>
      <c r="T138" s="53"/>
      <c r="U138" s="53"/>
    </row>
    <row r="139" spans="2:22" x14ac:dyDescent="0.3">
      <c r="B139" s="69">
        <v>7</v>
      </c>
      <c r="C139" s="56">
        <f t="shared" si="22"/>
        <v>-3.6875</v>
      </c>
      <c r="D139" s="154">
        <f t="shared" si="23"/>
        <v>-3.6828124999999998</v>
      </c>
      <c r="E139" s="154">
        <f t="shared" si="24"/>
        <v>-3.6851562499999999</v>
      </c>
      <c r="F139" s="155">
        <f t="shared" si="25"/>
        <v>-0.41162109375</v>
      </c>
      <c r="G139" s="154">
        <f t="shared" si="26"/>
        <v>1.2107849130416071E-5</v>
      </c>
      <c r="H139" s="154">
        <f t="shared" si="27"/>
        <v>-0.20563359546659399</v>
      </c>
      <c r="I139" s="154">
        <f t="shared" si="28"/>
        <v>4.6875000000001776E-3</v>
      </c>
      <c r="J139" s="70" t="str">
        <f t="shared" si="21"/>
        <v>ЛОЖЬ</v>
      </c>
      <c r="K139" s="71" t="str">
        <f t="shared" si="29"/>
        <v>----------</v>
      </c>
      <c r="N139" s="53"/>
      <c r="O139" s="53"/>
      <c r="P139" s="53"/>
      <c r="Q139" s="53"/>
      <c r="R139" s="53"/>
      <c r="S139" s="53"/>
      <c r="T139" s="53"/>
      <c r="U139" s="53"/>
    </row>
    <row r="140" spans="2:22" x14ac:dyDescent="0.3">
      <c r="B140" s="69">
        <v>8</v>
      </c>
      <c r="C140" s="56">
        <f t="shared" si="22"/>
        <v>-3.6851562499999999</v>
      </c>
      <c r="D140" s="154">
        <f t="shared" si="23"/>
        <v>-3.6828124999999998</v>
      </c>
      <c r="E140" s="154">
        <f t="shared" si="24"/>
        <v>-3.6839843749999996</v>
      </c>
      <c r="F140" s="155">
        <f t="shared" si="25"/>
        <v>-0.20563359546659399</v>
      </c>
      <c r="G140" s="154">
        <f t="shared" si="26"/>
        <v>1.2107849130416071E-5</v>
      </c>
      <c r="H140" s="154">
        <f t="shared" si="27"/>
        <v>-0.10276802909370986</v>
      </c>
      <c r="I140" s="154">
        <f t="shared" si="28"/>
        <v>2.3437500000000888E-3</v>
      </c>
      <c r="J140" s="70" t="str">
        <f t="shared" si="21"/>
        <v>ЛОЖЬ</v>
      </c>
      <c r="K140" s="71" t="str">
        <f t="shared" si="29"/>
        <v>----------</v>
      </c>
      <c r="V140" s="28"/>
    </row>
    <row r="141" spans="2:22" x14ac:dyDescent="0.3">
      <c r="B141" s="69">
        <v>9</v>
      </c>
      <c r="C141" s="56">
        <f t="shared" si="22"/>
        <v>-3.6839843749999996</v>
      </c>
      <c r="D141" s="154">
        <f t="shared" si="23"/>
        <v>-3.6828124999999998</v>
      </c>
      <c r="E141" s="154">
        <f t="shared" si="24"/>
        <v>-3.6833984374999997</v>
      </c>
      <c r="F141" s="155">
        <f t="shared" si="25"/>
        <v>-0.10276802909370986</v>
      </c>
      <c r="G141" s="154">
        <f t="shared" si="26"/>
        <v>1.2107849130416071E-5</v>
      </c>
      <c r="H141" s="154">
        <f t="shared" si="27"/>
        <v>-5.1367283150540288E-2</v>
      </c>
      <c r="I141" s="154">
        <f t="shared" si="28"/>
        <v>1.1718749999998224E-3</v>
      </c>
      <c r="J141" s="70" t="str">
        <f t="shared" si="21"/>
        <v>ЛОЖЬ</v>
      </c>
      <c r="K141" s="71" t="str">
        <f t="shared" si="29"/>
        <v>----------</v>
      </c>
      <c r="V141" s="28"/>
    </row>
    <row r="142" spans="2:22" x14ac:dyDescent="0.3">
      <c r="B142" s="72">
        <v>10</v>
      </c>
      <c r="C142" s="60">
        <f t="shared" si="22"/>
        <v>-3.6833984374999997</v>
      </c>
      <c r="D142" s="156">
        <f t="shared" si="23"/>
        <v>-3.6828124999999998</v>
      </c>
      <c r="E142" s="156">
        <f t="shared" si="24"/>
        <v>-3.68310546875</v>
      </c>
      <c r="F142" s="157">
        <f t="shared" si="25"/>
        <v>-5.1367283150540288E-2</v>
      </c>
      <c r="G142" s="156">
        <f t="shared" si="26"/>
        <v>1.2107849130416071E-5</v>
      </c>
      <c r="H142" s="156">
        <f t="shared" si="27"/>
        <v>-2.5674918433651328E-2</v>
      </c>
      <c r="I142" s="156">
        <f t="shared" si="28"/>
        <v>5.8593749999991118E-4</v>
      </c>
      <c r="J142" s="74" t="str">
        <f t="shared" si="21"/>
        <v>ИСТИНА</v>
      </c>
      <c r="K142" s="73">
        <f t="shared" si="29"/>
        <v>-3.68310546875</v>
      </c>
      <c r="V142" s="28"/>
    </row>
    <row r="143" spans="2:22" x14ac:dyDescent="0.3">
      <c r="V143" s="28"/>
    </row>
    <row r="144" spans="2:22" x14ac:dyDescent="0.3">
      <c r="B144" s="217" t="s">
        <v>21</v>
      </c>
      <c r="C144" s="218"/>
      <c r="D144" s="218"/>
      <c r="E144" s="218"/>
      <c r="F144" s="218"/>
      <c r="G144" s="218"/>
      <c r="H144" s="218"/>
      <c r="I144" s="218"/>
      <c r="J144" s="219"/>
    </row>
    <row r="145" spans="2:10" ht="20.25" x14ac:dyDescent="0.3">
      <c r="B145" s="65" t="s">
        <v>1</v>
      </c>
      <c r="C145" s="31" t="s">
        <v>23</v>
      </c>
      <c r="D145" s="31" t="s">
        <v>24</v>
      </c>
      <c r="E145" s="31" t="s">
        <v>32</v>
      </c>
      <c r="F145" s="33" t="s">
        <v>26</v>
      </c>
      <c r="G145" s="33" t="s">
        <v>27</v>
      </c>
      <c r="H145" s="52" t="s">
        <v>29</v>
      </c>
      <c r="I145" s="66" t="s">
        <v>30</v>
      </c>
      <c r="J145" s="66" t="s">
        <v>31</v>
      </c>
    </row>
    <row r="146" spans="2:10" x14ac:dyDescent="0.3">
      <c r="B146" s="67">
        <v>1</v>
      </c>
      <c r="C146" s="152">
        <v>-3.8</v>
      </c>
      <c r="D146" s="151">
        <v>-3.5</v>
      </c>
      <c r="E146" s="151">
        <f>D146-G146*(C146-D146)/(F146-G146)</f>
        <v>-3.6750700280112043</v>
      </c>
      <c r="F146" s="152">
        <f t="shared" ref="F146:G148" si="30">uu(C146,2)</f>
        <v>-10.703999999999992</v>
      </c>
      <c r="G146" s="152">
        <f t="shared" si="30"/>
        <v>15</v>
      </c>
      <c r="H146" s="151">
        <f>ABS(E146-D146)</f>
        <v>0.1750700280112043</v>
      </c>
      <c r="I146" s="62" t="str">
        <f>IF(H146&lt;$C$41,"ИСТИНА","ЛОЖЬ")</f>
        <v>ЛОЖЬ</v>
      </c>
      <c r="J146" s="68" t="str">
        <f>IF(I146="ЛОЖЬ","----------",E146)</f>
        <v>----------</v>
      </c>
    </row>
    <row r="147" spans="2:10" x14ac:dyDescent="0.3">
      <c r="B147" s="69">
        <v>2</v>
      </c>
      <c r="C147" s="56">
        <v>-3.8</v>
      </c>
      <c r="D147" s="154">
        <f>E146</f>
        <v>-3.6750700280112043</v>
      </c>
      <c r="E147" s="56">
        <f>D147-G147*(C147-D147)/(F147-G147)</f>
        <v>-3.6825007346082903</v>
      </c>
      <c r="F147" s="154">
        <f t="shared" si="30"/>
        <v>-10.703999999999992</v>
      </c>
      <c r="G147" s="154">
        <f t="shared" si="30"/>
        <v>0.67692579311070133</v>
      </c>
      <c r="H147" s="56">
        <f>ABS(E147-D147)</f>
        <v>7.4307065970860009E-3</v>
      </c>
      <c r="I147" s="54" t="str">
        <f>IF(H147&lt;$C$41,"ИСТИНА","ЛОЖЬ")</f>
        <v>ЛОЖЬ</v>
      </c>
      <c r="J147" s="71" t="str">
        <f t="shared" ref="J147" si="31">IF(I147="ЛОЖЬ","----------",E147)</f>
        <v>----------</v>
      </c>
    </row>
    <row r="148" spans="2:10" x14ac:dyDescent="0.3">
      <c r="B148" s="72">
        <v>3</v>
      </c>
      <c r="C148" s="60">
        <v>-2.8</v>
      </c>
      <c r="D148" s="156">
        <f>E147</f>
        <v>-3.6825007346082903</v>
      </c>
      <c r="E148" s="60">
        <f>D148-G148*(C148-D148)/(F148-G148)</f>
        <v>-3.6829433935322817</v>
      </c>
      <c r="F148" s="156">
        <f t="shared" si="30"/>
        <v>54.536000000000008</v>
      </c>
      <c r="G148" s="156">
        <f t="shared" si="30"/>
        <v>2.7341330435943334E-2</v>
      </c>
      <c r="H148" s="60">
        <f>ABS(E148-D148)</f>
        <v>4.4265892399142359E-4</v>
      </c>
      <c r="I148" s="59" t="str">
        <f>IF(H148&lt;$C$41,"ИСТИНА","ЛОЖЬ")</f>
        <v>ИСТИНА</v>
      </c>
      <c r="J148" s="73">
        <f t="shared" ref="J148" si="32">IF(I148="ЛОЖЬ","----------",E148)</f>
        <v>-3.6829433935322817</v>
      </c>
    </row>
    <row r="150" spans="2:10" x14ac:dyDescent="0.3">
      <c r="B150" s="217" t="s">
        <v>35</v>
      </c>
      <c r="C150" s="218"/>
      <c r="D150" s="218"/>
      <c r="E150" s="218"/>
      <c r="F150" s="218"/>
      <c r="G150" s="218"/>
      <c r="H150" s="218"/>
      <c r="I150" s="219"/>
    </row>
    <row r="151" spans="2:10" ht="20.25" x14ac:dyDescent="0.3">
      <c r="B151" s="65" t="s">
        <v>1</v>
      </c>
      <c r="C151" s="31" t="s">
        <v>23</v>
      </c>
      <c r="D151" s="31" t="s">
        <v>37</v>
      </c>
      <c r="E151" s="33" t="s">
        <v>26</v>
      </c>
      <c r="F151" s="33" t="s">
        <v>38</v>
      </c>
      <c r="G151" s="52" t="s">
        <v>29</v>
      </c>
      <c r="H151" s="66" t="s">
        <v>30</v>
      </c>
      <c r="I151" s="66" t="s">
        <v>31</v>
      </c>
    </row>
    <row r="152" spans="2:10" x14ac:dyDescent="0.3">
      <c r="B152" s="67">
        <v>1</v>
      </c>
      <c r="C152" s="152">
        <v>-3.8</v>
      </c>
      <c r="D152" s="151">
        <f>C152-uu(C152, 2)/proizuu(C152,2)</f>
        <v>-3.6873737373737372</v>
      </c>
      <c r="E152" s="152">
        <f>uu(C152,2)</f>
        <v>-10.703999999999992</v>
      </c>
      <c r="F152" s="151">
        <f>proizuu(C152,2)</f>
        <v>95.039999999999992</v>
      </c>
      <c r="G152" s="151">
        <f>ABS(C152-D152)</f>
        <v>0.11262626262626263</v>
      </c>
      <c r="H152" s="62" t="str">
        <f>IF(G152&lt;$C$41,"ИСТИНА","ЛОЖЬ")</f>
        <v>ЛОЖЬ</v>
      </c>
      <c r="I152" s="68" t="str">
        <f>IF(H152="ЛОЖЬ","----------",D152)</f>
        <v>----------</v>
      </c>
    </row>
    <row r="153" spans="2:10" x14ac:dyDescent="0.3">
      <c r="B153" s="69">
        <v>2</v>
      </c>
      <c r="C153" s="154">
        <f>D152</f>
        <v>-3.6873737373737372</v>
      </c>
      <c r="D153" s="56">
        <f>C153-uu(C153, 2)/proizuu(C153,2)</f>
        <v>-3.6828199977977034</v>
      </c>
      <c r="E153" s="154">
        <f>uu(C153,1)</f>
        <v>-1.6699686737247907</v>
      </c>
      <c r="F153" s="56">
        <f>proizuu(C153,1)</f>
        <v>1.0191214168097831</v>
      </c>
      <c r="G153" s="56">
        <f>ABS(C153-D153)</f>
        <v>4.5537395760337773E-3</v>
      </c>
      <c r="H153" s="54" t="str">
        <f>IF(G153&lt;$C$41,"ИСТИНА","ЛОЖЬ")</f>
        <v>ЛОЖЬ</v>
      </c>
      <c r="I153" s="71" t="str">
        <f>IF(H153="ЛОЖЬ","----------",D153)</f>
        <v>----------</v>
      </c>
    </row>
    <row r="154" spans="2:10" x14ac:dyDescent="0.3">
      <c r="B154" s="72">
        <v>3</v>
      </c>
      <c r="C154" s="156">
        <f>D153</f>
        <v>-3.6828199977977034</v>
      </c>
      <c r="D154" s="60">
        <f>C154-uu(C154, 2)/proizuu(C154,2)</f>
        <v>-3.682812638127448</v>
      </c>
      <c r="E154" s="156">
        <f>uu(C154,1)</f>
        <v>-1.6653276420260774</v>
      </c>
      <c r="F154" s="60">
        <f>proizuu(C154,1)</f>
        <v>1.0192173170084629</v>
      </c>
      <c r="G154" s="60">
        <f>ABS(C154-D154)</f>
        <v>7.3596702554468152E-6</v>
      </c>
      <c r="H154" s="59" t="str">
        <f>IF(G154&lt;$C$41,"ИСТИНА","ЛОЖЬ")</f>
        <v>ИСТИНА</v>
      </c>
      <c r="I154" s="73">
        <f>IF(H154="ЛОЖЬ","----------",D154)</f>
        <v>-3.682812638127448</v>
      </c>
    </row>
    <row r="156" spans="2:10" x14ac:dyDescent="0.3">
      <c r="B156" s="53" t="s">
        <v>19</v>
      </c>
      <c r="C156" s="53">
        <f>_xlfn.CEILING.MATH(MAX(uu(-3.8,2),uu(-3.5,2))+1)</f>
        <v>16</v>
      </c>
      <c r="D156" s="53"/>
      <c r="E156" s="53"/>
      <c r="F156" s="53"/>
      <c r="G156" s="53"/>
      <c r="H156" s="53"/>
      <c r="I156" s="53"/>
    </row>
    <row r="157" spans="2:10" x14ac:dyDescent="0.3">
      <c r="B157" s="214" t="s">
        <v>22</v>
      </c>
      <c r="C157" s="215"/>
      <c r="D157" s="215"/>
      <c r="E157" s="215"/>
      <c r="F157" s="215"/>
      <c r="G157" s="215"/>
      <c r="H157" s="216"/>
      <c r="I157"/>
    </row>
    <row r="158" spans="2:10" ht="20.25" x14ac:dyDescent="0.3">
      <c r="B158" s="65" t="s">
        <v>1</v>
      </c>
      <c r="C158" s="31" t="s">
        <v>2</v>
      </c>
      <c r="D158" s="31" t="s">
        <v>33</v>
      </c>
      <c r="E158" s="33" t="s">
        <v>34</v>
      </c>
      <c r="F158" s="52" t="s">
        <v>29</v>
      </c>
      <c r="G158" s="66" t="s">
        <v>30</v>
      </c>
      <c r="H158" s="66" t="s">
        <v>31</v>
      </c>
    </row>
    <row r="159" spans="2:10" x14ac:dyDescent="0.3">
      <c r="B159" s="67">
        <v>1</v>
      </c>
      <c r="C159" s="151">
        <v>-3.8</v>
      </c>
      <c r="D159" s="152">
        <f t="shared" ref="D159:D164" si="33">E159</f>
        <v>-3.6884612121447651</v>
      </c>
      <c r="E159" s="152">
        <f t="shared" ref="E159:E164" si="34">fi(C159,$C$156,1)</f>
        <v>-3.6884612121447651</v>
      </c>
      <c r="F159" s="151">
        <f t="shared" ref="F159:F164" si="35">ABS(C159-D159)</f>
        <v>0.11153878785523474</v>
      </c>
      <c r="G159" s="62" t="str">
        <f t="shared" ref="G159:G164" si="36">IF(F159&lt;$C$41,"ИСТИНА","ЛОЖЬ")</f>
        <v>ЛОЖЬ</v>
      </c>
      <c r="H159" s="68" t="str">
        <f t="shared" ref="H159:H164" si="37">IF(G159="ЛОЖЬ","----------",E159)</f>
        <v>----------</v>
      </c>
    </row>
    <row r="160" spans="2:10" x14ac:dyDescent="0.3">
      <c r="B160" s="69">
        <v>2</v>
      </c>
      <c r="C160" s="154">
        <f>D159</f>
        <v>-3.6884612121447651</v>
      </c>
      <c r="D160" s="154">
        <f t="shared" si="33"/>
        <v>-3.584018904011161</v>
      </c>
      <c r="E160" s="56">
        <f t="shared" si="34"/>
        <v>-3.584018904011161</v>
      </c>
      <c r="F160" s="56">
        <f t="shared" si="35"/>
        <v>0.10444230813360411</v>
      </c>
      <c r="G160" s="69" t="str">
        <f t="shared" si="36"/>
        <v>ЛОЖЬ</v>
      </c>
      <c r="H160" s="71" t="str">
        <f t="shared" si="37"/>
        <v>----------</v>
      </c>
    </row>
    <row r="161" spans="2:9" x14ac:dyDescent="0.3">
      <c r="B161" s="69">
        <v>3</v>
      </c>
      <c r="C161" s="154">
        <f>D160</f>
        <v>-3.584018904011161</v>
      </c>
      <c r="D161" s="154">
        <f t="shared" si="33"/>
        <v>-3.4862363428455874</v>
      </c>
      <c r="E161" s="56">
        <f t="shared" si="34"/>
        <v>-3.4862363428455874</v>
      </c>
      <c r="F161" s="56">
        <f t="shared" si="35"/>
        <v>9.77825611655736E-2</v>
      </c>
      <c r="G161" s="69" t="str">
        <f t="shared" si="36"/>
        <v>ЛОЖЬ</v>
      </c>
      <c r="H161" s="71" t="str">
        <f t="shared" si="37"/>
        <v>----------</v>
      </c>
    </row>
    <row r="162" spans="2:9" x14ac:dyDescent="0.3">
      <c r="B162" s="69">
        <v>4</v>
      </c>
      <c r="C162" s="154">
        <f>D161</f>
        <v>-3.4862363428455874</v>
      </c>
      <c r="D162" s="154">
        <f t="shared" si="33"/>
        <v>-3.3947033924255545</v>
      </c>
      <c r="E162" s="56">
        <f t="shared" si="34"/>
        <v>-3.3947033924255545</v>
      </c>
      <c r="F162" s="56">
        <f t="shared" si="35"/>
        <v>9.1532950420032844E-2</v>
      </c>
      <c r="G162" s="69" t="str">
        <f t="shared" si="36"/>
        <v>ЛОЖЬ</v>
      </c>
      <c r="H162" s="71" t="str">
        <f t="shared" si="37"/>
        <v>----------</v>
      </c>
    </row>
    <row r="163" spans="2:9" x14ac:dyDescent="0.3">
      <c r="B163" s="69">
        <v>5</v>
      </c>
      <c r="C163" s="154">
        <f>D162</f>
        <v>-3.3947033924255545</v>
      </c>
      <c r="D163" s="154">
        <f t="shared" si="33"/>
        <v>-3.3090347883196514</v>
      </c>
      <c r="E163" s="56">
        <f t="shared" si="34"/>
        <v>-3.3090347883196514</v>
      </c>
      <c r="F163" s="56">
        <f t="shared" si="35"/>
        <v>8.5668604105903157E-2</v>
      </c>
      <c r="G163" s="69" t="str">
        <f t="shared" si="36"/>
        <v>ЛОЖЬ</v>
      </c>
      <c r="H163" s="71" t="str">
        <f t="shared" si="37"/>
        <v>----------</v>
      </c>
    </row>
    <row r="164" spans="2:9" x14ac:dyDescent="0.3">
      <c r="B164" s="69">
        <v>6</v>
      </c>
      <c r="C164" s="154">
        <f>D163</f>
        <v>-3.3090347883196514</v>
      </c>
      <c r="D164" s="164">
        <f t="shared" si="33"/>
        <v>-3.2288685390300156</v>
      </c>
      <c r="E164" s="56">
        <f t="shared" si="34"/>
        <v>-3.2288685390300156</v>
      </c>
      <c r="F164" s="56">
        <f t="shared" si="35"/>
        <v>8.0166249289635783E-2</v>
      </c>
      <c r="G164" s="69" t="str">
        <f t="shared" si="36"/>
        <v>ЛОЖЬ</v>
      </c>
      <c r="H164" s="71" t="str">
        <f t="shared" si="37"/>
        <v>----------</v>
      </c>
    </row>
    <row r="165" spans="2:9" x14ac:dyDescent="0.3">
      <c r="B165" s="69">
        <v>7</v>
      </c>
      <c r="C165" s="154">
        <f t="shared" ref="C165:C168" si="38">D164</f>
        <v>-3.2288685390300156</v>
      </c>
      <c r="D165" s="164">
        <f t="shared" ref="D165:D168" si="39">E165</f>
        <v>-3.1538644447760698</v>
      </c>
      <c r="E165" s="56">
        <f t="shared" ref="E165:E168" si="40">fi(C165,$C$156,1)</f>
        <v>-3.1538644447760698</v>
      </c>
      <c r="F165" s="56">
        <f t="shared" ref="F165:F168" si="41">ABS(C165-D165)</f>
        <v>7.500409425394583E-2</v>
      </c>
      <c r="G165" s="69" t="str">
        <f t="shared" ref="G165:G168" si="42">IF(F165&lt;$C$41,"ИСТИНА","ЛОЖЬ")</f>
        <v>ЛОЖЬ</v>
      </c>
      <c r="H165" s="71" t="str">
        <f t="shared" ref="H165:H168" si="43">IF(G165="ЛОЖЬ","----------",E165)</f>
        <v>----------</v>
      </c>
      <c r="I165"/>
    </row>
    <row r="166" spans="2:9" x14ac:dyDescent="0.3">
      <c r="B166" s="69">
        <v>8</v>
      </c>
      <c r="C166" s="154">
        <f t="shared" si="38"/>
        <v>-3.1538644447760698</v>
      </c>
      <c r="D166" s="164">
        <f t="shared" si="39"/>
        <v>-3.0837027256461531</v>
      </c>
      <c r="E166" s="56">
        <f t="shared" si="40"/>
        <v>-3.0837027256461531</v>
      </c>
      <c r="F166" s="56">
        <f t="shared" si="41"/>
        <v>7.0161719129916644E-2</v>
      </c>
      <c r="G166" s="69" t="str">
        <f t="shared" si="42"/>
        <v>ЛОЖЬ</v>
      </c>
      <c r="H166" s="71" t="str">
        <f t="shared" si="43"/>
        <v>----------</v>
      </c>
      <c r="I166"/>
    </row>
    <row r="167" spans="2:9" x14ac:dyDescent="0.3">
      <c r="B167" s="69">
        <v>9</v>
      </c>
      <c r="C167" s="154">
        <f t="shared" si="38"/>
        <v>-3.0837027256461531</v>
      </c>
      <c r="D167" s="164">
        <f t="shared" si="39"/>
        <v>-3.0180827509278187</v>
      </c>
      <c r="E167" s="56">
        <f t="shared" si="40"/>
        <v>-3.0180827509278187</v>
      </c>
      <c r="F167" s="56">
        <f t="shared" si="41"/>
        <v>6.5619974718334362E-2</v>
      </c>
      <c r="G167" s="69" t="str">
        <f t="shared" si="42"/>
        <v>ЛОЖЬ</v>
      </c>
      <c r="H167" s="71" t="str">
        <f t="shared" si="43"/>
        <v>----------</v>
      </c>
      <c r="I167"/>
    </row>
    <row r="168" spans="2:9" x14ac:dyDescent="0.3">
      <c r="B168" s="69">
        <v>10</v>
      </c>
      <c r="C168" s="154">
        <f t="shared" si="38"/>
        <v>-3.0180827509278187</v>
      </c>
      <c r="D168" s="164">
        <f t="shared" si="39"/>
        <v>-2.9567218616221851</v>
      </c>
      <c r="E168" s="56">
        <f t="shared" si="40"/>
        <v>-2.9567218616221851</v>
      </c>
      <c r="F168" s="56">
        <f t="shared" si="41"/>
        <v>6.1360889305633659E-2</v>
      </c>
      <c r="G168" s="69" t="str">
        <f t="shared" si="42"/>
        <v>ЛОЖЬ</v>
      </c>
      <c r="H168" s="71" t="str">
        <f t="shared" si="43"/>
        <v>----------</v>
      </c>
      <c r="I168"/>
    </row>
    <row r="169" spans="2:9" x14ac:dyDescent="0.3">
      <c r="B169"/>
      <c r="C169"/>
      <c r="D169"/>
      <c r="E169"/>
      <c r="F169"/>
      <c r="G169"/>
      <c r="H169"/>
      <c r="I169"/>
    </row>
  </sheetData>
  <mergeCells count="10">
    <mergeCell ref="B157:H157"/>
    <mergeCell ref="B43:N43"/>
    <mergeCell ref="B48:K48"/>
    <mergeCell ref="B144:J144"/>
    <mergeCell ref="B126:N126"/>
    <mergeCell ref="B150:I150"/>
    <mergeCell ref="B78:I78"/>
    <mergeCell ref="B61:J61"/>
    <mergeCell ref="B68:I68"/>
    <mergeCell ref="B131:K131"/>
  </mergeCells>
  <pageMargins left="0.7" right="0.7" top="0.75" bottom="0.75" header="0.3" footer="0.3"/>
  <pageSetup paperSize="9" orientation="portrait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rgb="FFCCFFCC"/>
  </sheetPr>
  <dimension ref="B12:W182"/>
  <sheetViews>
    <sheetView topLeftCell="A52" zoomScale="70" zoomScaleNormal="70" workbookViewId="0">
      <selection activeCell="B18" sqref="B18:X58"/>
    </sheetView>
  </sheetViews>
  <sheetFormatPr defaultRowHeight="18.75" x14ac:dyDescent="0.25"/>
  <cols>
    <col min="1" max="1" width="9.140625" style="28"/>
    <col min="2" max="2" width="10.85546875" style="28" customWidth="1"/>
    <col min="3" max="3" width="9.140625" style="28"/>
    <col min="4" max="5" width="10.28515625" style="28" bestFit="1" customWidth="1"/>
    <col min="6" max="6" width="11.28515625" style="28" bestFit="1" customWidth="1"/>
    <col min="7" max="7" width="13.28515625" style="28" customWidth="1"/>
    <col min="8" max="8" width="10.140625" style="28" bestFit="1" customWidth="1"/>
    <col min="9" max="12" width="9.140625" style="28"/>
    <col min="13" max="13" width="12.85546875" style="28" customWidth="1"/>
    <col min="14" max="14" width="10" style="28" bestFit="1" customWidth="1"/>
    <col min="15" max="16384" width="9.140625" style="28"/>
  </cols>
  <sheetData>
    <row r="12" spans="2:12" x14ac:dyDescent="0.25">
      <c r="B12" s="221" t="s">
        <v>155</v>
      </c>
      <c r="C12" s="221"/>
      <c r="D12" s="221"/>
      <c r="E12" s="221"/>
      <c r="F12" s="221"/>
      <c r="G12" s="221"/>
      <c r="H12" s="221"/>
      <c r="I12" s="221"/>
      <c r="J12" s="221"/>
      <c r="K12" s="221"/>
      <c r="L12" s="221"/>
    </row>
    <row r="13" spans="2:12" x14ac:dyDescent="0.25"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</row>
    <row r="14" spans="2:12" x14ac:dyDescent="0.25">
      <c r="B14" s="221"/>
      <c r="C14" s="221"/>
      <c r="D14" s="221"/>
      <c r="E14" s="221"/>
      <c r="F14" s="221"/>
      <c r="G14" s="221"/>
      <c r="H14" s="221"/>
      <c r="I14" s="221"/>
      <c r="J14" s="221"/>
      <c r="K14" s="221"/>
      <c r="L14" s="221"/>
    </row>
    <row r="15" spans="2:12" x14ac:dyDescent="0.25">
      <c r="B15" s="221"/>
      <c r="C15" s="221"/>
      <c r="D15" s="221"/>
      <c r="E15" s="221"/>
      <c r="F15" s="221"/>
      <c r="G15" s="221"/>
      <c r="H15" s="221"/>
      <c r="I15" s="221"/>
      <c r="J15" s="221"/>
      <c r="K15" s="221"/>
      <c r="L15" s="221"/>
    </row>
    <row r="16" spans="2:12" x14ac:dyDescent="0.25">
      <c r="B16" s="221"/>
      <c r="C16" s="221"/>
      <c r="D16" s="221"/>
      <c r="E16" s="221"/>
      <c r="F16" s="221"/>
      <c r="G16" s="221"/>
      <c r="H16" s="221"/>
      <c r="I16" s="221"/>
      <c r="J16" s="221"/>
      <c r="K16" s="221"/>
      <c r="L16" s="221"/>
    </row>
    <row r="18" spans="2:15" x14ac:dyDescent="0.25">
      <c r="B18" s="31" t="s">
        <v>2</v>
      </c>
      <c r="C18" s="30">
        <v>2</v>
      </c>
      <c r="D18" s="30">
        <v>2.5</v>
      </c>
      <c r="E18" s="30">
        <v>3</v>
      </c>
      <c r="F18" s="30">
        <v>3.5</v>
      </c>
      <c r="G18" s="30">
        <v>4</v>
      </c>
      <c r="I18" s="48" t="s">
        <v>9</v>
      </c>
      <c r="J18" s="51">
        <v>4</v>
      </c>
    </row>
    <row r="19" spans="2:15" x14ac:dyDescent="0.25">
      <c r="B19" s="52" t="s">
        <v>45</v>
      </c>
      <c r="C19" s="30">
        <v>-0.5</v>
      </c>
      <c r="D19" s="30">
        <v>1</v>
      </c>
      <c r="E19" s="30">
        <v>0.3</v>
      </c>
      <c r="F19" s="30">
        <v>0.7</v>
      </c>
      <c r="G19" s="30">
        <v>2</v>
      </c>
    </row>
    <row r="22" spans="2:15" x14ac:dyDescent="0.25">
      <c r="M22" s="166" t="s">
        <v>92</v>
      </c>
      <c r="N22" s="165" t="s">
        <v>144</v>
      </c>
    </row>
    <row r="23" spans="2:15" ht="20.25" x14ac:dyDescent="0.25">
      <c r="C23" s="30">
        <v>1</v>
      </c>
      <c r="D23" s="30">
        <f>C18</f>
        <v>2</v>
      </c>
      <c r="E23" s="30">
        <f>C18*C18</f>
        <v>4</v>
      </c>
      <c r="F23" s="30">
        <f>C18^3</f>
        <v>8</v>
      </c>
      <c r="G23" s="30">
        <f>C18^4</f>
        <v>16</v>
      </c>
      <c r="J23" s="30">
        <f>C19</f>
        <v>-0.5</v>
      </c>
      <c r="M23" s="152">
        <f t="array" ref="M23:M27">MMULT(MINVERSE(C23:G27),J23:J27)</f>
        <v>-216.99999999999972</v>
      </c>
      <c r="N23" s="62">
        <f>kramer($C$23:$G$27,$J$23:$J$27,1)</f>
        <v>-216.9999999999946</v>
      </c>
      <c r="O23" s="28" t="s">
        <v>46</v>
      </c>
    </row>
    <row r="24" spans="2:15" ht="18" customHeight="1" x14ac:dyDescent="0.25">
      <c r="C24" s="30">
        <v>1</v>
      </c>
      <c r="D24" s="30">
        <f>D18</f>
        <v>2.5</v>
      </c>
      <c r="E24" s="30">
        <f>D18*D18</f>
        <v>6.25</v>
      </c>
      <c r="F24" s="30">
        <f>D18^3</f>
        <v>15.625</v>
      </c>
      <c r="G24" s="30">
        <f>D18^4</f>
        <v>39.0625</v>
      </c>
      <c r="J24" s="30">
        <f>D19</f>
        <v>1</v>
      </c>
      <c r="M24" s="56">
        <v>290.28333333333319</v>
      </c>
      <c r="N24" s="54">
        <f>kramer($C$23:$G$27,$J$23:$J$27,2)</f>
        <v>290.28333333333802</v>
      </c>
      <c r="O24" s="28" t="s">
        <v>47</v>
      </c>
    </row>
    <row r="25" spans="2:15" ht="20.25" x14ac:dyDescent="0.25">
      <c r="B25" s="33" t="s">
        <v>48</v>
      </c>
      <c r="C25" s="30">
        <v>1</v>
      </c>
      <c r="D25" s="30">
        <f>E18</f>
        <v>3</v>
      </c>
      <c r="E25" s="30">
        <f>E18*E18</f>
        <v>9</v>
      </c>
      <c r="F25" s="30">
        <f>E18^3</f>
        <v>27</v>
      </c>
      <c r="G25" s="30">
        <f>E18^4</f>
        <v>81</v>
      </c>
      <c r="I25" s="33" t="s">
        <v>49</v>
      </c>
      <c r="J25" s="30">
        <f>E19</f>
        <v>0.3</v>
      </c>
      <c r="L25" s="49" t="s">
        <v>50</v>
      </c>
      <c r="M25" s="56">
        <v>-141.81666666666666</v>
      </c>
      <c r="N25" s="54">
        <f>kramer($C$23:$G$27,$J$23:$J$27,3)</f>
        <v>-141.81666666666626</v>
      </c>
      <c r="O25" s="28" t="s">
        <v>51</v>
      </c>
    </row>
    <row r="26" spans="2:15" ht="18.75" customHeight="1" x14ac:dyDescent="0.25">
      <c r="C26" s="30">
        <v>1</v>
      </c>
      <c r="D26" s="30">
        <f>F18</f>
        <v>3.5</v>
      </c>
      <c r="E26" s="30">
        <f>F18*F18</f>
        <v>12.25</v>
      </c>
      <c r="F26" s="30">
        <f>F18^3</f>
        <v>42.875</v>
      </c>
      <c r="G26" s="30">
        <f>F18^4</f>
        <v>150.0625</v>
      </c>
      <c r="J26" s="30">
        <f>F19</f>
        <v>0.7</v>
      </c>
      <c r="M26" s="56">
        <v>30.06666666666667</v>
      </c>
      <c r="N26" s="54">
        <f>kramer($C$23:$G$27,$J$23:$J$27,4)</f>
        <v>30.066666666666681</v>
      </c>
      <c r="O26" s="28" t="s">
        <v>52</v>
      </c>
    </row>
    <row r="27" spans="2:15" ht="19.5" customHeight="1" x14ac:dyDescent="0.25">
      <c r="C27" s="30">
        <v>1</v>
      </c>
      <c r="D27" s="30">
        <f>G18</f>
        <v>4</v>
      </c>
      <c r="E27" s="30">
        <f>G18*G18</f>
        <v>16</v>
      </c>
      <c r="F27" s="30">
        <f>G18^3</f>
        <v>64</v>
      </c>
      <c r="G27" s="30">
        <f>G18^4</f>
        <v>256</v>
      </c>
      <c r="J27" s="30">
        <f>G19</f>
        <v>2</v>
      </c>
      <c r="M27" s="60">
        <v>-2.333333333333333</v>
      </c>
      <c r="N27" s="59">
        <f>kramer($C$23:$G$27,$J$23:$J$27,5)</f>
        <v>-2.3333333333333344</v>
      </c>
      <c r="O27" s="28" t="s">
        <v>53</v>
      </c>
    </row>
    <row r="30" spans="2:15" ht="37.5" customHeight="1" x14ac:dyDescent="0.25">
      <c r="E30" s="222" t="s">
        <v>54</v>
      </c>
      <c r="F30"/>
      <c r="G30"/>
      <c r="H30"/>
    </row>
    <row r="31" spans="2:15" x14ac:dyDescent="0.25">
      <c r="E31" s="223"/>
      <c r="F31"/>
      <c r="G31"/>
      <c r="H31"/>
    </row>
    <row r="32" spans="2:15" x14ac:dyDescent="0.25">
      <c r="B32" s="31" t="s">
        <v>55</v>
      </c>
      <c r="C32" s="31">
        <v>2.1</v>
      </c>
      <c r="D32" s="40" t="s">
        <v>56</v>
      </c>
      <c r="E32" s="41">
        <f>M23+M24*C32+M25*C32^2+M26*C32^3+M27*C32^4</f>
        <v>0.25200000000000244</v>
      </c>
      <c r="F32"/>
      <c r="G32"/>
      <c r="H32"/>
    </row>
    <row r="34" spans="2:20" x14ac:dyDescent="0.25">
      <c r="B34" s="31" t="s">
        <v>2</v>
      </c>
      <c r="C34" s="32" t="s">
        <v>45</v>
      </c>
      <c r="D34" s="31" t="s">
        <v>2</v>
      </c>
      <c r="E34" s="52" t="s">
        <v>45</v>
      </c>
    </row>
    <row r="35" spans="2:20" x14ac:dyDescent="0.25">
      <c r="B35" s="54">
        <v>1.9</v>
      </c>
      <c r="C35" s="55">
        <f t="shared" ref="C35:C57" si="0">$M$23+B35*$M$24+B35^2*$M$25+B35^3*$M$26+B35^4*$M$27</f>
        <v>-1.6007999999999356</v>
      </c>
      <c r="D35" s="54">
        <v>2</v>
      </c>
      <c r="E35" s="56">
        <f t="shared" ref="E35:E44" si="1">$M$23+$M$24*D35+$M$25*D35^2+$M$26*D35^3+$M$27*D35^4</f>
        <v>-0.49999999999995737</v>
      </c>
    </row>
    <row r="36" spans="2:20" x14ac:dyDescent="0.25">
      <c r="B36" s="57">
        <v>2</v>
      </c>
      <c r="C36" s="58">
        <f t="shared" si="0"/>
        <v>-0.49999999999995737</v>
      </c>
      <c r="D36" s="54">
        <v>2.25</v>
      </c>
      <c r="E36" s="56">
        <f t="shared" si="1"/>
        <v>0.86796875000005258</v>
      </c>
    </row>
    <row r="37" spans="2:20" x14ac:dyDescent="0.25">
      <c r="B37" s="54">
        <v>2.1</v>
      </c>
      <c r="C37" s="55">
        <f t="shared" si="0"/>
        <v>0.25200000000000244</v>
      </c>
      <c r="D37" s="54">
        <v>2.5</v>
      </c>
      <c r="E37" s="56">
        <f t="shared" si="1"/>
        <v>1.0000000000000995</v>
      </c>
    </row>
    <row r="38" spans="2:20" x14ac:dyDescent="0.25">
      <c r="B38" s="54">
        <v>2.2000000000000002</v>
      </c>
      <c r="C38" s="55">
        <f t="shared" si="0"/>
        <v>0.72080000000011779</v>
      </c>
      <c r="D38" s="54">
        <v>2.75</v>
      </c>
      <c r="E38" s="56">
        <f t="shared" si="1"/>
        <v>0.63671874999994316</v>
      </c>
    </row>
    <row r="39" spans="2:20" x14ac:dyDescent="0.25">
      <c r="B39" s="54">
        <v>2.2999999999999998</v>
      </c>
      <c r="C39" s="55">
        <f t="shared" si="0"/>
        <v>0.96640000000002146</v>
      </c>
      <c r="D39" s="54">
        <v>3</v>
      </c>
      <c r="E39" s="56">
        <f t="shared" si="1"/>
        <v>0.30000000000009663</v>
      </c>
    </row>
    <row r="40" spans="2:20" x14ac:dyDescent="0.25">
      <c r="B40" s="54">
        <v>2.4</v>
      </c>
      <c r="C40" s="55">
        <f t="shared" si="0"/>
        <v>1.0432000000000272</v>
      </c>
      <c r="D40" s="54">
        <v>3.25</v>
      </c>
      <c r="E40" s="56">
        <f t="shared" si="1"/>
        <v>0.29296874999994316</v>
      </c>
    </row>
    <row r="41" spans="2:20" ht="18.75" customHeight="1" x14ac:dyDescent="0.3">
      <c r="B41" s="57">
        <v>2.5</v>
      </c>
      <c r="C41" s="58">
        <f t="shared" si="0"/>
        <v>1.0000000000000995</v>
      </c>
      <c r="D41" s="54">
        <v>3.5</v>
      </c>
      <c r="E41" s="56">
        <f t="shared" si="1"/>
        <v>0.69999999999998863</v>
      </c>
      <c r="F41" s="53"/>
      <c r="G41" s="53"/>
      <c r="H41" s="53"/>
      <c r="I41" s="53"/>
      <c r="J41" s="53"/>
      <c r="K41" s="53"/>
      <c r="L41" s="53"/>
      <c r="T41" s="40"/>
    </row>
    <row r="42" spans="2:20" x14ac:dyDescent="0.3">
      <c r="B42" s="54">
        <v>2.6</v>
      </c>
      <c r="C42" s="55">
        <f t="shared" si="0"/>
        <v>0.88000000000013756</v>
      </c>
      <c r="D42" s="54">
        <v>3.75</v>
      </c>
      <c r="E42" s="56">
        <f t="shared" si="1"/>
        <v>1.3867187500000568</v>
      </c>
      <c r="F42" s="53"/>
      <c r="G42" s="53"/>
      <c r="H42" s="53"/>
      <c r="I42" s="53"/>
      <c r="J42" s="53"/>
      <c r="K42" s="53"/>
      <c r="L42" s="53"/>
    </row>
    <row r="43" spans="2:20" x14ac:dyDescent="0.3">
      <c r="B43" s="54">
        <v>2.7</v>
      </c>
      <c r="C43" s="55">
        <f t="shared" si="0"/>
        <v>0.7207999999998691</v>
      </c>
      <c r="D43" s="54">
        <v>4</v>
      </c>
      <c r="E43" s="56">
        <f t="shared" si="1"/>
        <v>2</v>
      </c>
      <c r="F43" s="53"/>
      <c r="G43" s="53"/>
      <c r="H43" s="53"/>
      <c r="I43" s="53"/>
      <c r="J43" s="53"/>
      <c r="K43" s="53"/>
      <c r="L43" s="53"/>
    </row>
    <row r="44" spans="2:20" x14ac:dyDescent="0.3">
      <c r="B44" s="54">
        <v>2.8</v>
      </c>
      <c r="C44" s="55">
        <f t="shared" si="0"/>
        <v>0.55439999999987322</v>
      </c>
      <c r="D44" s="59">
        <v>4.25</v>
      </c>
      <c r="E44" s="60">
        <f t="shared" si="1"/>
        <v>1.9679687500001819</v>
      </c>
      <c r="F44" s="53"/>
      <c r="G44" s="53"/>
      <c r="H44" s="53"/>
      <c r="I44" s="53"/>
      <c r="J44" s="53"/>
      <c r="K44" s="53"/>
      <c r="L44" s="53"/>
    </row>
    <row r="45" spans="2:20" x14ac:dyDescent="0.3">
      <c r="B45" s="54">
        <v>2.9</v>
      </c>
      <c r="C45" s="55">
        <f t="shared" si="0"/>
        <v>0.40720000000004575</v>
      </c>
      <c r="D45" s="53"/>
      <c r="E45" s="53"/>
      <c r="F45" s="53"/>
      <c r="G45" s="53"/>
      <c r="H45" s="53"/>
      <c r="I45" s="53"/>
      <c r="J45" s="53"/>
      <c r="K45" s="53"/>
      <c r="L45" s="53"/>
    </row>
    <row r="46" spans="2:20" x14ac:dyDescent="0.3">
      <c r="B46" s="57">
        <v>3</v>
      </c>
      <c r="C46" s="58">
        <f t="shared" si="0"/>
        <v>0.30000000000009663</v>
      </c>
      <c r="D46" s="53"/>
      <c r="E46" s="53"/>
      <c r="F46" s="53"/>
      <c r="G46" s="53"/>
      <c r="H46" s="53"/>
      <c r="I46" s="53"/>
      <c r="J46" s="53"/>
      <c r="K46" s="53"/>
      <c r="L46" s="53"/>
    </row>
    <row r="47" spans="2:20" x14ac:dyDescent="0.3">
      <c r="B47" s="54">
        <v>3.1</v>
      </c>
      <c r="C47" s="55">
        <f t="shared" si="0"/>
        <v>0.24799999999970623</v>
      </c>
      <c r="D47" s="53"/>
      <c r="E47" s="53"/>
      <c r="F47" s="53"/>
      <c r="G47" s="53"/>
      <c r="H47" s="53"/>
      <c r="I47" s="53"/>
      <c r="J47" s="53"/>
      <c r="K47" s="53"/>
      <c r="L47" s="53"/>
    </row>
    <row r="48" spans="2:20" x14ac:dyDescent="0.3">
      <c r="B48" s="54">
        <v>3.2</v>
      </c>
      <c r="C48" s="55">
        <f t="shared" si="0"/>
        <v>0.2607999999999322</v>
      </c>
      <c r="D48" s="53"/>
      <c r="E48" s="53"/>
      <c r="F48" s="53"/>
      <c r="G48" s="53"/>
      <c r="H48" s="53"/>
      <c r="I48" s="53"/>
      <c r="J48" s="53"/>
      <c r="K48" s="53"/>
      <c r="L48" s="53"/>
    </row>
    <row r="49" spans="2:12" x14ac:dyDescent="0.3">
      <c r="B49" s="54">
        <v>3.3</v>
      </c>
      <c r="C49" s="55">
        <f t="shared" si="0"/>
        <v>0.34240000000028203</v>
      </c>
      <c r="D49" s="53"/>
      <c r="E49" s="53"/>
      <c r="F49" s="53"/>
      <c r="G49" s="53"/>
      <c r="H49" s="53"/>
      <c r="I49" s="53"/>
      <c r="J49" s="53"/>
      <c r="K49" s="53"/>
      <c r="L49" s="53"/>
    </row>
    <row r="50" spans="2:12" x14ac:dyDescent="0.3">
      <c r="B50" s="54">
        <v>3.4</v>
      </c>
      <c r="C50" s="55">
        <f t="shared" si="0"/>
        <v>0.49120000000016262</v>
      </c>
      <c r="D50" s="53"/>
      <c r="E50" s="53"/>
      <c r="F50" s="53"/>
      <c r="G50" s="53"/>
      <c r="H50" s="53"/>
      <c r="I50" s="53"/>
      <c r="J50" s="53"/>
      <c r="K50" s="53"/>
      <c r="L50" s="53"/>
    </row>
    <row r="51" spans="2:12" x14ac:dyDescent="0.3">
      <c r="B51" s="57">
        <v>3.5</v>
      </c>
      <c r="C51" s="58">
        <f t="shared" si="0"/>
        <v>0.69999999999998863</v>
      </c>
      <c r="D51" s="53"/>
      <c r="E51" s="53"/>
      <c r="F51" s="53"/>
      <c r="G51" s="53"/>
      <c r="H51" s="53"/>
      <c r="I51" s="53"/>
      <c r="J51" s="53"/>
      <c r="K51" s="53"/>
      <c r="L51" s="53"/>
    </row>
    <row r="52" spans="2:12" x14ac:dyDescent="0.3">
      <c r="B52" s="54">
        <v>3.6</v>
      </c>
      <c r="C52" s="55">
        <f t="shared" si="0"/>
        <v>0.95600000000007412</v>
      </c>
      <c r="D52" s="53"/>
      <c r="E52" s="53"/>
      <c r="F52" s="53"/>
      <c r="G52" s="53"/>
      <c r="H52" s="53"/>
      <c r="I52" s="53"/>
      <c r="J52" s="53"/>
      <c r="K52" s="53"/>
      <c r="L52" s="53"/>
    </row>
    <row r="53" spans="2:12" x14ac:dyDescent="0.3">
      <c r="B53" s="54">
        <v>3.7</v>
      </c>
      <c r="C53" s="55">
        <f t="shared" si="0"/>
        <v>1.2408000000002062</v>
      </c>
      <c r="D53" s="53"/>
      <c r="E53" s="53"/>
      <c r="F53" s="53"/>
      <c r="G53" s="53"/>
      <c r="H53" s="53"/>
      <c r="I53" s="53"/>
      <c r="J53" s="53"/>
      <c r="K53" s="53"/>
      <c r="L53" s="53"/>
    </row>
    <row r="54" spans="2:12" x14ac:dyDescent="0.3">
      <c r="B54" s="54">
        <v>3.8</v>
      </c>
      <c r="C54" s="55">
        <f t="shared" si="0"/>
        <v>1.5303999999998723</v>
      </c>
      <c r="D54" s="53"/>
      <c r="E54" s="53"/>
      <c r="F54" s="53"/>
      <c r="G54" s="53"/>
      <c r="H54" s="53"/>
      <c r="I54" s="53"/>
      <c r="J54" s="53"/>
      <c r="K54" s="53"/>
      <c r="L54" s="53"/>
    </row>
    <row r="55" spans="2:12" x14ac:dyDescent="0.3">
      <c r="B55" s="54">
        <v>3.9</v>
      </c>
      <c r="C55" s="55">
        <f t="shared" si="0"/>
        <v>1.7952000000000226</v>
      </c>
      <c r="D55" s="53"/>
      <c r="E55" s="53"/>
      <c r="F55" s="53"/>
      <c r="G55" s="53"/>
      <c r="H55" s="53"/>
      <c r="I55" s="53"/>
      <c r="J55" s="53"/>
      <c r="K55" s="53"/>
      <c r="L55" s="53"/>
    </row>
    <row r="56" spans="2:12" x14ac:dyDescent="0.3">
      <c r="B56" s="57">
        <v>4</v>
      </c>
      <c r="C56" s="58">
        <f t="shared" si="0"/>
        <v>2</v>
      </c>
      <c r="D56" s="53"/>
      <c r="E56" s="53"/>
      <c r="F56" s="53"/>
      <c r="G56" s="53"/>
      <c r="H56" s="53"/>
      <c r="I56" s="53"/>
      <c r="J56" s="53"/>
      <c r="K56" s="53"/>
      <c r="L56" s="53"/>
    </row>
    <row r="57" spans="2:12" x14ac:dyDescent="0.3">
      <c r="B57" s="59">
        <v>4.0999999999999996</v>
      </c>
      <c r="C57" s="61">
        <f t="shared" si="0"/>
        <v>2.1040000000001555</v>
      </c>
      <c r="D57" s="53"/>
      <c r="E57" s="53"/>
      <c r="F57" s="53"/>
      <c r="G57" s="53"/>
      <c r="H57" s="53"/>
      <c r="I57" s="53"/>
      <c r="J57" s="53"/>
      <c r="K57" s="53"/>
      <c r="L57" s="53"/>
    </row>
    <row r="63" spans="2:12" ht="33" customHeight="1" x14ac:dyDescent="0.25">
      <c r="B63" s="221" t="s">
        <v>57</v>
      </c>
      <c r="C63" s="221"/>
      <c r="D63" s="221"/>
      <c r="E63" s="221"/>
      <c r="F63" s="221"/>
      <c r="G63" s="221"/>
      <c r="H63" s="221"/>
      <c r="I63" s="221"/>
      <c r="J63" s="221"/>
      <c r="K63" s="221"/>
      <c r="L63" s="221"/>
    </row>
    <row r="64" spans="2:12" ht="33" customHeight="1" x14ac:dyDescent="0.25">
      <c r="B64" s="221"/>
      <c r="C64" s="221"/>
      <c r="D64" s="221"/>
      <c r="E64" s="221"/>
      <c r="F64" s="221"/>
      <c r="G64" s="221"/>
      <c r="H64" s="221"/>
      <c r="I64" s="221"/>
      <c r="J64" s="221"/>
      <c r="K64" s="221"/>
      <c r="L64" s="221"/>
    </row>
    <row r="65" spans="2:12" ht="33" customHeight="1" x14ac:dyDescent="0.25">
      <c r="B65" s="221"/>
      <c r="C65" s="221"/>
      <c r="D65" s="221"/>
      <c r="E65" s="221"/>
      <c r="F65" s="221"/>
      <c r="G65" s="221"/>
      <c r="H65" s="221"/>
      <c r="I65" s="221"/>
      <c r="J65" s="221"/>
      <c r="K65" s="221"/>
      <c r="L65" s="221"/>
    </row>
    <row r="66" spans="2:12" ht="33" customHeight="1" x14ac:dyDescent="0.25">
      <c r="B66" s="221"/>
      <c r="C66" s="221"/>
      <c r="D66" s="221"/>
      <c r="E66" s="221"/>
      <c r="F66" s="221"/>
      <c r="G66" s="221"/>
      <c r="H66" s="221"/>
      <c r="I66" s="221"/>
      <c r="J66" s="221"/>
      <c r="K66" s="221"/>
      <c r="L66" s="221"/>
    </row>
    <row r="67" spans="2:12" ht="33" customHeight="1" x14ac:dyDescent="0.25"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</row>
    <row r="68" spans="2:12" x14ac:dyDescent="0.3"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</row>
    <row r="69" spans="2:12" x14ac:dyDescent="0.3"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</row>
    <row r="70" spans="2:12" ht="20.25" x14ac:dyDescent="0.25">
      <c r="B70" s="52" t="s">
        <v>1</v>
      </c>
      <c r="C70" s="31" t="s">
        <v>2</v>
      </c>
      <c r="D70" s="33" t="s">
        <v>45</v>
      </c>
      <c r="E70" s="28" t="s">
        <v>58</v>
      </c>
      <c r="F70" s="30" t="s">
        <v>59</v>
      </c>
      <c r="G70" s="31" t="s">
        <v>60</v>
      </c>
      <c r="H70" s="31" t="s">
        <v>61</v>
      </c>
      <c r="I70" s="31" t="s">
        <v>62</v>
      </c>
      <c r="J70" s="31" t="s">
        <v>63</v>
      </c>
      <c r="K70" s="31" t="s">
        <v>64</v>
      </c>
      <c r="L70" s="33" t="s">
        <v>65</v>
      </c>
    </row>
    <row r="71" spans="2:12" ht="20.25" x14ac:dyDescent="0.25">
      <c r="B71" s="30">
        <v>0</v>
      </c>
      <c r="C71" s="30">
        <v>2</v>
      </c>
      <c r="D71" s="30">
        <v>-0.5</v>
      </c>
      <c r="F71" s="31" t="s">
        <v>66</v>
      </c>
      <c r="G71" s="30">
        <f>((C71-$C$72)*(C71-$C$73)*(C71-$C$74)*(C71-$C$75))/(($C$71-$C$72)*($C$71-$C$73)*($C$71-$C$74)*($C$71-$C$75))</f>
        <v>1</v>
      </c>
      <c r="H71" s="30">
        <f>((C71-$C$71)*(C71-$C$73)*(C71-$C$74)*(C71-$C$75))/(($C$72-$C$71)*($C$72-$C$73)*($C$72-$C$74)*($C$72-$C$75))</f>
        <v>0</v>
      </c>
      <c r="I71" s="30">
        <f>((C71-$C$71)*(C71-$C$72)*(C71-$C$74)*(C71-$C$75))/(($C$73-$C$71)*($C$73-$C$72)*($C$73-$C$74)*($C$73-$C$75))</f>
        <v>0</v>
      </c>
      <c r="J71" s="30">
        <f>((C71-$C$71)*(C71-$C$72)*(C71-$C$73)*(C71-$C$75))/(($C$74-$C$71)*($C$74-$C$72)*($C$74-$C$73)*($C$74-$C$75))</f>
        <v>0</v>
      </c>
      <c r="K71" s="30">
        <f>((C71-$C$71)*(C71-$C$72)*(C71-$C$73)*(C71-$C$74))/(($C$75-$C$71)*($C$75-$C$72)*($C$75-$C$73)*($C$75-$C$74))</f>
        <v>0</v>
      </c>
      <c r="L71" s="30">
        <f>$D$71*G71+$D$72*H71+$D$73*I71+$D$74*J71+$D$75*K71</f>
        <v>-0.5</v>
      </c>
    </row>
    <row r="72" spans="2:12" ht="20.25" x14ac:dyDescent="0.25">
      <c r="B72" s="30">
        <v>1</v>
      </c>
      <c r="C72" s="30">
        <v>2.5</v>
      </c>
      <c r="D72" s="30">
        <v>1</v>
      </c>
      <c r="F72" s="31" t="s">
        <v>67</v>
      </c>
      <c r="G72" s="30">
        <f>((C72-$C$72)*(C72-$C$73)*(C72-$C$74)*(C72-$C$75))/(($C$71-$C$72)*($C$71-$C$73)*($C$71-$C$74)*($C$71-$C$75))</f>
        <v>0</v>
      </c>
      <c r="H72" s="30">
        <f>((C72-$C$71)*(C72-$C$73)*(C72-$C$74)*(C72-$C$75))/(($C$72-$C$71)*($C$72-$C$73)*($C$72-$C$74)*($C$72-$C$75))</f>
        <v>1</v>
      </c>
      <c r="I72" s="30">
        <f>((C72-$C$71)*(C72-$C$72)*(C72-$C$74)*(C72-$C$75))/(($C$73-$C$71)*($C$73-$C$72)*($C$73-$C$74)*($C$73-$C$75))</f>
        <v>0</v>
      </c>
      <c r="J72" s="30">
        <f>((C72-$C$71)*(C72-$C$72)*(C72-$C$73)*(C72-$C$75))/(($C$74-$C$71)*($C$74-$C$72)*($C$74-$C$73)*($C$74-$C$75))</f>
        <v>0</v>
      </c>
      <c r="K72" s="30">
        <f>((C72-$C$71)*(C72-$C$72)*(C72-$C$73)*(C72-$C$74))/(($C$75-$C$71)*($C$75-$C$72)*($C$75-$C$73)*($C$75-$C$74))</f>
        <v>0</v>
      </c>
      <c r="L72" s="30">
        <f>$D$71*G72+$D$72*H72+$D$73*I72+$D$74*J72+$D$75*K72</f>
        <v>1</v>
      </c>
    </row>
    <row r="73" spans="2:12" ht="20.25" x14ac:dyDescent="0.25">
      <c r="B73" s="30">
        <v>2</v>
      </c>
      <c r="C73" s="30">
        <v>3</v>
      </c>
      <c r="D73" s="30">
        <v>0.3</v>
      </c>
      <c r="F73" s="31" t="s">
        <v>68</v>
      </c>
      <c r="G73" s="30">
        <f>((C73-$C$72)*(C73-$C$73)*(C73-$C$74)*(C73-$C$75))/(($C$71-$C$72)*($C$71-$C$73)*($C$71-$C$74)*($C$71-$C$75))</f>
        <v>0</v>
      </c>
      <c r="H73" s="30">
        <f>((C73-$C$71)*(C73-$C$73)*(C73-$C$74)*(C73-$C$75))/(($C$72-$C$71)*($C$72-$C$73)*($C$72-$C$74)*($C$72-$C$75))</f>
        <v>0</v>
      </c>
      <c r="I73" s="30">
        <f>((C73-$C$71)*(C73-$C$72)*(C73-$C$74)*(C73-$C$75))/(($C$73-$C$71)*($C$73-$C$72)*($C$73-$C$74)*($C$73-$C$75))</f>
        <v>1</v>
      </c>
      <c r="J73" s="30">
        <f>((C73-$C$71)*(C73-$C$72)*(C73-$C$73)*(C73-$C$75))/(($C$74-$C$71)*($C$74-$C$72)*($C$74-$C$73)*($C$74-$C$75))</f>
        <v>0</v>
      </c>
      <c r="K73" s="30">
        <f>((C73-$C$71)*(C73-$C$72)*(C73-$C$73)*(C73-$C$74))/(($C$75-$C$71)*($C$75-$C$72)*($C$75-$C$73)*($C$75-$C$74))</f>
        <v>0</v>
      </c>
      <c r="L73" s="30">
        <f>$D$71*G73+$D$72*H73+$D$73*I73+$D$74*J73+$D$75*K73</f>
        <v>0.3</v>
      </c>
    </row>
    <row r="74" spans="2:12" ht="20.25" x14ac:dyDescent="0.25">
      <c r="B74" s="30">
        <v>3</v>
      </c>
      <c r="C74" s="30">
        <v>3.5</v>
      </c>
      <c r="D74" s="30">
        <v>0.7</v>
      </c>
      <c r="F74" s="31" t="s">
        <v>69</v>
      </c>
      <c r="G74" s="30">
        <f>((C74-$C$72)*(C74-$C$73)*(C74-$C$74)*(C74-$C$75))/(($C$71-$C$72)*($C$71-$C$73)*($C$71-$C$74)*($C$71-$C$75))</f>
        <v>0</v>
      </c>
      <c r="H74" s="30">
        <f>((C74-$C$71)*(C74-$C$73)*(C74-$C$74)*(C74-$C$75))/(($C$72-$C$71)*($C$72-$C$73)*($C$72-$C$74)*($C$72-$C$75))</f>
        <v>0</v>
      </c>
      <c r="I74" s="30">
        <f>((C74-$C$71)*(C74-$C$72)*(C74-$C$74)*(C74-$C$75))/(($C$73-$C$71)*($C$73-$C$72)*($C$73-$C$74)*($C$73-$C$75))</f>
        <v>0</v>
      </c>
      <c r="J74" s="30">
        <f>((C74-$C$71)*(C74-$C$72)*(C74-$C$73)*(C74-$C$75))/(($C$74-$C$71)*($C$74-$C$72)*($C$74-$C$73)*($C$74-$C$75))</f>
        <v>1</v>
      </c>
      <c r="K74" s="30">
        <f>((C74-$C$71)*(C74-$C$72)*(C74-$C$73)*(C74-$C$74))/(($C$75-$C$71)*($C$75-$C$72)*($C$75-$C$73)*($C$75-$C$74))</f>
        <v>0</v>
      </c>
      <c r="L74" s="30">
        <f>$D$71*G74+$D$72*H74+$D$73*I74+$D$74*J74+$D$75*K74</f>
        <v>0.7</v>
      </c>
    </row>
    <row r="75" spans="2:12" ht="20.25" x14ac:dyDescent="0.25">
      <c r="B75" s="30">
        <v>4</v>
      </c>
      <c r="C75" s="30">
        <v>4</v>
      </c>
      <c r="D75" s="30">
        <v>2</v>
      </c>
      <c r="F75" s="31" t="s">
        <v>70</v>
      </c>
      <c r="G75" s="30">
        <f>((C75-$C$72)*(C75-$C$73)*(C75-$C$74)*(C75-$C$75))/(($C$71-$C$72)*($C$71-$C$73)*($C$71-$C$74)*($C$71-$C$75))</f>
        <v>0</v>
      </c>
      <c r="H75" s="30">
        <f>((C75-$C$71)*(C75-$C$73)*(C75-$C$74)*(C75-$C$75))/(($C$72-$C$71)*($C$72-$C$73)*($C$72-$C$74)*($C$72-$C$75))</f>
        <v>0</v>
      </c>
      <c r="I75" s="30">
        <f>((C75-$C$71)*(C75-$C$72)*(C75-$C$74)*(C75-$C$75))/(($C$73-$C$71)*($C$73-$C$72)*($C$73-$C$74)*($C$73-$C$75))</f>
        <v>0</v>
      </c>
      <c r="J75" s="30">
        <f>((C75-$C$71)*(C75-$C$72)*(C75-$C$73)*(C75-$C$75))/(($C$74-$C$71)*($C$74-$C$72)*($C$74-$C$73)*($C$74-$C$75))</f>
        <v>0</v>
      </c>
      <c r="K75" s="30">
        <f>((C75-$C$71)*(C75-$C$72)*(C75-$C$73)*(C75-$C$74))/(($C$75-$C$71)*($C$75-$C$72)*($C$75-$C$73)*($C$75-$C$74))</f>
        <v>1</v>
      </c>
      <c r="L75" s="30">
        <f>$D$71*G75+$D$72*H75+$D$73*I75+$D$74*J75+$D$75*K75</f>
        <v>2</v>
      </c>
    </row>
    <row r="76" spans="2:12" x14ac:dyDescent="0.3">
      <c r="G76" s="53"/>
      <c r="H76" s="53"/>
      <c r="I76" s="53"/>
      <c r="J76" s="53"/>
      <c r="K76" s="53"/>
      <c r="L76" s="53"/>
    </row>
    <row r="77" spans="2:12" ht="18.75" customHeight="1" x14ac:dyDescent="0.3">
      <c r="G77" s="53"/>
      <c r="H77" s="53"/>
      <c r="I77" s="53"/>
      <c r="J77" s="53"/>
      <c r="K77" s="53"/>
      <c r="L77" s="53"/>
    </row>
    <row r="78" spans="2:12" ht="18.75" customHeight="1" x14ac:dyDescent="0.3">
      <c r="G78" s="53"/>
      <c r="H78" s="53"/>
      <c r="I78" s="53"/>
      <c r="J78" s="53"/>
      <c r="K78" s="53"/>
      <c r="L78" s="53"/>
    </row>
    <row r="79" spans="2:12" ht="18.75" customHeight="1" x14ac:dyDescent="0.3">
      <c r="B79" s="30" t="s">
        <v>59</v>
      </c>
      <c r="C79" s="31" t="s">
        <v>60</v>
      </c>
      <c r="D79" s="31" t="s">
        <v>61</v>
      </c>
      <c r="E79" s="31" t="s">
        <v>62</v>
      </c>
      <c r="F79" s="31" t="s">
        <v>63</v>
      </c>
      <c r="G79" s="31" t="s">
        <v>64</v>
      </c>
      <c r="H79" s="33" t="s">
        <v>65</v>
      </c>
      <c r="J79" s="53"/>
      <c r="K79" s="53"/>
      <c r="L79" s="53"/>
    </row>
    <row r="80" spans="2:12" ht="18.75" customHeight="1" x14ac:dyDescent="0.25">
      <c r="B80" s="30">
        <v>1</v>
      </c>
      <c r="C80" s="30">
        <f t="shared" ref="C80:C120" si="2">((B80-$C$72)*(B80-$C$73)*(B80-$C$74)*(B80-$C$75))/(($C$71-$C$72)*($C$71-$C$73)*($C$71-$C$74)*($C$71-$C$75))</f>
        <v>15</v>
      </c>
      <c r="D80" s="30">
        <f t="shared" ref="D80:D120" si="3">((B80-$C$71)*(B80-$C$73)*(B80-$C$74)*(B80-$C$75))/(($C$72-$C$71)*($C$72-$C$73)*($C$72-$C$74)*($C$72-$C$75))</f>
        <v>-40</v>
      </c>
      <c r="E80" s="30">
        <f t="shared" ref="E80:E120" si="4">((B80-$C$71)*(B80-$C$72)*(B80-$C$74)*(B80-$C$75))/(($C$73-$C$71)*($C$73-$C$72)*($C$73-$C$74)*($C$73-$C$75))</f>
        <v>45</v>
      </c>
      <c r="F80" s="30">
        <f t="shared" ref="F80:F120" si="5">((B80-$C$71)*(B80-$C$72)*(B80-$C$73)*(B80-$C$75))/(($C$74-$C$71)*($C$74-$C$72)*($C$74-$C$73)*($C$74-$C$75))</f>
        <v>-24</v>
      </c>
      <c r="G80" s="30">
        <f t="shared" ref="G80:G120" si="6">((B80-$C$71)*(B80-$C$72)*(B80-$C$73)*(B80-$C$74))/(($C$75-$C$71)*($C$75-$C$72)*($C$75-$C$73)*($C$75-$C$74))</f>
        <v>5</v>
      </c>
      <c r="H80" s="30">
        <f t="shared" ref="H80:H120" si="7">$D$71*C80+$D$72*D80+$D$73*E80+$D$74*F80+$D$75*G80</f>
        <v>-40.799999999999997</v>
      </c>
    </row>
    <row r="81" spans="2:23" ht="18.75" customHeight="1" x14ac:dyDescent="0.25">
      <c r="B81" s="30">
        <v>1.1000000000000001</v>
      </c>
      <c r="C81" s="30">
        <f t="shared" si="2"/>
        <v>12.342399999999998</v>
      </c>
      <c r="D81" s="30">
        <f t="shared" si="3"/>
        <v>-31.73759999999999</v>
      </c>
      <c r="E81" s="30">
        <f t="shared" si="4"/>
        <v>35.078399999999995</v>
      </c>
      <c r="F81" s="30">
        <f t="shared" si="5"/>
        <v>-18.513599999999997</v>
      </c>
      <c r="G81" s="30">
        <f t="shared" si="6"/>
        <v>3.8303999999999991</v>
      </c>
      <c r="H81" s="30">
        <f t="shared" si="7"/>
        <v>-32.683999999999983</v>
      </c>
    </row>
    <row r="82" spans="2:23" x14ac:dyDescent="0.25">
      <c r="B82" s="30">
        <v>1.2</v>
      </c>
      <c r="C82" s="30">
        <f t="shared" si="2"/>
        <v>10.0464</v>
      </c>
      <c r="D82" s="30">
        <f t="shared" si="3"/>
        <v>-24.729600000000001</v>
      </c>
      <c r="E82" s="30">
        <f t="shared" si="4"/>
        <v>26.790399999999998</v>
      </c>
      <c r="F82" s="30">
        <f t="shared" si="5"/>
        <v>-13.977600000000001</v>
      </c>
      <c r="G82" s="30">
        <f t="shared" si="6"/>
        <v>2.8704000000000001</v>
      </c>
      <c r="H82" s="30">
        <f t="shared" si="7"/>
        <v>-25.7592</v>
      </c>
    </row>
    <row r="83" spans="2:23" x14ac:dyDescent="0.25">
      <c r="B83" s="30">
        <v>1.3</v>
      </c>
      <c r="C83" s="30">
        <f t="shared" si="2"/>
        <v>8.0784000000000002</v>
      </c>
      <c r="D83" s="30">
        <f t="shared" si="3"/>
        <v>-18.849599999999999</v>
      </c>
      <c r="E83" s="30">
        <f t="shared" si="4"/>
        <v>19.958400000000001</v>
      </c>
      <c r="F83" s="30">
        <f t="shared" si="5"/>
        <v>-10.281599999999999</v>
      </c>
      <c r="G83" s="30">
        <f t="shared" si="6"/>
        <v>2.0943999999999998</v>
      </c>
      <c r="H83" s="30">
        <f t="shared" si="7"/>
        <v>-19.909599999999998</v>
      </c>
    </row>
    <row r="84" spans="2:23" x14ac:dyDescent="0.25">
      <c r="B84" s="30">
        <v>1.4</v>
      </c>
      <c r="C84" s="30">
        <f t="shared" si="2"/>
        <v>6.4064000000000014</v>
      </c>
      <c r="D84" s="30">
        <f t="shared" si="3"/>
        <v>-13.977600000000004</v>
      </c>
      <c r="E84" s="30">
        <f t="shared" si="4"/>
        <v>14.414400000000004</v>
      </c>
      <c r="F84" s="30">
        <f t="shared" si="5"/>
        <v>-7.3216000000000028</v>
      </c>
      <c r="G84" s="30">
        <f t="shared" si="6"/>
        <v>1.4784000000000004</v>
      </c>
      <c r="H84" s="30">
        <f t="shared" si="7"/>
        <v>-15.024800000000006</v>
      </c>
    </row>
    <row r="85" spans="2:23" x14ac:dyDescent="0.25">
      <c r="B85" s="30">
        <v>1.5</v>
      </c>
      <c r="C85" s="30">
        <f t="shared" si="2"/>
        <v>5</v>
      </c>
      <c r="D85" s="30">
        <f t="shared" si="3"/>
        <v>-10</v>
      </c>
      <c r="E85" s="30">
        <f t="shared" si="4"/>
        <v>10</v>
      </c>
      <c r="F85" s="30">
        <f t="shared" si="5"/>
        <v>-5</v>
      </c>
      <c r="G85" s="30">
        <f t="shared" si="6"/>
        <v>1</v>
      </c>
      <c r="H85" s="30">
        <f t="shared" si="7"/>
        <v>-11</v>
      </c>
    </row>
    <row r="86" spans="2:23" x14ac:dyDescent="0.3">
      <c r="B86" s="30">
        <v>1.6</v>
      </c>
      <c r="C86" s="30">
        <f t="shared" si="2"/>
        <v>3.8303999999999991</v>
      </c>
      <c r="D86" s="30">
        <f t="shared" si="3"/>
        <v>-6.809599999999997</v>
      </c>
      <c r="E86" s="30">
        <f t="shared" si="4"/>
        <v>6.5663999999999971</v>
      </c>
      <c r="F86" s="30">
        <f t="shared" si="5"/>
        <v>-3.2255999999999982</v>
      </c>
      <c r="G86" s="30">
        <f t="shared" si="6"/>
        <v>0.63839999999999975</v>
      </c>
      <c r="H86" s="30">
        <f t="shared" si="7"/>
        <v>-7.7359999999999953</v>
      </c>
      <c r="R86" s="53"/>
      <c r="S86" s="53"/>
      <c r="T86" s="53"/>
      <c r="U86" s="53"/>
      <c r="V86" s="53"/>
      <c r="W86" s="53"/>
    </row>
    <row r="87" spans="2:23" x14ac:dyDescent="0.3">
      <c r="B87" s="30">
        <v>1.7</v>
      </c>
      <c r="C87" s="30">
        <f t="shared" si="2"/>
        <v>2.8704000000000001</v>
      </c>
      <c r="D87" s="30">
        <f t="shared" si="3"/>
        <v>-4.305600000000001</v>
      </c>
      <c r="E87" s="30">
        <f t="shared" si="4"/>
        <v>3.9744000000000006</v>
      </c>
      <c r="F87" s="30">
        <f t="shared" si="5"/>
        <v>-1.9136000000000004</v>
      </c>
      <c r="G87" s="30">
        <f t="shared" si="6"/>
        <v>0.37440000000000007</v>
      </c>
      <c r="H87" s="30">
        <f t="shared" si="7"/>
        <v>-5.1392000000000015</v>
      </c>
      <c r="R87" s="53"/>
      <c r="S87" s="53"/>
      <c r="T87" s="53"/>
      <c r="U87" s="53"/>
      <c r="V87" s="53"/>
      <c r="W87" s="53"/>
    </row>
    <row r="88" spans="2:23" x14ac:dyDescent="0.3">
      <c r="B88" s="30">
        <v>1.8</v>
      </c>
      <c r="C88" s="30">
        <f t="shared" si="2"/>
        <v>2.0943999999999998</v>
      </c>
      <c r="D88" s="30">
        <f t="shared" si="3"/>
        <v>-2.3935999999999993</v>
      </c>
      <c r="E88" s="30">
        <f t="shared" si="4"/>
        <v>2.0943999999999994</v>
      </c>
      <c r="F88" s="30">
        <f t="shared" si="5"/>
        <v>-0.98559999999999981</v>
      </c>
      <c r="G88" s="30">
        <f t="shared" si="6"/>
        <v>0.19039999999999993</v>
      </c>
      <c r="H88" s="30">
        <f t="shared" si="7"/>
        <v>-3.1215999999999999</v>
      </c>
      <c r="R88" s="53"/>
      <c r="S88" s="53"/>
      <c r="T88" s="53"/>
      <c r="U88" s="53"/>
      <c r="V88" s="53"/>
      <c r="W88" s="53"/>
    </row>
    <row r="89" spans="2:23" x14ac:dyDescent="0.3">
      <c r="B89" s="30">
        <v>1.9</v>
      </c>
      <c r="C89" s="30">
        <f t="shared" si="2"/>
        <v>1.4784000000000004</v>
      </c>
      <c r="D89" s="30">
        <f t="shared" si="3"/>
        <v>-0.98560000000000114</v>
      </c>
      <c r="E89" s="30">
        <f t="shared" si="4"/>
        <v>0.80640000000000089</v>
      </c>
      <c r="F89" s="30">
        <f t="shared" si="5"/>
        <v>-0.36960000000000043</v>
      </c>
      <c r="G89" s="30">
        <f t="shared" si="6"/>
        <v>7.0400000000000088E-2</v>
      </c>
      <c r="H89" s="30">
        <f t="shared" si="7"/>
        <v>-1.6008000000000011</v>
      </c>
      <c r="R89" s="53"/>
      <c r="S89" s="53"/>
      <c r="T89" s="53"/>
      <c r="U89" s="53"/>
      <c r="V89" s="53"/>
      <c r="W89" s="53"/>
    </row>
    <row r="90" spans="2:23" x14ac:dyDescent="0.3">
      <c r="B90" s="52">
        <v>2</v>
      </c>
      <c r="C90" s="52">
        <f t="shared" si="2"/>
        <v>1</v>
      </c>
      <c r="D90" s="52">
        <f t="shared" si="3"/>
        <v>0</v>
      </c>
      <c r="E90" s="52">
        <f t="shared" si="4"/>
        <v>0</v>
      </c>
      <c r="F90" s="52">
        <f t="shared" si="5"/>
        <v>0</v>
      </c>
      <c r="G90" s="52">
        <f t="shared" si="6"/>
        <v>0</v>
      </c>
      <c r="H90" s="52">
        <f t="shared" si="7"/>
        <v>-0.5</v>
      </c>
      <c r="R90" s="53"/>
      <c r="S90" s="53"/>
      <c r="T90" s="53"/>
      <c r="U90" s="53"/>
      <c r="V90" s="53"/>
      <c r="W90" s="53"/>
    </row>
    <row r="91" spans="2:23" x14ac:dyDescent="0.25">
      <c r="B91" s="30">
        <v>2.1</v>
      </c>
      <c r="C91" s="30">
        <f t="shared" si="2"/>
        <v>0.63839999999999975</v>
      </c>
      <c r="D91" s="30">
        <f t="shared" si="3"/>
        <v>0.63840000000000041</v>
      </c>
      <c r="E91" s="30">
        <f t="shared" si="4"/>
        <v>-0.42560000000000026</v>
      </c>
      <c r="F91" s="30">
        <f t="shared" si="5"/>
        <v>0.18240000000000012</v>
      </c>
      <c r="G91" s="30">
        <f t="shared" si="6"/>
        <v>-3.3600000000000026E-2</v>
      </c>
      <c r="H91" s="30">
        <f t="shared" si="7"/>
        <v>0.2520000000000005</v>
      </c>
    </row>
    <row r="92" spans="2:23" x14ac:dyDescent="0.25">
      <c r="B92" s="30">
        <v>2.2000000000000002</v>
      </c>
      <c r="C92" s="30">
        <f t="shared" si="2"/>
        <v>0.37439999999999957</v>
      </c>
      <c r="D92" s="30">
        <f t="shared" si="3"/>
        <v>0.99840000000000051</v>
      </c>
      <c r="E92" s="30">
        <f t="shared" si="4"/>
        <v>-0.5616000000000001</v>
      </c>
      <c r="F92" s="30">
        <f t="shared" si="5"/>
        <v>0.23039999999999997</v>
      </c>
      <c r="G92" s="30">
        <f t="shared" si="6"/>
        <v>-4.1599999999999991E-2</v>
      </c>
      <c r="H92" s="30">
        <f t="shared" si="7"/>
        <v>0.72080000000000066</v>
      </c>
    </row>
    <row r="93" spans="2:23" x14ac:dyDescent="0.25">
      <c r="B93" s="30">
        <v>2.2999999999999998</v>
      </c>
      <c r="C93" s="30">
        <f t="shared" si="2"/>
        <v>0.19040000000000024</v>
      </c>
      <c r="D93" s="30">
        <f t="shared" si="3"/>
        <v>1.1423999999999999</v>
      </c>
      <c r="E93" s="30">
        <f t="shared" si="4"/>
        <v>-0.48960000000000031</v>
      </c>
      <c r="F93" s="30">
        <f t="shared" si="5"/>
        <v>0.19040000000000012</v>
      </c>
      <c r="G93" s="30">
        <f t="shared" si="6"/>
        <v>-3.3600000000000026E-2</v>
      </c>
      <c r="H93" s="30">
        <f t="shared" si="7"/>
        <v>0.96639999999999959</v>
      </c>
    </row>
    <row r="94" spans="2:23" x14ac:dyDescent="0.25">
      <c r="B94" s="30">
        <v>2.4</v>
      </c>
      <c r="C94" s="30">
        <f t="shared" si="2"/>
        <v>7.0400000000000088E-2</v>
      </c>
      <c r="D94" s="30">
        <f t="shared" si="3"/>
        <v>1.1264000000000001</v>
      </c>
      <c r="E94" s="30">
        <f t="shared" si="4"/>
        <v>-0.28160000000000024</v>
      </c>
      <c r="F94" s="30">
        <f t="shared" si="5"/>
        <v>0.1024000000000001</v>
      </c>
      <c r="G94" s="30">
        <f t="shared" si="6"/>
        <v>-1.7600000000000015E-2</v>
      </c>
      <c r="H94" s="30">
        <f t="shared" si="7"/>
        <v>1.0431999999999997</v>
      </c>
    </row>
    <row r="95" spans="2:23" x14ac:dyDescent="0.25">
      <c r="B95" s="52">
        <v>2.5</v>
      </c>
      <c r="C95" s="52">
        <f t="shared" si="2"/>
        <v>0</v>
      </c>
      <c r="D95" s="52">
        <f t="shared" si="3"/>
        <v>1</v>
      </c>
      <c r="E95" s="52">
        <f t="shared" si="4"/>
        <v>0</v>
      </c>
      <c r="F95" s="52">
        <f t="shared" si="5"/>
        <v>0</v>
      </c>
      <c r="G95" s="52">
        <f t="shared" si="6"/>
        <v>0</v>
      </c>
      <c r="H95" s="52">
        <f t="shared" si="7"/>
        <v>1</v>
      </c>
    </row>
    <row r="96" spans="2:23" x14ac:dyDescent="0.25">
      <c r="B96" s="30">
        <v>2.6</v>
      </c>
      <c r="C96" s="30">
        <f t="shared" si="2"/>
        <v>-3.3600000000000026E-2</v>
      </c>
      <c r="D96" s="30">
        <f t="shared" si="3"/>
        <v>0.80639999999999989</v>
      </c>
      <c r="E96" s="30">
        <f t="shared" si="4"/>
        <v>0.30240000000000022</v>
      </c>
      <c r="F96" s="30">
        <f t="shared" si="5"/>
        <v>-8.9600000000000068E-2</v>
      </c>
      <c r="G96" s="30">
        <f t="shared" si="6"/>
        <v>1.440000000000001E-2</v>
      </c>
      <c r="H96" s="30">
        <f t="shared" si="7"/>
        <v>0.88</v>
      </c>
    </row>
    <row r="97" spans="2:8" x14ac:dyDescent="0.25">
      <c r="B97" s="30">
        <v>2.7</v>
      </c>
      <c r="C97" s="30">
        <f t="shared" si="2"/>
        <v>-4.1599999999999991E-2</v>
      </c>
      <c r="D97" s="30">
        <f t="shared" si="3"/>
        <v>0.58239999999999958</v>
      </c>
      <c r="E97" s="30">
        <f t="shared" si="4"/>
        <v>0.58240000000000047</v>
      </c>
      <c r="F97" s="30">
        <f t="shared" si="5"/>
        <v>-0.14560000000000006</v>
      </c>
      <c r="G97" s="30">
        <f t="shared" si="6"/>
        <v>2.2400000000000007E-2</v>
      </c>
      <c r="H97" s="30">
        <f t="shared" si="7"/>
        <v>0.72079999999999977</v>
      </c>
    </row>
    <row r="98" spans="2:8" x14ac:dyDescent="0.25">
      <c r="B98" s="30">
        <v>2.8</v>
      </c>
      <c r="C98" s="30">
        <f t="shared" si="2"/>
        <v>-3.3600000000000026E-2</v>
      </c>
      <c r="D98" s="30">
        <f t="shared" si="3"/>
        <v>0.35840000000000044</v>
      </c>
      <c r="E98" s="30">
        <f t="shared" si="4"/>
        <v>0.80639999999999967</v>
      </c>
      <c r="F98" s="30">
        <f t="shared" si="5"/>
        <v>-0.15360000000000004</v>
      </c>
      <c r="G98" s="30">
        <f t="shared" si="6"/>
        <v>2.2400000000000007E-2</v>
      </c>
      <c r="H98" s="30">
        <f t="shared" si="7"/>
        <v>0.55440000000000034</v>
      </c>
    </row>
    <row r="99" spans="2:8" x14ac:dyDescent="0.25">
      <c r="B99" s="30">
        <v>2.9</v>
      </c>
      <c r="C99" s="30">
        <f t="shared" si="2"/>
        <v>-1.7600000000000015E-2</v>
      </c>
      <c r="D99" s="30">
        <f t="shared" si="3"/>
        <v>0.15840000000000015</v>
      </c>
      <c r="E99" s="30">
        <f t="shared" si="4"/>
        <v>0.95039999999999991</v>
      </c>
      <c r="F99" s="30">
        <f t="shared" si="5"/>
        <v>-0.10560000000000007</v>
      </c>
      <c r="G99" s="30">
        <f t="shared" si="6"/>
        <v>1.440000000000001E-2</v>
      </c>
      <c r="H99" s="30">
        <f t="shared" si="7"/>
        <v>0.40720000000000012</v>
      </c>
    </row>
    <row r="100" spans="2:8" x14ac:dyDescent="0.25">
      <c r="B100" s="52">
        <v>3</v>
      </c>
      <c r="C100" s="52">
        <f t="shared" si="2"/>
        <v>0</v>
      </c>
      <c r="D100" s="52">
        <f t="shared" si="3"/>
        <v>0</v>
      </c>
      <c r="E100" s="52">
        <f t="shared" si="4"/>
        <v>1</v>
      </c>
      <c r="F100" s="52">
        <f t="shared" si="5"/>
        <v>0</v>
      </c>
      <c r="G100" s="52">
        <f t="shared" si="6"/>
        <v>0</v>
      </c>
      <c r="H100" s="52">
        <f t="shared" si="7"/>
        <v>0.3</v>
      </c>
    </row>
    <row r="101" spans="2:8" x14ac:dyDescent="0.25">
      <c r="B101" s="30">
        <v>3.1</v>
      </c>
      <c r="C101" s="30">
        <f t="shared" si="2"/>
        <v>1.440000000000001E-2</v>
      </c>
      <c r="D101" s="30">
        <f t="shared" si="3"/>
        <v>-0.10560000000000007</v>
      </c>
      <c r="E101" s="30">
        <f t="shared" si="4"/>
        <v>0.95039999999999991</v>
      </c>
      <c r="F101" s="30">
        <f t="shared" si="5"/>
        <v>0.15840000000000015</v>
      </c>
      <c r="G101" s="30">
        <f t="shared" si="6"/>
        <v>-1.7600000000000015E-2</v>
      </c>
      <c r="H101" s="30">
        <f t="shared" si="7"/>
        <v>0.24799999999999997</v>
      </c>
    </row>
    <row r="102" spans="2:8" x14ac:dyDescent="0.25">
      <c r="B102" s="30">
        <v>3.2</v>
      </c>
      <c r="C102" s="30">
        <f t="shared" si="2"/>
        <v>2.2400000000000007E-2</v>
      </c>
      <c r="D102" s="30">
        <f t="shared" si="3"/>
        <v>-0.15360000000000004</v>
      </c>
      <c r="E102" s="30">
        <f t="shared" si="4"/>
        <v>0.80639999999999967</v>
      </c>
      <c r="F102" s="30">
        <f t="shared" si="5"/>
        <v>0.35840000000000033</v>
      </c>
      <c r="G102" s="30">
        <f t="shared" si="6"/>
        <v>-3.3600000000000019E-2</v>
      </c>
      <c r="H102" s="30">
        <f t="shared" si="7"/>
        <v>0.26080000000000003</v>
      </c>
    </row>
    <row r="103" spans="2:8" x14ac:dyDescent="0.25">
      <c r="B103" s="30">
        <v>3.3</v>
      </c>
      <c r="C103" s="30">
        <f t="shared" si="2"/>
        <v>2.2400000000000007E-2</v>
      </c>
      <c r="D103" s="30">
        <f t="shared" si="3"/>
        <v>-0.14560000000000006</v>
      </c>
      <c r="E103" s="30">
        <f t="shared" si="4"/>
        <v>0.58240000000000047</v>
      </c>
      <c r="F103" s="30">
        <f t="shared" si="5"/>
        <v>0.58239999999999947</v>
      </c>
      <c r="G103" s="30">
        <f t="shared" si="6"/>
        <v>-4.1599999999999991E-2</v>
      </c>
      <c r="H103" s="30">
        <f t="shared" si="7"/>
        <v>0.34239999999999965</v>
      </c>
    </row>
    <row r="104" spans="2:8" x14ac:dyDescent="0.25">
      <c r="B104" s="30">
        <v>3.4</v>
      </c>
      <c r="C104" s="30">
        <f t="shared" si="2"/>
        <v>1.440000000000001E-2</v>
      </c>
      <c r="D104" s="30">
        <f t="shared" si="3"/>
        <v>-8.9600000000000068E-2</v>
      </c>
      <c r="E104" s="30">
        <f t="shared" si="4"/>
        <v>0.30240000000000022</v>
      </c>
      <c r="F104" s="30">
        <f t="shared" si="5"/>
        <v>0.80639999999999967</v>
      </c>
      <c r="G104" s="30">
        <f t="shared" si="6"/>
        <v>-3.3600000000000012E-2</v>
      </c>
      <c r="H104" s="30">
        <f t="shared" si="7"/>
        <v>0.49119999999999975</v>
      </c>
    </row>
    <row r="105" spans="2:8" x14ac:dyDescent="0.25">
      <c r="B105" s="52">
        <v>3.5</v>
      </c>
      <c r="C105" s="52">
        <f t="shared" si="2"/>
        <v>0</v>
      </c>
      <c r="D105" s="52">
        <f t="shared" si="3"/>
        <v>0</v>
      </c>
      <c r="E105" s="52">
        <f t="shared" si="4"/>
        <v>0</v>
      </c>
      <c r="F105" s="52">
        <f t="shared" si="5"/>
        <v>1</v>
      </c>
      <c r="G105" s="52">
        <f t="shared" si="6"/>
        <v>0</v>
      </c>
      <c r="H105" s="52">
        <f t="shared" si="7"/>
        <v>0.7</v>
      </c>
    </row>
    <row r="106" spans="2:8" x14ac:dyDescent="0.25">
      <c r="B106" s="30">
        <v>3.6</v>
      </c>
      <c r="C106" s="30">
        <f t="shared" si="2"/>
        <v>-1.7600000000000015E-2</v>
      </c>
      <c r="D106" s="30">
        <f t="shared" si="3"/>
        <v>0.10240000000000009</v>
      </c>
      <c r="E106" s="30">
        <f t="shared" si="4"/>
        <v>-0.28160000000000024</v>
      </c>
      <c r="F106" s="30">
        <f t="shared" si="5"/>
        <v>1.1264000000000001</v>
      </c>
      <c r="G106" s="30">
        <f t="shared" si="6"/>
        <v>7.0400000000000088E-2</v>
      </c>
      <c r="H106" s="30">
        <f t="shared" si="7"/>
        <v>0.95600000000000007</v>
      </c>
    </row>
    <row r="107" spans="2:8" x14ac:dyDescent="0.25">
      <c r="B107" s="30">
        <v>3.7</v>
      </c>
      <c r="C107" s="30">
        <f t="shared" si="2"/>
        <v>-3.3600000000000019E-2</v>
      </c>
      <c r="D107" s="30">
        <f t="shared" si="3"/>
        <v>0.19040000000000012</v>
      </c>
      <c r="E107" s="30">
        <f t="shared" si="4"/>
        <v>-0.48960000000000026</v>
      </c>
      <c r="F107" s="30">
        <f t="shared" si="5"/>
        <v>1.1423999999999999</v>
      </c>
      <c r="G107" s="30">
        <f t="shared" si="6"/>
        <v>0.19040000000000024</v>
      </c>
      <c r="H107" s="30">
        <f t="shared" si="7"/>
        <v>1.2408000000000003</v>
      </c>
    </row>
    <row r="108" spans="2:8" x14ac:dyDescent="0.25">
      <c r="B108" s="30">
        <v>3.8</v>
      </c>
      <c r="C108" s="30">
        <f t="shared" si="2"/>
        <v>-4.1599999999999991E-2</v>
      </c>
      <c r="D108" s="30">
        <f t="shared" si="3"/>
        <v>0.23040000000000002</v>
      </c>
      <c r="E108" s="30">
        <f t="shared" si="4"/>
        <v>-0.56159999999999999</v>
      </c>
      <c r="F108" s="30">
        <f t="shared" si="5"/>
        <v>0.99840000000000051</v>
      </c>
      <c r="G108" s="30">
        <f t="shared" si="6"/>
        <v>0.37439999999999962</v>
      </c>
      <c r="H108" s="30">
        <f t="shared" si="7"/>
        <v>1.5303999999999995</v>
      </c>
    </row>
    <row r="109" spans="2:8" x14ac:dyDescent="0.25">
      <c r="B109" s="30">
        <v>3.9</v>
      </c>
      <c r="C109" s="30">
        <f t="shared" si="2"/>
        <v>-3.3600000000000012E-2</v>
      </c>
      <c r="D109" s="30">
        <f t="shared" si="3"/>
        <v>0.18240000000000009</v>
      </c>
      <c r="E109" s="30">
        <f t="shared" si="4"/>
        <v>-0.4256000000000002</v>
      </c>
      <c r="F109" s="30">
        <f t="shared" si="5"/>
        <v>0.63840000000000041</v>
      </c>
      <c r="G109" s="30">
        <f t="shared" si="6"/>
        <v>0.63839999999999975</v>
      </c>
      <c r="H109" s="30">
        <f t="shared" si="7"/>
        <v>1.7951999999999999</v>
      </c>
    </row>
    <row r="110" spans="2:8" x14ac:dyDescent="0.25">
      <c r="B110" s="52">
        <v>4</v>
      </c>
      <c r="C110" s="52">
        <f t="shared" si="2"/>
        <v>0</v>
      </c>
      <c r="D110" s="52">
        <f t="shared" si="3"/>
        <v>0</v>
      </c>
      <c r="E110" s="52">
        <f t="shared" si="4"/>
        <v>0</v>
      </c>
      <c r="F110" s="52">
        <f t="shared" si="5"/>
        <v>0</v>
      </c>
      <c r="G110" s="52">
        <f t="shared" si="6"/>
        <v>1</v>
      </c>
      <c r="H110" s="52">
        <f t="shared" si="7"/>
        <v>2</v>
      </c>
    </row>
    <row r="111" spans="2:8" x14ac:dyDescent="0.25">
      <c r="B111" s="30">
        <v>4.0999999999999996</v>
      </c>
      <c r="C111" s="30">
        <f t="shared" si="2"/>
        <v>7.0399999999999671E-2</v>
      </c>
      <c r="D111" s="30">
        <f t="shared" si="3"/>
        <v>-0.36959999999999821</v>
      </c>
      <c r="E111" s="30">
        <f t="shared" si="4"/>
        <v>0.80639999999999623</v>
      </c>
      <c r="F111" s="30">
        <f t="shared" si="5"/>
        <v>-0.9855999999999957</v>
      </c>
      <c r="G111" s="30">
        <f t="shared" si="6"/>
        <v>1.4783999999999979</v>
      </c>
      <c r="H111" s="30">
        <f t="shared" si="7"/>
        <v>2.1039999999999996</v>
      </c>
    </row>
    <row r="112" spans="2:8" x14ac:dyDescent="0.25">
      <c r="B112" s="30">
        <v>4.2</v>
      </c>
      <c r="C112" s="30">
        <f t="shared" si="2"/>
        <v>0.19040000000000024</v>
      </c>
      <c r="D112" s="30">
        <f t="shared" si="3"/>
        <v>-0.98560000000000147</v>
      </c>
      <c r="E112" s="30">
        <f t="shared" si="4"/>
        <v>2.0944000000000029</v>
      </c>
      <c r="F112" s="30">
        <f t="shared" si="5"/>
        <v>-2.3936000000000028</v>
      </c>
      <c r="G112" s="30">
        <f t="shared" si="6"/>
        <v>2.0944000000000011</v>
      </c>
      <c r="H112" s="30">
        <f t="shared" si="7"/>
        <v>2.0607999999999995</v>
      </c>
    </row>
    <row r="113" spans="2:12" x14ac:dyDescent="0.25">
      <c r="B113" s="30">
        <v>4.3</v>
      </c>
      <c r="C113" s="30">
        <f t="shared" si="2"/>
        <v>0.37439999999999962</v>
      </c>
      <c r="D113" s="30">
        <f t="shared" si="3"/>
        <v>-1.913599999999998</v>
      </c>
      <c r="E113" s="30">
        <f t="shared" si="4"/>
        <v>3.9743999999999966</v>
      </c>
      <c r="F113" s="30">
        <f t="shared" si="5"/>
        <v>-4.3055999999999965</v>
      </c>
      <c r="G113" s="30">
        <f t="shared" si="6"/>
        <v>2.8703999999999987</v>
      </c>
      <c r="H113" s="30">
        <f t="shared" si="7"/>
        <v>1.8184000000000013</v>
      </c>
    </row>
    <row r="114" spans="2:12" x14ac:dyDescent="0.25">
      <c r="B114" s="30">
        <v>4.4000000000000004</v>
      </c>
      <c r="C114" s="30">
        <f t="shared" si="2"/>
        <v>0.63840000000000108</v>
      </c>
      <c r="D114" s="30">
        <f t="shared" si="3"/>
        <v>-3.2256000000000054</v>
      </c>
      <c r="E114" s="30">
        <f t="shared" si="4"/>
        <v>6.5664000000000105</v>
      </c>
      <c r="F114" s="30">
        <f t="shared" si="5"/>
        <v>-6.8096000000000103</v>
      </c>
      <c r="G114" s="30">
        <f t="shared" si="6"/>
        <v>3.830400000000004</v>
      </c>
      <c r="H114" s="30">
        <f t="shared" si="7"/>
        <v>1.3191999999999986</v>
      </c>
    </row>
    <row r="115" spans="2:12" x14ac:dyDescent="0.25">
      <c r="B115" s="30">
        <v>4.5</v>
      </c>
      <c r="C115" s="30">
        <f t="shared" si="2"/>
        <v>1</v>
      </c>
      <c r="D115" s="30">
        <f t="shared" si="3"/>
        <v>-5</v>
      </c>
      <c r="E115" s="30">
        <f t="shared" si="4"/>
        <v>10</v>
      </c>
      <c r="F115" s="30">
        <f t="shared" si="5"/>
        <v>-10</v>
      </c>
      <c r="G115" s="30">
        <f t="shared" si="6"/>
        <v>5</v>
      </c>
      <c r="H115" s="30">
        <f t="shared" si="7"/>
        <v>0.5</v>
      </c>
    </row>
    <row r="116" spans="2:12" x14ac:dyDescent="0.25">
      <c r="B116" s="30">
        <v>4.5999999999999996</v>
      </c>
      <c r="C116" s="30">
        <f t="shared" si="2"/>
        <v>1.4783999999999979</v>
      </c>
      <c r="D116" s="30">
        <f t="shared" si="3"/>
        <v>-7.3215999999999903</v>
      </c>
      <c r="E116" s="30">
        <f t="shared" si="4"/>
        <v>14.414399999999981</v>
      </c>
      <c r="F116" s="30">
        <f t="shared" si="5"/>
        <v>-13.977599999999983</v>
      </c>
      <c r="G116" s="30">
        <f t="shared" si="6"/>
        <v>6.4063999999999943</v>
      </c>
      <c r="H116" s="30">
        <f t="shared" si="7"/>
        <v>-0.70799999999999486</v>
      </c>
    </row>
    <row r="117" spans="2:12" x14ac:dyDescent="0.25">
      <c r="B117" s="30">
        <v>4.7</v>
      </c>
      <c r="C117" s="30">
        <f t="shared" si="2"/>
        <v>2.0944000000000011</v>
      </c>
      <c r="D117" s="30">
        <f t="shared" si="3"/>
        <v>-10.281600000000006</v>
      </c>
      <c r="E117" s="30">
        <f t="shared" si="4"/>
        <v>19.958400000000012</v>
      </c>
      <c r="F117" s="30">
        <f t="shared" si="5"/>
        <v>-18.849600000000009</v>
      </c>
      <c r="G117" s="30">
        <f t="shared" si="6"/>
        <v>8.0784000000000038</v>
      </c>
      <c r="H117" s="30">
        <f t="shared" si="7"/>
        <v>-2.3792000000000009</v>
      </c>
    </row>
    <row r="118" spans="2:12" x14ac:dyDescent="0.25">
      <c r="B118" s="30">
        <v>4.8</v>
      </c>
      <c r="C118" s="30">
        <f t="shared" si="2"/>
        <v>2.8703999999999987</v>
      </c>
      <c r="D118" s="30">
        <f t="shared" si="3"/>
        <v>-13.977599999999994</v>
      </c>
      <c r="E118" s="30">
        <f t="shared" si="4"/>
        <v>26.790399999999988</v>
      </c>
      <c r="F118" s="30">
        <f t="shared" si="5"/>
        <v>-24.729599999999991</v>
      </c>
      <c r="G118" s="30">
        <f t="shared" si="6"/>
        <v>10.046399999999997</v>
      </c>
      <c r="H118" s="30">
        <f t="shared" si="7"/>
        <v>-4.5935999999999986</v>
      </c>
    </row>
    <row r="119" spans="2:12" x14ac:dyDescent="0.25">
      <c r="B119" s="30">
        <v>4.9000000000000004</v>
      </c>
      <c r="C119" s="30">
        <f t="shared" si="2"/>
        <v>3.830400000000004</v>
      </c>
      <c r="D119" s="30">
        <f t="shared" si="3"/>
        <v>-18.513600000000014</v>
      </c>
      <c r="E119" s="30">
        <f t="shared" si="4"/>
        <v>35.07840000000003</v>
      </c>
      <c r="F119" s="30">
        <f t="shared" si="5"/>
        <v>-31.737600000000025</v>
      </c>
      <c r="G119" s="30">
        <f t="shared" si="6"/>
        <v>12.342400000000007</v>
      </c>
      <c r="H119" s="30">
        <f t="shared" si="7"/>
        <v>-7.4368000000000158</v>
      </c>
    </row>
    <row r="120" spans="2:12" x14ac:dyDescent="0.25">
      <c r="B120" s="30">
        <v>5</v>
      </c>
      <c r="C120" s="30">
        <f t="shared" si="2"/>
        <v>5</v>
      </c>
      <c r="D120" s="30">
        <f t="shared" si="3"/>
        <v>-24</v>
      </c>
      <c r="E120" s="30">
        <f t="shared" si="4"/>
        <v>45</v>
      </c>
      <c r="F120" s="30">
        <f t="shared" si="5"/>
        <v>-40</v>
      </c>
      <c r="G120" s="30">
        <f t="shared" si="6"/>
        <v>15</v>
      </c>
      <c r="H120" s="30">
        <f t="shared" si="7"/>
        <v>-11</v>
      </c>
    </row>
    <row r="126" spans="2:12" ht="33" customHeight="1" x14ac:dyDescent="0.25">
      <c r="B126" s="221" t="s">
        <v>71</v>
      </c>
      <c r="C126" s="221"/>
      <c r="D126" s="221"/>
      <c r="E126" s="221"/>
      <c r="F126" s="221"/>
      <c r="G126" s="221"/>
      <c r="H126" s="221"/>
      <c r="I126" s="221"/>
      <c r="J126" s="221"/>
      <c r="K126" s="221"/>
      <c r="L126" s="221"/>
    </row>
    <row r="127" spans="2:12" ht="33" customHeight="1" x14ac:dyDescent="0.25">
      <c r="B127" s="221"/>
      <c r="C127" s="221"/>
      <c r="D127" s="221"/>
      <c r="E127" s="221"/>
      <c r="F127" s="221"/>
      <c r="G127" s="221"/>
      <c r="H127" s="221"/>
      <c r="I127" s="221"/>
      <c r="J127" s="221"/>
      <c r="K127" s="221"/>
      <c r="L127" s="221"/>
    </row>
    <row r="128" spans="2:12" ht="33" customHeight="1" x14ac:dyDescent="0.25">
      <c r="B128" s="221"/>
      <c r="C128" s="221"/>
      <c r="D128" s="221"/>
      <c r="E128" s="221"/>
      <c r="F128" s="221"/>
      <c r="G128" s="221"/>
      <c r="H128" s="221"/>
      <c r="I128" s="221"/>
      <c r="J128" s="221"/>
      <c r="K128" s="221"/>
      <c r="L128" s="221"/>
    </row>
    <row r="129" spans="2:12" ht="33" customHeight="1" x14ac:dyDescent="0.25">
      <c r="B129" s="221"/>
      <c r="C129" s="221"/>
      <c r="D129" s="221"/>
      <c r="E129" s="221"/>
      <c r="F129" s="221"/>
      <c r="G129" s="221"/>
      <c r="H129" s="221"/>
      <c r="I129" s="221"/>
      <c r="J129" s="221"/>
      <c r="K129" s="221"/>
      <c r="L129" s="221"/>
    </row>
    <row r="130" spans="2:12" ht="33" customHeight="1" x14ac:dyDescent="0.25">
      <c r="B130" s="221"/>
      <c r="C130" s="221"/>
      <c r="D130" s="221"/>
      <c r="E130" s="221"/>
      <c r="F130" s="221"/>
      <c r="G130" s="221"/>
      <c r="H130" s="221"/>
      <c r="I130" s="221"/>
      <c r="J130" s="221"/>
      <c r="K130" s="221"/>
      <c r="L130" s="221"/>
    </row>
    <row r="133" spans="2:12" ht="21" x14ac:dyDescent="0.25">
      <c r="B133" s="52" t="s">
        <v>1</v>
      </c>
      <c r="C133" s="31" t="s">
        <v>2</v>
      </c>
      <c r="D133" s="33" t="s">
        <v>45</v>
      </c>
      <c r="E133" s="31" t="s">
        <v>72</v>
      </c>
      <c r="F133" s="31" t="s">
        <v>73</v>
      </c>
      <c r="G133" s="31" t="s">
        <v>74</v>
      </c>
      <c r="H133" s="31" t="s">
        <v>75</v>
      </c>
      <c r="I133" s="30" t="s">
        <v>10</v>
      </c>
      <c r="J133" s="41">
        <v>0.5</v>
      </c>
    </row>
    <row r="134" spans="2:12" ht="20.25" x14ac:dyDescent="0.25">
      <c r="B134" s="62">
        <v>0</v>
      </c>
      <c r="C134" s="62">
        <v>2</v>
      </c>
      <c r="D134" s="62">
        <v>-0.5</v>
      </c>
      <c r="E134" s="62">
        <f>D135-D134</f>
        <v>1.5</v>
      </c>
      <c r="F134" s="41">
        <f>E135-E134</f>
        <v>-2.2000000000000002</v>
      </c>
      <c r="G134" s="41">
        <f>F135-F134</f>
        <v>3.3</v>
      </c>
      <c r="H134" s="41">
        <f>G135-G134</f>
        <v>-3.4999999999999996</v>
      </c>
      <c r="I134" s="30" t="s">
        <v>76</v>
      </c>
      <c r="J134" s="41">
        <f>D134</f>
        <v>-0.5</v>
      </c>
    </row>
    <row r="135" spans="2:12" ht="20.25" x14ac:dyDescent="0.25">
      <c r="B135" s="54">
        <v>1</v>
      </c>
      <c r="C135" s="54">
        <v>2.5</v>
      </c>
      <c r="D135" s="54">
        <v>1</v>
      </c>
      <c r="E135" s="54">
        <f>D136-D135</f>
        <v>-0.7</v>
      </c>
      <c r="F135" s="54">
        <f>E136-E135</f>
        <v>1.0999999999999999</v>
      </c>
      <c r="G135" s="54">
        <f>F136-F135</f>
        <v>-0.19999999999999973</v>
      </c>
      <c r="H135" s="54"/>
      <c r="I135" s="30" t="s">
        <v>77</v>
      </c>
      <c r="J135" s="41">
        <f>E134/J133</f>
        <v>3</v>
      </c>
    </row>
    <row r="136" spans="2:12" ht="20.25" x14ac:dyDescent="0.25">
      <c r="B136" s="54">
        <v>2</v>
      </c>
      <c r="C136" s="54">
        <v>3</v>
      </c>
      <c r="D136" s="54">
        <v>0.3</v>
      </c>
      <c r="E136" s="54">
        <f>D137-D136</f>
        <v>0.39999999999999997</v>
      </c>
      <c r="F136" s="54">
        <f>E137-E136</f>
        <v>0.90000000000000013</v>
      </c>
      <c r="G136" s="54"/>
      <c r="H136" s="54"/>
      <c r="I136" s="30" t="s">
        <v>78</v>
      </c>
      <c r="J136" s="41">
        <f>F134/(2*J133^2)</f>
        <v>-4.4000000000000004</v>
      </c>
    </row>
    <row r="137" spans="2:12" ht="20.25" x14ac:dyDescent="0.25">
      <c r="B137" s="54">
        <v>3</v>
      </c>
      <c r="C137" s="54">
        <v>3.5</v>
      </c>
      <c r="D137" s="54">
        <v>0.7</v>
      </c>
      <c r="E137" s="54">
        <f>D138-D137</f>
        <v>1.3</v>
      </c>
      <c r="F137" s="54"/>
      <c r="G137" s="54"/>
      <c r="H137" s="54"/>
      <c r="I137" s="30" t="s">
        <v>79</v>
      </c>
      <c r="J137" s="41">
        <f>G134/(6*J133^3)</f>
        <v>4.3999999999999995</v>
      </c>
    </row>
    <row r="138" spans="2:12" ht="20.25" x14ac:dyDescent="0.25">
      <c r="B138" s="59">
        <v>4</v>
      </c>
      <c r="C138" s="59">
        <v>4</v>
      </c>
      <c r="D138" s="59">
        <v>2</v>
      </c>
      <c r="E138" s="59"/>
      <c r="F138" s="59"/>
      <c r="G138" s="59"/>
      <c r="H138" s="59"/>
      <c r="I138" s="30" t="s">
        <v>80</v>
      </c>
      <c r="J138" s="41">
        <f>H134/(24*J133^4)</f>
        <v>-2.333333333333333</v>
      </c>
    </row>
    <row r="141" spans="2:12" x14ac:dyDescent="0.25">
      <c r="B141" s="31" t="s">
        <v>81</v>
      </c>
      <c r="C141" s="33" t="s">
        <v>3</v>
      </c>
    </row>
    <row r="142" spans="2:12" x14ac:dyDescent="0.25">
      <c r="B142" s="30">
        <v>1</v>
      </c>
      <c r="C142" s="30">
        <f t="shared" ref="C142:C182" si="8">$J$134+$J$135*(B142 - $C$134)+$J$136*(B142 - $C$134)*(B142 - $C$135)+$J$137*(B142 - $C$134)*(B142 - $C$135)*(B142-$C$136)+$J$138*(B142 - $C$134)*(B142 - $C$135)*(B142-$C$136)*(B142-$C$137)</f>
        <v>-40.799999999999997</v>
      </c>
    </row>
    <row r="143" spans="2:12" x14ac:dyDescent="0.25">
      <c r="B143" s="30">
        <v>1.1000000000000001</v>
      </c>
      <c r="C143" s="30">
        <f t="shared" si="8"/>
        <v>-32.68399999999999</v>
      </c>
    </row>
    <row r="144" spans="2:12" ht="18.75" customHeight="1" x14ac:dyDescent="0.25">
      <c r="B144" s="30">
        <v>1.2</v>
      </c>
      <c r="C144" s="30">
        <f t="shared" si="8"/>
        <v>-25.7592</v>
      </c>
    </row>
    <row r="145" spans="2:3" ht="18.75" customHeight="1" x14ac:dyDescent="0.25">
      <c r="B145" s="30">
        <v>1.3</v>
      </c>
      <c r="C145" s="30">
        <f t="shared" si="8"/>
        <v>-19.909599999999998</v>
      </c>
    </row>
    <row r="146" spans="2:3" ht="18.75" customHeight="1" x14ac:dyDescent="0.25">
      <c r="B146" s="30">
        <v>1.4</v>
      </c>
      <c r="C146" s="30">
        <f t="shared" si="8"/>
        <v>-15.024800000000003</v>
      </c>
    </row>
    <row r="147" spans="2:3" ht="18.75" customHeight="1" x14ac:dyDescent="0.25">
      <c r="B147" s="30">
        <v>1.5</v>
      </c>
      <c r="C147" s="30">
        <f t="shared" si="8"/>
        <v>-11</v>
      </c>
    </row>
    <row r="148" spans="2:3" ht="18.75" customHeight="1" x14ac:dyDescent="0.25">
      <c r="B148" s="30">
        <v>1.6</v>
      </c>
      <c r="C148" s="30">
        <f t="shared" si="8"/>
        <v>-7.7359999999999971</v>
      </c>
    </row>
    <row r="149" spans="2:3" x14ac:dyDescent="0.25">
      <c r="B149" s="30">
        <v>1.7</v>
      </c>
      <c r="C149" s="30">
        <f t="shared" si="8"/>
        <v>-5.1392000000000007</v>
      </c>
    </row>
    <row r="150" spans="2:3" x14ac:dyDescent="0.25">
      <c r="B150" s="30">
        <v>1.8</v>
      </c>
      <c r="C150" s="30">
        <f t="shared" si="8"/>
        <v>-3.1215999999999995</v>
      </c>
    </row>
    <row r="151" spans="2:3" x14ac:dyDescent="0.25">
      <c r="B151" s="30">
        <v>1.9</v>
      </c>
      <c r="C151" s="30">
        <f t="shared" si="8"/>
        <v>-1.6008000000000009</v>
      </c>
    </row>
    <row r="152" spans="2:3" x14ac:dyDescent="0.25">
      <c r="B152" s="52">
        <v>2</v>
      </c>
      <c r="C152" s="52">
        <f t="shared" si="8"/>
        <v>-0.5</v>
      </c>
    </row>
    <row r="153" spans="2:3" x14ac:dyDescent="0.25">
      <c r="B153" s="30">
        <v>2.1</v>
      </c>
      <c r="C153" s="30">
        <f t="shared" si="8"/>
        <v>0.2520000000000005</v>
      </c>
    </row>
    <row r="154" spans="2:3" x14ac:dyDescent="0.25">
      <c r="B154" s="30">
        <v>2.2000000000000002</v>
      </c>
      <c r="C154" s="30">
        <f t="shared" si="8"/>
        <v>0.72080000000000055</v>
      </c>
    </row>
    <row r="155" spans="2:3" x14ac:dyDescent="0.25">
      <c r="B155" s="30">
        <v>2.2999999999999998</v>
      </c>
      <c r="C155" s="30">
        <f t="shared" si="8"/>
        <v>0.9663999999999997</v>
      </c>
    </row>
    <row r="156" spans="2:3" x14ac:dyDescent="0.25">
      <c r="B156" s="30">
        <v>2.4</v>
      </c>
      <c r="C156" s="30">
        <f t="shared" si="8"/>
        <v>1.0432000000000001</v>
      </c>
    </row>
    <row r="157" spans="2:3" x14ac:dyDescent="0.25">
      <c r="B157" s="52">
        <v>2.5</v>
      </c>
      <c r="C157" s="52">
        <f t="shared" si="8"/>
        <v>1</v>
      </c>
    </row>
    <row r="158" spans="2:3" x14ac:dyDescent="0.25">
      <c r="B158" s="30">
        <v>2.6</v>
      </c>
      <c r="C158" s="30">
        <f t="shared" si="8"/>
        <v>0.88</v>
      </c>
    </row>
    <row r="159" spans="2:3" x14ac:dyDescent="0.25">
      <c r="B159" s="30">
        <v>2.7</v>
      </c>
      <c r="C159" s="30">
        <f t="shared" si="8"/>
        <v>0.72079999999999966</v>
      </c>
    </row>
    <row r="160" spans="2:3" x14ac:dyDescent="0.25">
      <c r="B160" s="30">
        <v>2.8</v>
      </c>
      <c r="C160" s="30">
        <f t="shared" si="8"/>
        <v>0.55440000000000034</v>
      </c>
    </row>
    <row r="161" spans="2:3" x14ac:dyDescent="0.25">
      <c r="B161" s="30">
        <v>2.9</v>
      </c>
      <c r="C161" s="30">
        <f t="shared" si="8"/>
        <v>0.40720000000000001</v>
      </c>
    </row>
    <row r="162" spans="2:3" x14ac:dyDescent="0.25">
      <c r="B162" s="52">
        <v>3</v>
      </c>
      <c r="C162" s="52">
        <f t="shared" si="8"/>
        <v>0.29999999999999982</v>
      </c>
    </row>
    <row r="163" spans="2:3" x14ac:dyDescent="0.25">
      <c r="B163" s="30">
        <v>3.1</v>
      </c>
      <c r="C163" s="30">
        <f t="shared" si="8"/>
        <v>0.24799999999999978</v>
      </c>
    </row>
    <row r="164" spans="2:3" x14ac:dyDescent="0.25">
      <c r="B164" s="30">
        <v>3.2</v>
      </c>
      <c r="C164" s="30">
        <f t="shared" si="8"/>
        <v>0.26079999999999948</v>
      </c>
    </row>
    <row r="165" spans="2:3" x14ac:dyDescent="0.25">
      <c r="B165" s="30">
        <v>3.3</v>
      </c>
      <c r="C165" s="30">
        <f t="shared" si="8"/>
        <v>0.34239999999999915</v>
      </c>
    </row>
    <row r="166" spans="2:3" x14ac:dyDescent="0.25">
      <c r="B166" s="30">
        <v>3.4</v>
      </c>
      <c r="C166" s="30">
        <f t="shared" si="8"/>
        <v>0.49119999999999886</v>
      </c>
    </row>
    <row r="167" spans="2:3" x14ac:dyDescent="0.25">
      <c r="B167" s="52">
        <v>3.5</v>
      </c>
      <c r="C167" s="52">
        <f t="shared" si="8"/>
        <v>0.69999999999999929</v>
      </c>
    </row>
    <row r="168" spans="2:3" x14ac:dyDescent="0.25">
      <c r="B168" s="30">
        <v>3.6</v>
      </c>
      <c r="C168" s="30">
        <f t="shared" si="8"/>
        <v>0.95599999999999963</v>
      </c>
    </row>
    <row r="169" spans="2:3" x14ac:dyDescent="0.25">
      <c r="B169" s="30">
        <v>3.7</v>
      </c>
      <c r="C169" s="30">
        <f t="shared" si="8"/>
        <v>1.2407999999999997</v>
      </c>
    </row>
    <row r="170" spans="2:3" x14ac:dyDescent="0.25">
      <c r="B170" s="30">
        <v>3.8</v>
      </c>
      <c r="C170" s="30">
        <f t="shared" si="8"/>
        <v>1.5303999999999969</v>
      </c>
    </row>
    <row r="171" spans="2:3" x14ac:dyDescent="0.25">
      <c r="B171" s="30">
        <v>3.9</v>
      </c>
      <c r="C171" s="30">
        <f t="shared" si="8"/>
        <v>1.7951999999999995</v>
      </c>
    </row>
    <row r="172" spans="2:3" x14ac:dyDescent="0.25">
      <c r="B172" s="52">
        <v>4</v>
      </c>
      <c r="C172" s="52">
        <f t="shared" si="8"/>
        <v>1.9999999999999987</v>
      </c>
    </row>
    <row r="173" spans="2:3" x14ac:dyDescent="0.25">
      <c r="B173" s="30">
        <v>4.0999999999999996</v>
      </c>
      <c r="C173" s="30">
        <f t="shared" si="8"/>
        <v>2.1039999999999974</v>
      </c>
    </row>
    <row r="174" spans="2:3" x14ac:dyDescent="0.25">
      <c r="B174" s="30">
        <v>4.2</v>
      </c>
      <c r="C174" s="30">
        <f t="shared" si="8"/>
        <v>2.0607999999999986</v>
      </c>
    </row>
    <row r="175" spans="2:3" x14ac:dyDescent="0.25">
      <c r="B175" s="30">
        <v>4.3</v>
      </c>
      <c r="C175" s="30">
        <f t="shared" si="8"/>
        <v>1.8183999999999951</v>
      </c>
    </row>
    <row r="176" spans="2:3" x14ac:dyDescent="0.25">
      <c r="B176" s="30">
        <v>4.4000000000000004</v>
      </c>
      <c r="C176" s="30">
        <f t="shared" si="8"/>
        <v>1.3191999999999933</v>
      </c>
    </row>
    <row r="177" spans="2:3" x14ac:dyDescent="0.25">
      <c r="B177" s="30">
        <v>4.5</v>
      </c>
      <c r="C177" s="30">
        <f t="shared" si="8"/>
        <v>0.49999999999999645</v>
      </c>
    </row>
    <row r="178" spans="2:3" x14ac:dyDescent="0.25">
      <c r="B178" s="30">
        <v>4.5999999999999996</v>
      </c>
      <c r="C178" s="30">
        <f t="shared" si="8"/>
        <v>-0.70800000000000196</v>
      </c>
    </row>
    <row r="179" spans="2:3" x14ac:dyDescent="0.25">
      <c r="B179" s="30">
        <v>4.7</v>
      </c>
      <c r="C179" s="30">
        <f t="shared" si="8"/>
        <v>-2.3792000000000115</v>
      </c>
    </row>
    <row r="180" spans="2:3" x14ac:dyDescent="0.25">
      <c r="B180" s="30">
        <v>4.8</v>
      </c>
      <c r="C180" s="30">
        <f t="shared" si="8"/>
        <v>-4.593599999999995</v>
      </c>
    </row>
    <row r="181" spans="2:3" x14ac:dyDescent="0.25">
      <c r="B181" s="30">
        <v>4.9000000000000004</v>
      </c>
      <c r="C181" s="30">
        <f t="shared" si="8"/>
        <v>-7.4368000000000194</v>
      </c>
    </row>
    <row r="182" spans="2:3" x14ac:dyDescent="0.25">
      <c r="B182" s="30">
        <v>5</v>
      </c>
      <c r="C182" s="30">
        <f t="shared" si="8"/>
        <v>-10.999999999999986</v>
      </c>
    </row>
  </sheetData>
  <mergeCells count="4">
    <mergeCell ref="B63:L67"/>
    <mergeCell ref="B126:L130"/>
    <mergeCell ref="B12:L16"/>
    <mergeCell ref="E30:E31"/>
  </mergeCells>
  <pageMargins left="0.7" right="0.7" top="0.75" bottom="0.75" header="0.3" footer="0.3"/>
  <pageSetup paperSize="9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tabColor rgb="FFFFFFCC"/>
  </sheetPr>
  <dimension ref="B2:Q98"/>
  <sheetViews>
    <sheetView topLeftCell="A33" zoomScale="70" zoomScaleNormal="70" workbookViewId="0">
      <selection activeCell="E89" sqref="E89"/>
    </sheetView>
  </sheetViews>
  <sheetFormatPr defaultRowHeight="18.75" x14ac:dyDescent="0.25"/>
  <cols>
    <col min="1" max="3" width="9.140625" style="28"/>
    <col min="4" max="4" width="12.42578125" style="28" bestFit="1" customWidth="1"/>
    <col min="5" max="5" width="17.7109375" style="28" customWidth="1"/>
    <col min="6" max="6" width="9.28515625" style="28" customWidth="1"/>
    <col min="7" max="7" width="9.140625" style="28"/>
    <col min="8" max="8" width="12.5703125" style="28" customWidth="1"/>
    <col min="9" max="9" width="15.85546875" style="28" bestFit="1" customWidth="1"/>
    <col min="10" max="10" width="15.42578125" style="28" bestFit="1" customWidth="1"/>
    <col min="11" max="12" width="15.140625" style="28" bestFit="1" customWidth="1"/>
    <col min="13" max="13" width="12.5703125" style="28" bestFit="1" customWidth="1"/>
    <col min="14" max="14" width="17.5703125" style="28" bestFit="1" customWidth="1"/>
    <col min="15" max="15" width="22.7109375" style="28" bestFit="1" customWidth="1"/>
    <col min="16" max="16" width="11.5703125" style="28" bestFit="1" customWidth="1"/>
    <col min="17" max="17" width="10" style="28" customWidth="1"/>
    <col min="18" max="18" width="12.42578125" style="28" customWidth="1"/>
    <col min="19" max="19" width="10" style="28" customWidth="1"/>
    <col min="20" max="20" width="10.140625" style="28" bestFit="1" customWidth="1"/>
    <col min="21" max="21" width="10.5703125" style="28" bestFit="1" customWidth="1"/>
    <col min="22" max="22" width="14.5703125" style="28" customWidth="1"/>
    <col min="23" max="16384" width="9.140625" style="28"/>
  </cols>
  <sheetData>
    <row r="2" spans="7:15" x14ac:dyDescent="0.25">
      <c r="K2" s="31" t="s">
        <v>2</v>
      </c>
      <c r="L2" s="33" t="s">
        <v>45</v>
      </c>
      <c r="M2" s="52" t="s">
        <v>86</v>
      </c>
      <c r="N2" s="77" t="s">
        <v>87</v>
      </c>
      <c r="O2" s="76" t="s">
        <v>88</v>
      </c>
    </row>
    <row r="3" spans="7:15" x14ac:dyDescent="0.25">
      <c r="K3" s="35">
        <v>0.01</v>
      </c>
      <c r="L3" s="36">
        <v>10</v>
      </c>
      <c r="M3" s="56">
        <f t="shared" ref="M3:M14" si="0">K3*$M$16+$M$17</f>
        <v>8.6105395043682602</v>
      </c>
      <c r="N3" s="56">
        <f t="shared" ref="N3:N14" si="1">$N$16*K3*K3+$N$17*K3+$N$18</f>
        <v>9.5525524949367373</v>
      </c>
      <c r="O3" s="56">
        <f t="shared" ref="O3:O14" si="2">$O$16*(K3^4)+$O$17*K3+$O$18</f>
        <v>9.180580865268551</v>
      </c>
    </row>
    <row r="4" spans="7:15" x14ac:dyDescent="0.25">
      <c r="K4" s="35">
        <v>0.02</v>
      </c>
      <c r="L4" s="36">
        <v>9.2200000000000006</v>
      </c>
      <c r="M4" s="56">
        <f t="shared" si="0"/>
        <v>8.5204645377090849</v>
      </c>
      <c r="N4" s="56">
        <f t="shared" si="1"/>
        <v>9.3834542076149727</v>
      </c>
      <c r="O4" s="56">
        <f t="shared" si="2"/>
        <v>9.0592863191463859</v>
      </c>
    </row>
    <row r="5" spans="7:15" x14ac:dyDescent="0.25">
      <c r="K5" s="35">
        <v>0.10199999999999999</v>
      </c>
      <c r="L5" s="36">
        <v>8.5</v>
      </c>
      <c r="M5" s="56">
        <f t="shared" si="0"/>
        <v>7.7818498111038448</v>
      </c>
      <c r="N5" s="56">
        <f t="shared" si="1"/>
        <v>8.0598565431355151</v>
      </c>
      <c r="O5" s="56">
        <f t="shared" si="2"/>
        <v>8.0650743260401541</v>
      </c>
    </row>
    <row r="6" spans="7:15" ht="21" x14ac:dyDescent="0.25">
      <c r="G6" s="28" t="s">
        <v>82</v>
      </c>
      <c r="H6" s="222" t="s">
        <v>83</v>
      </c>
      <c r="I6" s="222"/>
      <c r="K6" s="35">
        <v>0.20300000000000001</v>
      </c>
      <c r="L6" s="36">
        <v>6.12</v>
      </c>
      <c r="M6" s="56">
        <f t="shared" si="0"/>
        <v>6.8720926478461708</v>
      </c>
      <c r="N6" s="56">
        <f t="shared" si="1"/>
        <v>6.5839435996760782</v>
      </c>
      <c r="O6" s="56">
        <f t="shared" si="2"/>
        <v>6.8459944334052976</v>
      </c>
    </row>
    <row r="7" spans="7:15" x14ac:dyDescent="0.25">
      <c r="K7" s="35">
        <v>0.34</v>
      </c>
      <c r="L7" s="36">
        <v>4.3</v>
      </c>
      <c r="M7" s="56">
        <f t="shared" si="0"/>
        <v>5.6380656046154645</v>
      </c>
      <c r="N7" s="56">
        <f t="shared" si="1"/>
        <v>4.8542914614403641</v>
      </c>
      <c r="O7" s="56">
        <f t="shared" si="2"/>
        <v>5.2282780774735853</v>
      </c>
    </row>
    <row r="8" spans="7:15" x14ac:dyDescent="0.25">
      <c r="K8" s="35">
        <v>0.40400000000000003</v>
      </c>
      <c r="L8" s="36">
        <v>3.4</v>
      </c>
      <c r="M8" s="56">
        <f t="shared" si="0"/>
        <v>5.0615858179967406</v>
      </c>
      <c r="N8" s="56">
        <f t="shared" si="1"/>
        <v>4.1537202819501617</v>
      </c>
      <c r="O8" s="56">
        <f t="shared" si="2"/>
        <v>4.5020959869038188</v>
      </c>
    </row>
    <row r="9" spans="7:15" x14ac:dyDescent="0.25">
      <c r="K9" s="35">
        <v>0.55500000000000005</v>
      </c>
      <c r="L9" s="36">
        <v>3.33</v>
      </c>
      <c r="M9" s="56">
        <f t="shared" si="0"/>
        <v>3.7014538214431889</v>
      </c>
      <c r="N9" s="56">
        <f t="shared" si="1"/>
        <v>2.7719612933923159</v>
      </c>
      <c r="O9" s="56">
        <f t="shared" si="2"/>
        <v>2.9280907663357132</v>
      </c>
    </row>
    <row r="10" spans="7:15" x14ac:dyDescent="0.25">
      <c r="K10" s="35">
        <v>0.6</v>
      </c>
      <c r="L10" s="36">
        <v>2.5</v>
      </c>
      <c r="M10" s="56">
        <f t="shared" si="0"/>
        <v>3.2961164714768989</v>
      </c>
      <c r="N10" s="56">
        <f t="shared" si="1"/>
        <v>2.4338443928323352</v>
      </c>
      <c r="O10" s="56">
        <f t="shared" si="2"/>
        <v>2.5133051458837476</v>
      </c>
    </row>
    <row r="11" spans="7:15" x14ac:dyDescent="0.25">
      <c r="K11" s="35">
        <v>0.77700000000000002</v>
      </c>
      <c r="L11" s="36">
        <v>2.2200000000000002</v>
      </c>
      <c r="M11" s="56">
        <f t="shared" si="0"/>
        <v>1.7017895616094902</v>
      </c>
      <c r="N11" s="56">
        <f t="shared" si="1"/>
        <v>1.4321055907481064</v>
      </c>
      <c r="O11" s="56">
        <f t="shared" si="2"/>
        <v>1.2528979245779723</v>
      </c>
    </row>
    <row r="12" spans="7:15" x14ac:dyDescent="0.25">
      <c r="K12" s="35">
        <v>0.87</v>
      </c>
      <c r="L12" s="36">
        <v>1.5</v>
      </c>
      <c r="M12" s="56">
        <f t="shared" si="0"/>
        <v>0.86409237167915798</v>
      </c>
      <c r="N12" s="56">
        <f t="shared" si="1"/>
        <v>1.115489648684207</v>
      </c>
      <c r="O12" s="56">
        <f t="shared" si="2"/>
        <v>0.91142965909222262</v>
      </c>
    </row>
    <row r="13" spans="7:15" x14ac:dyDescent="0.25">
      <c r="K13" s="35">
        <v>0.90500000000000003</v>
      </c>
      <c r="L13" s="36">
        <v>1.1000000000000001</v>
      </c>
      <c r="M13" s="56">
        <f t="shared" si="0"/>
        <v>0.54882998837204333</v>
      </c>
      <c r="N13" s="56">
        <f t="shared" si="1"/>
        <v>1.0337505485413789</v>
      </c>
      <c r="O13" s="56">
        <f t="shared" si="2"/>
        <v>0.85640704244619315</v>
      </c>
    </row>
    <row r="14" spans="7:15" x14ac:dyDescent="0.25">
      <c r="K14" s="46">
        <v>1</v>
      </c>
      <c r="L14" s="47">
        <v>0.1</v>
      </c>
      <c r="M14" s="60">
        <f t="shared" si="0"/>
        <v>-0.30688219489012525</v>
      </c>
      <c r="N14" s="60">
        <f t="shared" si="1"/>
        <v>0.91503579220150222</v>
      </c>
      <c r="O14" s="60">
        <f t="shared" si="2"/>
        <v>0.94656179183576583</v>
      </c>
    </row>
    <row r="16" spans="7:15" x14ac:dyDescent="0.3">
      <c r="L16" s="62" t="s">
        <v>7</v>
      </c>
      <c r="M16" s="177">
        <v>-9.0074966659175608</v>
      </c>
      <c r="N16" s="178">
        <v>8.3521065163052981</v>
      </c>
      <c r="O16" s="179">
        <v>3.7741970772300895</v>
      </c>
    </row>
    <row r="17" spans="2:16" x14ac:dyDescent="0.3">
      <c r="L17" s="54" t="s">
        <v>94</v>
      </c>
      <c r="M17" s="180">
        <v>8.7006144710274356</v>
      </c>
      <c r="N17" s="181">
        <v>-17.160391927665557</v>
      </c>
      <c r="O17" s="182">
        <v>-12.12951122517263</v>
      </c>
    </row>
    <row r="18" spans="2:16" x14ac:dyDescent="0.3">
      <c r="L18" s="59" t="s">
        <v>50</v>
      </c>
      <c r="M18" s="183"/>
      <c r="N18" s="184">
        <v>9.7233212035617615</v>
      </c>
      <c r="O18" s="185">
        <v>9.3018759397783057</v>
      </c>
    </row>
    <row r="19" spans="2:16" x14ac:dyDescent="0.3">
      <c r="L19" s="53"/>
      <c r="M19" s="53"/>
      <c r="N19" s="53"/>
      <c r="O19" s="53"/>
    </row>
    <row r="20" spans="2:16" x14ac:dyDescent="0.3">
      <c r="L20" s="30" t="s">
        <v>96</v>
      </c>
      <c r="M20" s="186">
        <f>SUMXMY2(L3:L14,M3:M14)</f>
        <v>9.9666618195741261</v>
      </c>
      <c r="N20" s="186">
        <f>SUMXMY2(L3:L14,N3:N14)</f>
        <v>3.2643116669437018</v>
      </c>
      <c r="O20" s="186">
        <f>SUMXMY2(L3:L14,O3:O14)</f>
        <v>5.7092345441095027</v>
      </c>
    </row>
    <row r="24" spans="2:16" x14ac:dyDescent="0.25">
      <c r="B24" s="27" t="s">
        <v>82</v>
      </c>
    </row>
    <row r="28" spans="2:16" x14ac:dyDescent="0.25">
      <c r="O28" s="29" t="s">
        <v>84</v>
      </c>
      <c r="P28" s="29" t="s">
        <v>85</v>
      </c>
    </row>
    <row r="29" spans="2:16" x14ac:dyDescent="0.25">
      <c r="B29" s="30" t="s">
        <v>2</v>
      </c>
      <c r="C29" s="31">
        <v>0.01</v>
      </c>
      <c r="D29" s="31">
        <v>0.02</v>
      </c>
      <c r="E29" s="31">
        <v>0.10199999999999999</v>
      </c>
      <c r="F29" s="31">
        <v>0.20300000000000001</v>
      </c>
      <c r="G29" s="31">
        <v>0.34</v>
      </c>
      <c r="H29" s="31">
        <v>0.40400000000000003</v>
      </c>
      <c r="I29" s="31">
        <v>0.55500000000000005</v>
      </c>
      <c r="J29" s="31">
        <v>0.6</v>
      </c>
      <c r="K29" s="31">
        <v>0.77700000000000002</v>
      </c>
      <c r="L29" s="31">
        <v>0.87</v>
      </c>
      <c r="M29" s="31">
        <v>0.90500000000000003</v>
      </c>
      <c r="N29" s="31">
        <v>1</v>
      </c>
      <c r="O29" s="90">
        <f>SUM(C40:N40)</f>
        <v>5.7860000000000005</v>
      </c>
      <c r="P29" s="29">
        <f>COUNT(C40:N40)</f>
        <v>12</v>
      </c>
    </row>
    <row r="30" spans="2:16" x14ac:dyDescent="0.25">
      <c r="B30" s="30" t="s">
        <v>45</v>
      </c>
      <c r="C30" s="32">
        <v>10</v>
      </c>
      <c r="D30" s="33">
        <v>9.2200000000000006</v>
      </c>
      <c r="E30" s="33">
        <v>8.5</v>
      </c>
      <c r="F30" s="33">
        <v>6.12</v>
      </c>
      <c r="G30" s="33">
        <v>4.3</v>
      </c>
      <c r="H30" s="33">
        <v>3.4</v>
      </c>
      <c r="I30" s="33">
        <v>3.33</v>
      </c>
      <c r="J30" s="33">
        <v>2.5</v>
      </c>
      <c r="K30" s="33">
        <v>2.2200000000000002</v>
      </c>
      <c r="L30" s="33">
        <v>1.5</v>
      </c>
      <c r="M30" s="33">
        <v>1.1000000000000001</v>
      </c>
      <c r="N30" s="33">
        <v>0.1</v>
      </c>
      <c r="O30" s="90">
        <f t="shared" ref="O30:O32" si="3">SUM(C30:N30)</f>
        <v>52.289999999999992</v>
      </c>
    </row>
    <row r="31" spans="2:16" ht="21" x14ac:dyDescent="0.25">
      <c r="B31" s="30" t="s">
        <v>89</v>
      </c>
      <c r="C31" s="34">
        <f t="shared" ref="C31:N31" si="4">C40^2</f>
        <v>1E-4</v>
      </c>
      <c r="D31" s="34">
        <f t="shared" si="4"/>
        <v>4.0000000000000002E-4</v>
      </c>
      <c r="E31" s="34">
        <f t="shared" si="4"/>
        <v>1.0403999999999998E-2</v>
      </c>
      <c r="F31" s="34">
        <f t="shared" si="4"/>
        <v>4.1209000000000003E-2</v>
      </c>
      <c r="G31" s="34">
        <f t="shared" si="4"/>
        <v>0.11560000000000002</v>
      </c>
      <c r="H31" s="34">
        <f t="shared" si="4"/>
        <v>0.16321600000000003</v>
      </c>
      <c r="I31" s="34">
        <f t="shared" si="4"/>
        <v>0.30802500000000005</v>
      </c>
      <c r="J31" s="34">
        <f t="shared" si="4"/>
        <v>0.36</v>
      </c>
      <c r="K31" s="34">
        <f t="shared" si="4"/>
        <v>0.60372900000000007</v>
      </c>
      <c r="L31" s="34">
        <f t="shared" si="4"/>
        <v>0.75690000000000002</v>
      </c>
      <c r="M31" s="34">
        <f t="shared" si="4"/>
        <v>0.819025</v>
      </c>
      <c r="N31" s="34">
        <f t="shared" si="4"/>
        <v>1</v>
      </c>
      <c r="O31" s="90">
        <f t="shared" si="3"/>
        <v>4.1786080000000005</v>
      </c>
    </row>
    <row r="32" spans="2:16" x14ac:dyDescent="0.25">
      <c r="B32" s="30" t="s">
        <v>90</v>
      </c>
      <c r="C32" s="34">
        <f t="shared" ref="C32:N32" si="5">C40*C30</f>
        <v>0.1</v>
      </c>
      <c r="D32" s="34">
        <f t="shared" si="5"/>
        <v>0.18440000000000001</v>
      </c>
      <c r="E32" s="34">
        <f t="shared" si="5"/>
        <v>0.86699999999999999</v>
      </c>
      <c r="F32" s="34">
        <f t="shared" si="5"/>
        <v>1.2423600000000001</v>
      </c>
      <c r="G32" s="34">
        <f t="shared" si="5"/>
        <v>1.462</v>
      </c>
      <c r="H32" s="34">
        <f t="shared" si="5"/>
        <v>1.3736000000000002</v>
      </c>
      <c r="I32" s="34">
        <f t="shared" si="5"/>
        <v>1.8481500000000002</v>
      </c>
      <c r="J32" s="34">
        <f t="shared" si="5"/>
        <v>1.5</v>
      </c>
      <c r="K32" s="34">
        <f t="shared" si="5"/>
        <v>1.7249400000000001</v>
      </c>
      <c r="L32" s="34">
        <f t="shared" si="5"/>
        <v>1.3049999999999999</v>
      </c>
      <c r="M32" s="34">
        <f t="shared" si="5"/>
        <v>0.99550000000000016</v>
      </c>
      <c r="N32" s="34">
        <f t="shared" si="5"/>
        <v>0.1</v>
      </c>
      <c r="O32" s="90">
        <f t="shared" si="3"/>
        <v>12.70295</v>
      </c>
    </row>
    <row r="35" spans="2:17" x14ac:dyDescent="0.25">
      <c r="I35" s="30" t="s">
        <v>91</v>
      </c>
      <c r="J35" s="30" t="s">
        <v>92</v>
      </c>
      <c r="K35" s="30" t="s">
        <v>54</v>
      </c>
      <c r="L35" s="30" t="s">
        <v>144</v>
      </c>
    </row>
    <row r="36" spans="2:17" ht="21" x14ac:dyDescent="0.25">
      <c r="E36" s="37">
        <f>O31</f>
        <v>4.1786080000000005</v>
      </c>
      <c r="F36" s="38">
        <f>O29</f>
        <v>5.7860000000000005</v>
      </c>
      <c r="G36" s="39">
        <f>O32</f>
        <v>12.70295</v>
      </c>
      <c r="H36" s="40" t="s">
        <v>56</v>
      </c>
      <c r="I36" s="78">
        <f>_xludf.gauss(E36:F37,G36:G37,1)</f>
        <v>-9.0075029252047614</v>
      </c>
      <c r="J36" s="93">
        <f t="array" ref="J36:J37">MMULT(MINVERSE(E36:F37),G36:G37)</f>
        <v>-9.0075029252047649</v>
      </c>
      <c r="K36" s="79">
        <f>SLOPE(C30:N30,C29:N29)</f>
        <v>-9.0075029252047631</v>
      </c>
      <c r="L36" s="167">
        <f>kramer($E$36:$F$37,$G$36:$G$37,1)</f>
        <v>-9.0075029252047614</v>
      </c>
      <c r="N36" s="95" t="s">
        <v>156</v>
      </c>
      <c r="O36" s="96" t="s">
        <v>166</v>
      </c>
      <c r="P36" s="104" t="s">
        <v>160</v>
      </c>
    </row>
    <row r="37" spans="2:17" ht="21" x14ac:dyDescent="0.25">
      <c r="E37" s="86">
        <f>O29</f>
        <v>5.7860000000000005</v>
      </c>
      <c r="F37" s="43">
        <f>P29</f>
        <v>12</v>
      </c>
      <c r="G37" s="44">
        <f>O30</f>
        <v>52.289999999999992</v>
      </c>
      <c r="H37" s="40" t="s">
        <v>56</v>
      </c>
      <c r="I37" s="78">
        <f>_xludf.gauss(E36:F37,G36:G37,2)</f>
        <v>8.7006176604362295</v>
      </c>
      <c r="J37" s="93">
        <v>8.7006176604362313</v>
      </c>
      <c r="K37" s="79">
        <f>INTERCEPT(C30:N30,C29:N29)</f>
        <v>8.7006176604362295</v>
      </c>
      <c r="L37" s="167">
        <f>kramer($E$36:$F$37,$G$36:$G$37,2)</f>
        <v>8.7006176604362295</v>
      </c>
      <c r="N37" s="101" t="s">
        <v>164</v>
      </c>
      <c r="O37" s="102" t="s">
        <v>167</v>
      </c>
      <c r="P37" s="106" t="s">
        <v>159</v>
      </c>
      <c r="Q37"/>
    </row>
    <row r="40" spans="2:17" x14ac:dyDescent="0.25">
      <c r="B40" s="31" t="s">
        <v>2</v>
      </c>
      <c r="C40" s="31">
        <v>0.01</v>
      </c>
      <c r="D40" s="31">
        <v>0.02</v>
      </c>
      <c r="E40" s="31">
        <v>0.10199999999999999</v>
      </c>
      <c r="F40" s="31">
        <v>0.20300000000000001</v>
      </c>
      <c r="G40" s="31">
        <v>0.34</v>
      </c>
      <c r="H40" s="31">
        <v>0.40400000000000003</v>
      </c>
      <c r="I40" s="31">
        <v>0.55500000000000005</v>
      </c>
      <c r="J40" s="31">
        <v>0.6</v>
      </c>
      <c r="K40" s="31">
        <v>0.77700000000000002</v>
      </c>
      <c r="L40" s="31">
        <v>0.87</v>
      </c>
      <c r="M40" s="31">
        <v>0.90500000000000003</v>
      </c>
      <c r="N40" s="31">
        <v>1</v>
      </c>
    </row>
    <row r="41" spans="2:17" x14ac:dyDescent="0.25">
      <c r="B41" s="39" t="s">
        <v>3</v>
      </c>
      <c r="C41" s="39">
        <f t="shared" ref="C41:N41" si="6">$I$36*C40+$I$37</f>
        <v>8.6105426311841811</v>
      </c>
      <c r="D41" s="39">
        <f t="shared" si="6"/>
        <v>8.5204676019321344</v>
      </c>
      <c r="E41" s="39">
        <f t="shared" si="6"/>
        <v>7.7818523620653437</v>
      </c>
      <c r="F41" s="39">
        <f t="shared" si="6"/>
        <v>6.8720945666196629</v>
      </c>
      <c r="G41" s="39">
        <f t="shared" si="6"/>
        <v>5.6380666658666101</v>
      </c>
      <c r="H41" s="39">
        <f t="shared" si="6"/>
        <v>5.0615864786535063</v>
      </c>
      <c r="I41" s="39">
        <f t="shared" si="6"/>
        <v>3.7014535369475867</v>
      </c>
      <c r="J41" s="39">
        <f t="shared" si="6"/>
        <v>3.2961159053133731</v>
      </c>
      <c r="K41" s="39">
        <f t="shared" si="6"/>
        <v>1.70178788755213</v>
      </c>
      <c r="L41" s="39">
        <f t="shared" si="6"/>
        <v>0.86409011550808756</v>
      </c>
      <c r="M41" s="39">
        <f t="shared" si="6"/>
        <v>0.54882751312591971</v>
      </c>
      <c r="N41" s="39">
        <f t="shared" si="6"/>
        <v>-0.30688526476853184</v>
      </c>
    </row>
    <row r="42" spans="2:17" x14ac:dyDescent="0.25">
      <c r="B42" s="45" t="s">
        <v>93</v>
      </c>
      <c r="C42" s="45">
        <f>(C30-C41)^2</f>
        <v>1.9305917797565786</v>
      </c>
      <c r="D42" s="45">
        <f t="shared" ref="D42:N42" si="7">(D30-D41)^2</f>
        <v>0.48934557594657974</v>
      </c>
      <c r="E42" s="45">
        <f t="shared" si="7"/>
        <v>0.51573602987112621</v>
      </c>
      <c r="F42" s="45">
        <f t="shared" si="7"/>
        <v>0.56564623713881834</v>
      </c>
      <c r="G42" s="45">
        <f t="shared" si="7"/>
        <v>1.7904224023033868</v>
      </c>
      <c r="H42" s="45">
        <f t="shared" si="7"/>
        <v>2.7608696260441592</v>
      </c>
      <c r="I42" s="45">
        <f>(I30-I41)^2</f>
        <v>0.13797773011087211</v>
      </c>
      <c r="J42" s="45">
        <f t="shared" si="7"/>
        <v>0.63380053469293163</v>
      </c>
      <c r="K42" s="45">
        <f t="shared" si="7"/>
        <v>0.26854379348768409</v>
      </c>
      <c r="L42" s="45">
        <f t="shared" si="7"/>
        <v>0.40438138119451744</v>
      </c>
      <c r="M42" s="45">
        <f t="shared" si="7"/>
        <v>0.30379111028695832</v>
      </c>
      <c r="N42" s="45">
        <f t="shared" si="7"/>
        <v>0.16555561868575824</v>
      </c>
      <c r="O42" s="150">
        <f>SUM(C42:N42)</f>
        <v>9.9666618195193717</v>
      </c>
    </row>
    <row r="50" spans="2:15" ht="21" x14ac:dyDescent="0.25">
      <c r="B50" s="224" t="s">
        <v>83</v>
      </c>
      <c r="C50" s="224"/>
    </row>
    <row r="51" spans="2:15" x14ac:dyDescent="0.25">
      <c r="O51" s="41" t="s">
        <v>95</v>
      </c>
    </row>
    <row r="52" spans="2:15" x14ac:dyDescent="0.25">
      <c r="B52" s="30" t="s">
        <v>2</v>
      </c>
      <c r="C52" s="31">
        <v>0.01</v>
      </c>
      <c r="D52" s="31">
        <v>0.02</v>
      </c>
      <c r="E52" s="31">
        <v>0.10199999999999999</v>
      </c>
      <c r="F52" s="31">
        <v>0.20300000000000001</v>
      </c>
      <c r="G52" s="31">
        <v>0.34</v>
      </c>
      <c r="H52" s="31">
        <v>0.40400000000000003</v>
      </c>
      <c r="I52" s="31">
        <v>0.55500000000000005</v>
      </c>
      <c r="J52" s="31">
        <v>0.6</v>
      </c>
      <c r="K52" s="31">
        <v>0.77700000000000002</v>
      </c>
      <c r="L52" s="31">
        <v>0.87</v>
      </c>
      <c r="M52" s="31">
        <v>0.90500000000000003</v>
      </c>
      <c r="N52" s="48">
        <v>1</v>
      </c>
      <c r="O52" s="78">
        <f>SUM(C52:N52)</f>
        <v>5.7860000000000005</v>
      </c>
    </row>
    <row r="53" spans="2:15" x14ac:dyDescent="0.25">
      <c r="B53" s="30" t="s">
        <v>45</v>
      </c>
      <c r="C53" s="32">
        <v>10</v>
      </c>
      <c r="D53" s="33">
        <v>9.2200000000000006</v>
      </c>
      <c r="E53" s="33">
        <v>8.5</v>
      </c>
      <c r="F53" s="33">
        <v>6.12</v>
      </c>
      <c r="G53" s="33">
        <v>4.3</v>
      </c>
      <c r="H53" s="33">
        <v>3.4</v>
      </c>
      <c r="I53" s="33">
        <v>3.33</v>
      </c>
      <c r="J53" s="33">
        <v>2.5</v>
      </c>
      <c r="K53" s="33">
        <v>2.2200000000000002</v>
      </c>
      <c r="L53" s="33">
        <v>1.5</v>
      </c>
      <c r="M53" s="33">
        <v>1.1000000000000001</v>
      </c>
      <c r="N53" s="49">
        <v>0.1</v>
      </c>
      <c r="O53" s="78">
        <f t="shared" ref="O53" si="8">SUM(C53:N53)</f>
        <v>52.289999999999992</v>
      </c>
    </row>
    <row r="54" spans="2:15" ht="21" x14ac:dyDescent="0.25">
      <c r="B54" s="30" t="s">
        <v>89</v>
      </c>
      <c r="C54" s="34">
        <v>1E-4</v>
      </c>
      <c r="D54" s="34">
        <v>4.0000000000000002E-4</v>
      </c>
      <c r="E54" s="34">
        <v>1.0403999999999998E-2</v>
      </c>
      <c r="F54" s="34">
        <v>4.1209000000000003E-2</v>
      </c>
      <c r="G54" s="34">
        <v>0.11560000000000002</v>
      </c>
      <c r="H54" s="34">
        <v>0.16321600000000003</v>
      </c>
      <c r="I54" s="34">
        <v>0.30802500000000005</v>
      </c>
      <c r="J54" s="34">
        <v>0.36</v>
      </c>
      <c r="K54" s="34">
        <v>0.60372900000000007</v>
      </c>
      <c r="L54" s="34">
        <v>0.75690000000000002</v>
      </c>
      <c r="M54" s="34">
        <v>0.819025</v>
      </c>
      <c r="N54" s="50">
        <v>1</v>
      </c>
      <c r="O54" s="78">
        <f>SUM(C54:N54)</f>
        <v>4.1786080000000005</v>
      </c>
    </row>
    <row r="55" spans="2:15" ht="21" x14ac:dyDescent="0.25">
      <c r="B55" s="30" t="s">
        <v>97</v>
      </c>
      <c r="C55" s="34">
        <f t="shared" ref="C55:N55" si="9">C52^3</f>
        <v>1.0000000000000002E-6</v>
      </c>
      <c r="D55" s="34">
        <f t="shared" si="9"/>
        <v>8.0000000000000013E-6</v>
      </c>
      <c r="E55" s="34">
        <f t="shared" si="9"/>
        <v>1.0612079999999997E-3</v>
      </c>
      <c r="F55" s="34">
        <f t="shared" si="9"/>
        <v>8.3654270000000017E-3</v>
      </c>
      <c r="G55" s="34">
        <f t="shared" si="9"/>
        <v>3.9304000000000013E-2</v>
      </c>
      <c r="H55" s="34">
        <f t="shared" si="9"/>
        <v>6.5939264000000011E-2</v>
      </c>
      <c r="I55" s="34">
        <f t="shared" si="9"/>
        <v>0.17095387500000003</v>
      </c>
      <c r="J55" s="34">
        <f t="shared" si="9"/>
        <v>0.216</v>
      </c>
      <c r="K55" s="34">
        <f t="shared" si="9"/>
        <v>0.46909743300000006</v>
      </c>
      <c r="L55" s="34">
        <f t="shared" si="9"/>
        <v>0.65850300000000006</v>
      </c>
      <c r="M55" s="34">
        <f t="shared" si="9"/>
        <v>0.74121762499999999</v>
      </c>
      <c r="N55" s="50">
        <f t="shared" si="9"/>
        <v>1</v>
      </c>
      <c r="O55" s="78">
        <f>SUM(C55:N55)</f>
        <v>3.3704508320000004</v>
      </c>
    </row>
    <row r="56" spans="2:15" ht="21" x14ac:dyDescent="0.25">
      <c r="B56" s="30" t="s">
        <v>98</v>
      </c>
      <c r="C56" s="34">
        <f t="shared" ref="C56:N56" si="10">C52^4</f>
        <v>1E-8</v>
      </c>
      <c r="D56" s="34">
        <f t="shared" si="10"/>
        <v>1.6E-7</v>
      </c>
      <c r="E56" s="34">
        <f t="shared" si="10"/>
        <v>1.0824321599999996E-4</v>
      </c>
      <c r="F56" s="34">
        <f t="shared" si="10"/>
        <v>1.6981816810000003E-3</v>
      </c>
      <c r="G56" s="34">
        <f t="shared" si="10"/>
        <v>1.3363360000000005E-2</v>
      </c>
      <c r="H56" s="34">
        <f t="shared" si="10"/>
        <v>2.663946265600001E-2</v>
      </c>
      <c r="I56" s="34">
        <f t="shared" si="10"/>
        <v>9.4879400625000027E-2</v>
      </c>
      <c r="J56" s="34">
        <f t="shared" si="10"/>
        <v>0.12959999999999999</v>
      </c>
      <c r="K56" s="34">
        <f t="shared" si="10"/>
        <v>0.36448870544100009</v>
      </c>
      <c r="L56" s="34">
        <f t="shared" si="10"/>
        <v>0.57289761000000006</v>
      </c>
      <c r="M56" s="34">
        <f t="shared" si="10"/>
        <v>0.67080195062500003</v>
      </c>
      <c r="N56" s="50">
        <f t="shared" si="10"/>
        <v>1</v>
      </c>
      <c r="O56" s="78">
        <f>SUM(C56:N56)</f>
        <v>2.8744770842439999</v>
      </c>
    </row>
    <row r="57" spans="2:15" x14ac:dyDescent="0.25">
      <c r="B57" s="30" t="s">
        <v>90</v>
      </c>
      <c r="C57" s="34">
        <v>0.1</v>
      </c>
      <c r="D57" s="34">
        <v>0.18440000000000001</v>
      </c>
      <c r="E57" s="34">
        <v>0.86699999999999999</v>
      </c>
      <c r="F57" s="34">
        <v>1.2423600000000001</v>
      </c>
      <c r="G57" s="34">
        <v>1.462</v>
      </c>
      <c r="H57" s="34">
        <v>1.3736000000000002</v>
      </c>
      <c r="I57" s="34">
        <v>1.8481500000000002</v>
      </c>
      <c r="J57" s="34">
        <v>1.5</v>
      </c>
      <c r="K57" s="34">
        <v>1.7249400000000001</v>
      </c>
      <c r="L57" s="34">
        <v>1.3049999999999999</v>
      </c>
      <c r="M57" s="34">
        <v>0.99550000000000016</v>
      </c>
      <c r="N57" s="50">
        <v>0.1</v>
      </c>
      <c r="O57" s="78">
        <f>SUM(C57:N57)</f>
        <v>12.70295</v>
      </c>
    </row>
    <row r="58" spans="2:15" ht="21" x14ac:dyDescent="0.25">
      <c r="B58" s="30" t="s">
        <v>99</v>
      </c>
      <c r="C58" s="34">
        <f t="shared" ref="C58:N58" si="11">C54*C53</f>
        <v>1E-3</v>
      </c>
      <c r="D58" s="34">
        <f t="shared" si="11"/>
        <v>3.6880000000000003E-3</v>
      </c>
      <c r="E58" s="34">
        <f t="shared" si="11"/>
        <v>8.8433999999999985E-2</v>
      </c>
      <c r="F58" s="34">
        <f t="shared" si="11"/>
        <v>0.25219908000000002</v>
      </c>
      <c r="G58" s="34">
        <f t="shared" si="11"/>
        <v>0.49708000000000008</v>
      </c>
      <c r="H58" s="34">
        <f t="shared" si="11"/>
        <v>0.55493440000000005</v>
      </c>
      <c r="I58" s="34">
        <f t="shared" si="11"/>
        <v>1.0257232500000002</v>
      </c>
      <c r="J58" s="34">
        <f t="shared" si="11"/>
        <v>0.89999999999999991</v>
      </c>
      <c r="K58" s="34">
        <f t="shared" si="11"/>
        <v>1.3402783800000002</v>
      </c>
      <c r="L58" s="34">
        <f t="shared" si="11"/>
        <v>1.1353500000000001</v>
      </c>
      <c r="M58" s="34">
        <f t="shared" si="11"/>
        <v>0.9009275000000001</v>
      </c>
      <c r="N58" s="34">
        <f t="shared" si="11"/>
        <v>0.1</v>
      </c>
      <c r="O58" s="78">
        <f>SUM(C58:N58)</f>
        <v>6.7996146099999999</v>
      </c>
    </row>
    <row r="60" spans="2:15" x14ac:dyDescent="0.25">
      <c r="G60" s="30" t="s">
        <v>91</v>
      </c>
      <c r="H60" s="30" t="s">
        <v>92</v>
      </c>
      <c r="I60" s="30" t="s">
        <v>144</v>
      </c>
    </row>
    <row r="61" spans="2:15" ht="21" x14ac:dyDescent="0.25">
      <c r="B61" s="94">
        <f>O56</f>
        <v>2.8744770842439999</v>
      </c>
      <c r="C61" s="81">
        <f>O55</f>
        <v>3.3704508320000004</v>
      </c>
      <c r="D61" s="82">
        <f>O54</f>
        <v>4.1786080000000005</v>
      </c>
      <c r="E61" s="80">
        <f>O58</f>
        <v>6.7996146099999999</v>
      </c>
      <c r="F61" s="40" t="s">
        <v>56</v>
      </c>
      <c r="G61" s="41">
        <f>_xludf.gauss(B61:D63,E61:E63,1)</f>
        <v>8.3519445875791494</v>
      </c>
      <c r="H61" s="42">
        <f t="array" ref="H61:H63">MMULT(MINVERSE(B61:D63),E61:E63)</f>
        <v>8.3519445875794531</v>
      </c>
      <c r="I61" s="167">
        <f>kramer($B$61:$D$63,$E$61:$E$63,1)</f>
        <v>8.3519445875791352</v>
      </c>
      <c r="L61" s="95" t="s">
        <v>161</v>
      </c>
      <c r="M61" s="96" t="s">
        <v>162</v>
      </c>
      <c r="N61" s="97" t="s">
        <v>163</v>
      </c>
      <c r="O61" s="104" t="s">
        <v>158</v>
      </c>
    </row>
    <row r="62" spans="2:15" ht="21" x14ac:dyDescent="0.25">
      <c r="B62" s="83">
        <f>O55</f>
        <v>3.3704508320000004</v>
      </c>
      <c r="C62" s="84">
        <f>O54</f>
        <v>4.1786080000000005</v>
      </c>
      <c r="D62" s="85">
        <f>O52</f>
        <v>5.7860000000000005</v>
      </c>
      <c r="E62" s="107">
        <f>O57</f>
        <v>12.70295</v>
      </c>
      <c r="F62" s="40" t="s">
        <v>56</v>
      </c>
      <c r="G62" s="41">
        <f>_xludf.gauss(B61:D63,E61:E63,2)</f>
        <v>-17.160231719505017</v>
      </c>
      <c r="H62" s="42">
        <v>-17.160231719505305</v>
      </c>
      <c r="I62" s="167">
        <f>kramer($B$61:$D$63,$E$61:$E$63,2)</f>
        <v>-17.160231719504985</v>
      </c>
      <c r="L62" s="98" t="s">
        <v>164</v>
      </c>
      <c r="M62" s="99" t="s">
        <v>165</v>
      </c>
      <c r="N62" s="100" t="s">
        <v>157</v>
      </c>
      <c r="O62" s="105" t="s">
        <v>160</v>
      </c>
    </row>
    <row r="63" spans="2:15" ht="21" x14ac:dyDescent="0.25">
      <c r="B63" s="86">
        <f>O54</f>
        <v>4.1786080000000005</v>
      </c>
      <c r="C63" s="87">
        <f>O52</f>
        <v>5.7860000000000005</v>
      </c>
      <c r="D63" s="43">
        <v>12</v>
      </c>
      <c r="E63" s="108">
        <f>O53</f>
        <v>52.289999999999992</v>
      </c>
      <c r="F63" s="40" t="s">
        <v>56</v>
      </c>
      <c r="G63" s="41">
        <f>_xludf.gauss(B61:D63,E61:E63,3)</f>
        <v>9.7232998549867578</v>
      </c>
      <c r="H63" s="42">
        <v>9.7232998549867933</v>
      </c>
      <c r="I63" s="167">
        <f>kramer($B$61:$D$63,$E$61:$E$63,3)</f>
        <v>9.7232998549867524</v>
      </c>
      <c r="L63" s="101" t="s">
        <v>156</v>
      </c>
      <c r="M63" s="102" t="s">
        <v>166</v>
      </c>
      <c r="N63" s="103" t="s">
        <v>157</v>
      </c>
      <c r="O63" s="106" t="s">
        <v>159</v>
      </c>
    </row>
    <row r="65" spans="2:15" x14ac:dyDescent="0.25">
      <c r="B65" s="33" t="s">
        <v>45</v>
      </c>
      <c r="C65" s="33">
        <v>10</v>
      </c>
      <c r="D65" s="33">
        <v>9.2200000000000006</v>
      </c>
      <c r="E65" s="33">
        <v>8.5</v>
      </c>
      <c r="F65" s="33">
        <v>6.12</v>
      </c>
      <c r="G65" s="33">
        <v>4.3</v>
      </c>
      <c r="H65" s="33">
        <v>3.4</v>
      </c>
      <c r="I65" s="33">
        <v>3.33</v>
      </c>
      <c r="J65" s="33">
        <v>2.5</v>
      </c>
      <c r="K65" s="33">
        <v>2.2200000000000002</v>
      </c>
      <c r="L65" s="33">
        <v>1.5</v>
      </c>
      <c r="M65" s="33">
        <v>1.1000000000000001</v>
      </c>
      <c r="N65" s="33">
        <v>0.1</v>
      </c>
    </row>
    <row r="66" spans="2:15" x14ac:dyDescent="0.25">
      <c r="B66" s="31" t="s">
        <v>3</v>
      </c>
      <c r="C66" s="31">
        <f t="shared" ref="C66:N66" si="12">$G$61*C52^2+$G$62*C52+$G$63</f>
        <v>9.5525327322504658</v>
      </c>
      <c r="D66" s="31">
        <f t="shared" si="12"/>
        <v>9.3834359984316897</v>
      </c>
      <c r="E66" s="31">
        <f t="shared" si="12"/>
        <v>8.0598498510864189</v>
      </c>
      <c r="F66" s="31">
        <f t="shared" si="12"/>
        <v>6.5839481004367881</v>
      </c>
      <c r="G66" s="31">
        <f t="shared" si="12"/>
        <v>4.8543058646792012</v>
      </c>
      <c r="H66" s="31">
        <f t="shared" si="12"/>
        <v>4.1537372281130489</v>
      </c>
      <c r="I66" s="31">
        <f t="shared" si="12"/>
        <v>2.7719789822505412</v>
      </c>
      <c r="J66" s="31">
        <f t="shared" si="12"/>
        <v>2.4338608748122414</v>
      </c>
      <c r="K66" s="31">
        <f t="shared" si="12"/>
        <v>1.4321109628459325</v>
      </c>
      <c r="L66" s="31">
        <f t="shared" si="12"/>
        <v>1.1154851173560516</v>
      </c>
      <c r="M66" s="31">
        <f t="shared" si="12"/>
        <v>1.0337415646767294</v>
      </c>
      <c r="N66" s="31">
        <f t="shared" si="12"/>
        <v>0.91501272306089021</v>
      </c>
    </row>
    <row r="67" spans="2:15" x14ac:dyDescent="0.25">
      <c r="B67" s="45" t="s">
        <v>93</v>
      </c>
      <c r="C67" s="45">
        <f>(C65-C66)^2</f>
        <v>0.20022695570723328</v>
      </c>
      <c r="D67" s="45">
        <f t="shared" ref="D67:M67" si="13">(D65-D66)^2</f>
        <v>2.6711325583363081E-2</v>
      </c>
      <c r="E67" s="45">
        <f t="shared" si="13"/>
        <v>0.19373215358864759</v>
      </c>
      <c r="F67" s="45">
        <f t="shared" si="13"/>
        <v>0.21524783989890395</v>
      </c>
      <c r="G67" s="45">
        <f t="shared" si="13"/>
        <v>0.30725499161775716</v>
      </c>
      <c r="H67" s="45">
        <f t="shared" si="13"/>
        <v>0.56811980904354242</v>
      </c>
      <c r="I67" s="45">
        <f t="shared" si="13"/>
        <v>0.31138745625014191</v>
      </c>
      <c r="J67" s="45">
        <f t="shared" si="13"/>
        <v>4.3743838806019975E-3</v>
      </c>
      <c r="K67" s="45">
        <f t="shared" si="13"/>
        <v>0.6207691348675638</v>
      </c>
      <c r="L67" s="45">
        <f t="shared" si="13"/>
        <v>0.14785169497468942</v>
      </c>
      <c r="M67" s="45">
        <f t="shared" si="13"/>
        <v>4.3901802514880453E-3</v>
      </c>
      <c r="N67" s="45">
        <f>(N65-N66)^2</f>
        <v>0.66424573875112736</v>
      </c>
      <c r="O67" s="150">
        <f>SUM(C67:N67)</f>
        <v>3.26431166441506</v>
      </c>
    </row>
    <row r="75" spans="2:15" ht="21" x14ac:dyDescent="0.25">
      <c r="B75" s="224" t="s">
        <v>100</v>
      </c>
      <c r="C75" s="224"/>
    </row>
    <row r="77" spans="2:15" x14ac:dyDescent="0.25">
      <c r="B77" s="30" t="s">
        <v>2</v>
      </c>
      <c r="C77" s="31">
        <v>0.01</v>
      </c>
      <c r="D77" s="31">
        <v>0.02</v>
      </c>
      <c r="E77" s="31">
        <v>0.10199999999999999</v>
      </c>
      <c r="F77" s="31">
        <v>0.20300000000000001</v>
      </c>
      <c r="G77" s="31">
        <v>0.34</v>
      </c>
      <c r="H77" s="31">
        <v>0.40400000000000003</v>
      </c>
      <c r="I77" s="31">
        <v>0.55500000000000005</v>
      </c>
      <c r="J77" s="31">
        <v>0.6</v>
      </c>
      <c r="K77" s="31">
        <v>0.77700000000000002</v>
      </c>
      <c r="L77" s="31">
        <v>0.87</v>
      </c>
      <c r="M77" s="31">
        <v>0.90500000000000003</v>
      </c>
      <c r="N77" s="31">
        <v>1</v>
      </c>
      <c r="O77" s="89">
        <f>SUM(C77:N77)</f>
        <v>5.7860000000000005</v>
      </c>
    </row>
    <row r="78" spans="2:15" x14ac:dyDescent="0.25">
      <c r="B78" s="30" t="s">
        <v>45</v>
      </c>
      <c r="C78" s="32">
        <v>10</v>
      </c>
      <c r="D78" s="33">
        <v>9.2200000000000006</v>
      </c>
      <c r="E78" s="33">
        <v>8.5</v>
      </c>
      <c r="F78" s="33">
        <v>6.12</v>
      </c>
      <c r="G78" s="33">
        <v>4.3</v>
      </c>
      <c r="H78" s="33">
        <v>3.4</v>
      </c>
      <c r="I78" s="33">
        <v>3.33</v>
      </c>
      <c r="J78" s="33">
        <v>2.5</v>
      </c>
      <c r="K78" s="33">
        <v>2.2200000000000002</v>
      </c>
      <c r="L78" s="33">
        <v>1.5</v>
      </c>
      <c r="M78" s="33">
        <v>1.1000000000000001</v>
      </c>
      <c r="N78" s="33">
        <v>0.1</v>
      </c>
      <c r="O78" s="89">
        <f t="shared" ref="O78:O79" si="14">SUM(C78:N78)</f>
        <v>52.289999999999992</v>
      </c>
    </row>
    <row r="79" spans="2:15" ht="21" x14ac:dyDescent="0.25">
      <c r="B79" s="30" t="s">
        <v>89</v>
      </c>
      <c r="C79" s="34">
        <v>1E-4</v>
      </c>
      <c r="D79" s="34">
        <v>4.0000000000000002E-4</v>
      </c>
      <c r="E79" s="34">
        <v>1.0403999999999998E-2</v>
      </c>
      <c r="F79" s="34">
        <v>4.1209000000000003E-2</v>
      </c>
      <c r="G79" s="34">
        <v>0.11560000000000002</v>
      </c>
      <c r="H79" s="34">
        <v>0.16321600000000003</v>
      </c>
      <c r="I79" s="34">
        <v>0.30802500000000005</v>
      </c>
      <c r="J79" s="34">
        <v>0.36</v>
      </c>
      <c r="K79" s="34">
        <v>0.60372900000000007</v>
      </c>
      <c r="L79" s="34">
        <v>0.75690000000000002</v>
      </c>
      <c r="M79" s="50">
        <v>0.819025</v>
      </c>
      <c r="N79" s="34">
        <v>1</v>
      </c>
      <c r="O79" s="89">
        <f t="shared" si="14"/>
        <v>4.1786080000000005</v>
      </c>
    </row>
    <row r="80" spans="2:15" ht="21" x14ac:dyDescent="0.25">
      <c r="B80" s="30" t="s">
        <v>98</v>
      </c>
      <c r="C80" s="34">
        <f>C77^4</f>
        <v>1E-8</v>
      </c>
      <c r="D80" s="34">
        <f t="shared" ref="D80:N80" si="15">D77^4</f>
        <v>1.6E-7</v>
      </c>
      <c r="E80" s="34">
        <f t="shared" si="15"/>
        <v>1.0824321599999996E-4</v>
      </c>
      <c r="F80" s="34">
        <f t="shared" si="15"/>
        <v>1.6981816810000003E-3</v>
      </c>
      <c r="G80" s="34">
        <f t="shared" si="15"/>
        <v>1.3363360000000005E-2</v>
      </c>
      <c r="H80" s="34">
        <f t="shared" si="15"/>
        <v>2.663946265600001E-2</v>
      </c>
      <c r="I80" s="34">
        <f t="shared" si="15"/>
        <v>9.4879400625000027E-2</v>
      </c>
      <c r="J80" s="34">
        <f t="shared" si="15"/>
        <v>0.12959999999999999</v>
      </c>
      <c r="K80" s="34">
        <f t="shared" si="15"/>
        <v>0.36448870544100009</v>
      </c>
      <c r="L80" s="34">
        <f t="shared" si="15"/>
        <v>0.57289761000000006</v>
      </c>
      <c r="M80" s="34">
        <f t="shared" si="15"/>
        <v>0.67080195062500003</v>
      </c>
      <c r="N80" s="34">
        <f t="shared" si="15"/>
        <v>1</v>
      </c>
      <c r="O80" s="89">
        <f>SUM(C80:N80)</f>
        <v>2.8744770842439999</v>
      </c>
    </row>
    <row r="81" spans="2:15" ht="21" x14ac:dyDescent="0.25">
      <c r="B81" s="30" t="s">
        <v>101</v>
      </c>
      <c r="C81" s="34">
        <f>C77^5</f>
        <v>1E-10</v>
      </c>
      <c r="D81" s="34">
        <f t="shared" ref="D81:N81" si="16">D77^5</f>
        <v>3.2000000000000001E-9</v>
      </c>
      <c r="E81" s="34">
        <f t="shared" si="16"/>
        <v>1.1040808031999996E-5</v>
      </c>
      <c r="F81" s="34">
        <f t="shared" si="16"/>
        <v>3.4473088124300008E-4</v>
      </c>
      <c r="G81" s="34">
        <f t="shared" si="16"/>
        <v>4.5435424000000021E-3</v>
      </c>
      <c r="H81" s="34">
        <f t="shared" si="16"/>
        <v>1.0762342913024005E-2</v>
      </c>
      <c r="I81" s="34">
        <f t="shared" si="16"/>
        <v>5.2658067346875018E-2</v>
      </c>
      <c r="J81" s="34">
        <f t="shared" si="16"/>
        <v>7.7759999999999996E-2</v>
      </c>
      <c r="K81" s="34">
        <f t="shared" si="16"/>
        <v>0.2832077241276571</v>
      </c>
      <c r="L81" s="34">
        <f t="shared" si="16"/>
        <v>0.49842092070000005</v>
      </c>
      <c r="M81" s="34">
        <f t="shared" si="16"/>
        <v>0.60707576531562502</v>
      </c>
      <c r="N81" s="34">
        <f t="shared" si="16"/>
        <v>1</v>
      </c>
      <c r="O81" s="89">
        <f t="shared" ref="O81:O84" si="17">SUM(C81:N81)</f>
        <v>2.5347841377924563</v>
      </c>
    </row>
    <row r="82" spans="2:15" ht="21" x14ac:dyDescent="0.25">
      <c r="B82" s="30" t="s">
        <v>102</v>
      </c>
      <c r="C82" s="34">
        <f>C77^8</f>
        <v>1.0000000000000001E-16</v>
      </c>
      <c r="D82" s="34">
        <f t="shared" ref="D82:N82" si="18">D77^8</f>
        <v>2.5600000000000003E-14</v>
      </c>
      <c r="E82" s="34">
        <f t="shared" si="18"/>
        <v>1.1716593810022648E-8</v>
      </c>
      <c r="F82" s="34">
        <f t="shared" si="18"/>
        <v>2.8838210216839869E-6</v>
      </c>
      <c r="G82" s="34">
        <f t="shared" si="18"/>
        <v>1.7857939048960013E-4</v>
      </c>
      <c r="H82" s="34">
        <f t="shared" si="18"/>
        <v>7.0966097060041913E-4</v>
      </c>
      <c r="I82" s="34">
        <f t="shared" si="18"/>
        <v>9.0021006629592559E-3</v>
      </c>
      <c r="J82" s="34">
        <f t="shared" si="18"/>
        <v>1.6796159999999997E-2</v>
      </c>
      <c r="K82" s="34">
        <f t="shared" si="18"/>
        <v>0.13285201639405614</v>
      </c>
      <c r="L82" s="34">
        <f t="shared" si="18"/>
        <v>0.32821167154371217</v>
      </c>
      <c r="M82" s="34">
        <f t="shared" si="18"/>
        <v>0.449975256962305</v>
      </c>
      <c r="N82" s="34">
        <f t="shared" si="18"/>
        <v>1</v>
      </c>
      <c r="O82" s="89">
        <f t="shared" si="17"/>
        <v>1.9377283414617636</v>
      </c>
    </row>
    <row r="83" spans="2:15" ht="21" x14ac:dyDescent="0.25">
      <c r="B83" s="30" t="s">
        <v>103</v>
      </c>
      <c r="C83" s="34">
        <f>C80*C78</f>
        <v>9.9999999999999995E-8</v>
      </c>
      <c r="D83" s="34">
        <f t="shared" ref="D83:N83" si="19">D80*D78</f>
        <v>1.4752000000000001E-6</v>
      </c>
      <c r="E83" s="34">
        <f t="shared" si="19"/>
        <v>9.2006733599999974E-4</v>
      </c>
      <c r="F83" s="34">
        <f t="shared" si="19"/>
        <v>1.0392871887720001E-2</v>
      </c>
      <c r="G83" s="34">
        <f t="shared" si="19"/>
        <v>5.746244800000002E-2</v>
      </c>
      <c r="H83" s="34">
        <f t="shared" si="19"/>
        <v>9.0574173030400038E-2</v>
      </c>
      <c r="I83" s="34">
        <f t="shared" si="19"/>
        <v>0.31594840408125008</v>
      </c>
      <c r="J83" s="34">
        <f t="shared" si="19"/>
        <v>0.32399999999999995</v>
      </c>
      <c r="K83" s="34">
        <f t="shared" si="19"/>
        <v>0.80916492607902024</v>
      </c>
      <c r="L83" s="34">
        <f t="shared" si="19"/>
        <v>0.85934641500000009</v>
      </c>
      <c r="M83" s="34">
        <f t="shared" si="19"/>
        <v>0.7378821456875001</v>
      </c>
      <c r="N83" s="34">
        <f t="shared" si="19"/>
        <v>0.1</v>
      </c>
      <c r="O83" s="89">
        <f t="shared" si="17"/>
        <v>3.3056930263018907</v>
      </c>
    </row>
    <row r="84" spans="2:15" x14ac:dyDescent="0.25">
      <c r="B84" s="30" t="s">
        <v>104</v>
      </c>
      <c r="C84" s="34">
        <f>C78*C77</f>
        <v>0.1</v>
      </c>
      <c r="D84" s="34">
        <f t="shared" ref="D84:N84" si="20">D78*D77</f>
        <v>0.18440000000000001</v>
      </c>
      <c r="E84" s="34">
        <f t="shared" si="20"/>
        <v>0.86699999999999999</v>
      </c>
      <c r="F84" s="34">
        <f t="shared" si="20"/>
        <v>1.2423600000000001</v>
      </c>
      <c r="G84" s="34">
        <f t="shared" si="20"/>
        <v>1.462</v>
      </c>
      <c r="H84" s="34">
        <f t="shared" si="20"/>
        <v>1.3736000000000002</v>
      </c>
      <c r="I84" s="34">
        <f t="shared" si="20"/>
        <v>1.8481500000000002</v>
      </c>
      <c r="J84" s="34">
        <f t="shared" si="20"/>
        <v>1.5</v>
      </c>
      <c r="K84" s="34">
        <f t="shared" si="20"/>
        <v>1.7249400000000001</v>
      </c>
      <c r="L84" s="34">
        <f t="shared" si="20"/>
        <v>1.3049999999999999</v>
      </c>
      <c r="M84" s="34">
        <f t="shared" si="20"/>
        <v>0.99550000000000016</v>
      </c>
      <c r="N84" s="34">
        <f t="shared" si="20"/>
        <v>0.1</v>
      </c>
      <c r="O84" s="89">
        <f t="shared" si="17"/>
        <v>12.70295</v>
      </c>
    </row>
    <row r="86" spans="2:15" x14ac:dyDescent="0.25">
      <c r="G86" s="30" t="s">
        <v>91</v>
      </c>
      <c r="H86" s="30" t="s">
        <v>92</v>
      </c>
      <c r="I86" s="30" t="s">
        <v>144</v>
      </c>
    </row>
    <row r="87" spans="2:15" x14ac:dyDescent="0.25">
      <c r="B87" s="94">
        <f>O82</f>
        <v>1.9377283414617636</v>
      </c>
      <c r="C87" s="81">
        <f>O81</f>
        <v>2.5347841377924563</v>
      </c>
      <c r="D87" s="82">
        <f>O80</f>
        <v>2.8744770842439999</v>
      </c>
      <c r="E87" s="80">
        <f>O83</f>
        <v>3.3056930263018907</v>
      </c>
      <c r="G87" s="41">
        <f>_xludf.gauss($B$87:$D$89,$E$87:$E$89,1)</f>
        <v>3.7741728317944698</v>
      </c>
      <c r="H87" s="42">
        <f t="array" ref="H87:H89">MMULT(MINVERSE(B87:D89),E87:E89)</f>
        <v>3.7741728317944734</v>
      </c>
      <c r="I87" s="167">
        <f>kramer($B$87:$D$89,$E$87:$E$89,1)</f>
        <v>3.7741728317944916</v>
      </c>
      <c r="L87" s="95" t="s">
        <v>105</v>
      </c>
      <c r="M87" s="96" t="s">
        <v>106</v>
      </c>
      <c r="N87" s="97" t="s">
        <v>107</v>
      </c>
      <c r="O87" s="104" t="s">
        <v>108</v>
      </c>
    </row>
    <row r="88" spans="2:15" x14ac:dyDescent="0.3">
      <c r="B88" s="83">
        <f>O81</f>
        <v>2.5347841377924563</v>
      </c>
      <c r="C88" s="84">
        <f>O79</f>
        <v>4.1786080000000005</v>
      </c>
      <c r="D88" s="85">
        <f>O77</f>
        <v>5.7860000000000005</v>
      </c>
      <c r="E88" s="91">
        <f>O84</f>
        <v>12.70295</v>
      </c>
      <c r="G88" s="41">
        <f>_xludf.gauss($B$87:$D$89,$E$87:$E$89,2)</f>
        <v>-12.129494987600298</v>
      </c>
      <c r="H88" s="42">
        <v>-12.129494987600296</v>
      </c>
      <c r="I88" s="167">
        <f>kramer($B$87:$D$89,$E$87:$E$89,2)</f>
        <v>-12.129494987600303</v>
      </c>
      <c r="J88" s="53"/>
      <c r="L88" s="98" t="s">
        <v>109</v>
      </c>
      <c r="M88" s="99" t="s">
        <v>110</v>
      </c>
      <c r="N88" s="100" t="s">
        <v>111</v>
      </c>
      <c r="O88" s="105" t="s">
        <v>112</v>
      </c>
    </row>
    <row r="89" spans="2:15" x14ac:dyDescent="0.3">
      <c r="B89" s="86">
        <f>O80</f>
        <v>2.8744770842439999</v>
      </c>
      <c r="C89" s="87">
        <f>O77</f>
        <v>5.7860000000000005</v>
      </c>
      <c r="D89" s="88">
        <f>12</f>
        <v>12</v>
      </c>
      <c r="E89" s="92">
        <f>O78</f>
        <v>52.289999999999992</v>
      </c>
      <c r="G89" s="41">
        <f>_xludf.gauss($B$87:$D$89,$E$87:$E$89,3)</f>
        <v>9.3018737234404867</v>
      </c>
      <c r="H89" s="42">
        <v>9.3018737234404849</v>
      </c>
      <c r="I89" s="167">
        <f>kramer($B$87:$D$89,$E$87:$E$89,3)</f>
        <v>9.3018737234404867</v>
      </c>
      <c r="J89" s="53"/>
      <c r="L89" s="101" t="s">
        <v>113</v>
      </c>
      <c r="M89" s="102" t="s">
        <v>114</v>
      </c>
      <c r="N89" s="103" t="s">
        <v>115</v>
      </c>
      <c r="O89" s="106" t="s">
        <v>116</v>
      </c>
    </row>
    <row r="90" spans="2:15" x14ac:dyDescent="0.3">
      <c r="B90" s="53"/>
      <c r="C90" s="53"/>
      <c r="D90" s="53"/>
      <c r="E90" s="53"/>
      <c r="F90" s="53"/>
      <c r="G90" s="53"/>
      <c r="H90" s="53"/>
      <c r="I90" s="53"/>
      <c r="J90" s="53"/>
    </row>
    <row r="91" spans="2:15" x14ac:dyDescent="0.3">
      <c r="B91" s="53"/>
      <c r="C91" s="53"/>
      <c r="D91" s="53"/>
      <c r="E91" s="53"/>
      <c r="F91" s="53"/>
      <c r="G91" s="53"/>
      <c r="H91" s="53"/>
      <c r="I91" s="53"/>
      <c r="J91" s="53"/>
      <c r="K91" s="53"/>
    </row>
    <row r="92" spans="2:15" x14ac:dyDescent="0.3">
      <c r="B92" s="53"/>
      <c r="C92" s="53"/>
      <c r="D92" s="53"/>
      <c r="E92" s="53"/>
      <c r="F92" s="53"/>
      <c r="G92" s="53"/>
      <c r="H92" s="53"/>
      <c r="I92" s="53"/>
      <c r="J92" s="53"/>
      <c r="K92" s="53"/>
    </row>
    <row r="93" spans="2:15" x14ac:dyDescent="0.3">
      <c r="B93" s="53"/>
      <c r="C93" s="53"/>
      <c r="D93" s="53"/>
      <c r="E93" s="53"/>
      <c r="F93" s="53"/>
      <c r="G93" s="53"/>
      <c r="H93" s="53"/>
      <c r="I93" s="53"/>
      <c r="J93" s="53"/>
      <c r="K93" s="53"/>
    </row>
    <row r="95" spans="2:15" x14ac:dyDescent="0.25">
      <c r="B95" s="30" t="s">
        <v>2</v>
      </c>
      <c r="C95" s="31">
        <v>0.01</v>
      </c>
      <c r="D95" s="31">
        <v>0.02</v>
      </c>
      <c r="E95" s="31">
        <v>0.10199999999999999</v>
      </c>
      <c r="F95" s="31">
        <v>0.20300000000000001</v>
      </c>
      <c r="G95" s="31">
        <v>0.34</v>
      </c>
      <c r="H95" s="31">
        <v>0.40400000000000003</v>
      </c>
      <c r="I95" s="31">
        <v>0.55500000000000005</v>
      </c>
      <c r="J95" s="31">
        <v>0.6</v>
      </c>
      <c r="K95" s="31">
        <v>0.77700000000000002</v>
      </c>
      <c r="L95" s="31">
        <v>0.87</v>
      </c>
      <c r="M95" s="31">
        <v>0.90500000000000003</v>
      </c>
      <c r="N95" s="31">
        <v>1</v>
      </c>
    </row>
    <row r="96" spans="2:15" x14ac:dyDescent="0.25">
      <c r="B96" s="30" t="s">
        <v>45</v>
      </c>
      <c r="C96" s="32">
        <v>10</v>
      </c>
      <c r="D96" s="33">
        <v>9.2200000000000006</v>
      </c>
      <c r="E96" s="33">
        <v>8.5</v>
      </c>
      <c r="F96" s="33">
        <v>6.12</v>
      </c>
      <c r="G96" s="33">
        <v>4.3</v>
      </c>
      <c r="H96" s="33">
        <v>3.4</v>
      </c>
      <c r="I96" s="33">
        <v>3.33</v>
      </c>
      <c r="J96" s="33">
        <v>2.5</v>
      </c>
      <c r="K96" s="33">
        <v>2.2200000000000002</v>
      </c>
      <c r="L96" s="33">
        <v>1.5</v>
      </c>
      <c r="M96" s="33">
        <v>1.1000000000000001</v>
      </c>
      <c r="N96" s="33">
        <v>0.1</v>
      </c>
    </row>
    <row r="97" spans="2:15" x14ac:dyDescent="0.25">
      <c r="B97" s="30" t="s">
        <v>3</v>
      </c>
      <c r="C97" s="30">
        <f>$G$87*C95^4+$G$88*C95+$G$89</f>
        <v>9.1805788113062121</v>
      </c>
      <c r="D97" s="30">
        <f t="shared" ref="D97:N97" si="21">$G$87*(D95^4)+$G$88*D95+$G$89</f>
        <v>9.0592844275561344</v>
      </c>
      <c r="E97" s="30">
        <f t="shared" si="21"/>
        <v>8.0650737633103091</v>
      </c>
      <c r="F97" s="30">
        <f t="shared" si="21"/>
        <v>6.8459954721215075</v>
      </c>
      <c r="G97" s="30">
        <f t="shared" si="21"/>
        <v>5.2282810579098742</v>
      </c>
      <c r="H97" s="30">
        <f t="shared" si="21"/>
        <v>4.5020996846598447</v>
      </c>
      <c r="I97" s="30">
        <f t="shared" si="21"/>
        <v>2.9280952614581395</v>
      </c>
      <c r="J97" s="30">
        <f t="shared" si="21"/>
        <v>2.5133095298808712</v>
      </c>
      <c r="K97" s="30">
        <f t="shared" si="21"/>
        <v>1.252899487646415</v>
      </c>
      <c r="L97" s="30">
        <f t="shared" si="21"/>
        <v>0.9114276792902114</v>
      </c>
      <c r="M97" s="30">
        <f t="shared" si="21"/>
        <v>0.85640325722582666</v>
      </c>
      <c r="N97" s="30">
        <f t="shared" si="21"/>
        <v>0.94655156763465875</v>
      </c>
    </row>
    <row r="98" spans="2:15" x14ac:dyDescent="0.25">
      <c r="B98" s="30" t="s">
        <v>93</v>
      </c>
      <c r="C98" s="30">
        <f>(C96-C97)^2</f>
        <v>0.6714510844803403</v>
      </c>
      <c r="D98" s="30">
        <f t="shared" ref="D98:N98" si="22">(D96-D97)^2</f>
        <v>2.582949522595962E-2</v>
      </c>
      <c r="E98" s="30">
        <f t="shared" si="22"/>
        <v>0.18916083136105702</v>
      </c>
      <c r="F98" s="30">
        <f t="shared" si="22"/>
        <v>0.52706942554093039</v>
      </c>
      <c r="G98" s="30">
        <f t="shared" si="22"/>
        <v>0.86170572247427557</v>
      </c>
      <c r="H98" s="30">
        <f t="shared" si="22"/>
        <v>1.2146237149273293</v>
      </c>
      <c r="I98" s="30">
        <f t="shared" si="22"/>
        <v>0.16152741886240132</v>
      </c>
      <c r="J98" s="30">
        <f t="shared" si="22"/>
        <v>1.7714358564980322E-4</v>
      </c>
      <c r="K98" s="30">
        <f t="shared" si="22"/>
        <v>0.93528340099456697</v>
      </c>
      <c r="L98" s="30">
        <f t="shared" si="22"/>
        <v>0.34641737670570627</v>
      </c>
      <c r="M98" s="30">
        <f t="shared" si="22"/>
        <v>5.933937309018681E-2</v>
      </c>
      <c r="N98" s="30">
        <f t="shared" si="22"/>
        <v>0.71664955666469821</v>
      </c>
      <c r="O98" s="27">
        <f>SUM(C98:N98)</f>
        <v>5.7092345439131016</v>
      </c>
    </row>
  </sheetData>
  <mergeCells count="3">
    <mergeCell ref="B75:C75"/>
    <mergeCell ref="H6:I6"/>
    <mergeCell ref="B50:C50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rgb="FFFFFFCC"/>
  </sheetPr>
  <dimension ref="B10:W58"/>
  <sheetViews>
    <sheetView zoomScale="85" zoomScaleNormal="85" workbookViewId="0">
      <selection activeCell="Q16" sqref="Q16"/>
    </sheetView>
  </sheetViews>
  <sheetFormatPr defaultRowHeight="15" x14ac:dyDescent="0.25"/>
  <cols>
    <col min="1" max="2" width="9.140625" style="1"/>
    <col min="3" max="3" width="9.7109375" style="1" bestFit="1" customWidth="1"/>
    <col min="4" max="5" width="9.140625" style="1"/>
    <col min="6" max="6" width="9.28515625" style="1" customWidth="1"/>
    <col min="7" max="8" width="9.140625" style="1"/>
    <col min="9" max="9" width="14.42578125" style="1" customWidth="1"/>
    <col min="10" max="16" width="9.140625" style="1"/>
    <col min="17" max="17" width="9.140625" style="1" customWidth="1"/>
    <col min="18" max="18" width="10.140625" style="1" customWidth="1"/>
    <col min="19" max="25" width="9.140625" style="1"/>
    <col min="26" max="26" width="12.5703125" style="1" bestFit="1" customWidth="1"/>
    <col min="27" max="16384" width="9.140625" style="1"/>
  </cols>
  <sheetData>
    <row r="10" spans="2:23" x14ac:dyDescent="0.25">
      <c r="W10" s="146"/>
    </row>
    <row r="11" spans="2:23" ht="18" x14ac:dyDescent="0.25">
      <c r="B11" s="109" t="s">
        <v>117</v>
      </c>
      <c r="C11" s="110" t="s">
        <v>119</v>
      </c>
      <c r="E11" s="109" t="s">
        <v>14</v>
      </c>
      <c r="F11" s="110">
        <v>10</v>
      </c>
      <c r="H11" s="109" t="s">
        <v>122</v>
      </c>
      <c r="I11" s="110" t="s">
        <v>134</v>
      </c>
    </row>
    <row r="12" spans="2:23" ht="18" x14ac:dyDescent="0.25">
      <c r="B12" s="113" t="s">
        <v>118</v>
      </c>
      <c r="C12" s="114" t="s">
        <v>2</v>
      </c>
      <c r="E12" s="111" t="s">
        <v>10</v>
      </c>
      <c r="F12" s="112">
        <f>(1-0)/F11</f>
        <v>0.1</v>
      </c>
      <c r="H12" s="113" t="s">
        <v>123</v>
      </c>
      <c r="I12" s="114" t="s">
        <v>135</v>
      </c>
      <c r="V12" s="146"/>
    </row>
    <row r="13" spans="2:23" ht="18" x14ac:dyDescent="0.25">
      <c r="B13" s="111" t="s">
        <v>120</v>
      </c>
      <c r="C13" s="112" t="s">
        <v>121</v>
      </c>
      <c r="H13" s="113" t="s">
        <v>124</v>
      </c>
      <c r="I13" s="114" t="s">
        <v>139</v>
      </c>
    </row>
    <row r="14" spans="2:23" ht="18" x14ac:dyDescent="0.25">
      <c r="H14" s="111" t="s">
        <v>125</v>
      </c>
      <c r="I14" s="112" t="s">
        <v>138</v>
      </c>
    </row>
    <row r="16" spans="2:23" ht="18" x14ac:dyDescent="0.25">
      <c r="B16" s="117" t="s">
        <v>1</v>
      </c>
      <c r="C16" s="116" t="s">
        <v>133</v>
      </c>
      <c r="D16" s="119" t="s">
        <v>126</v>
      </c>
      <c r="E16" s="12" t="s">
        <v>127</v>
      </c>
      <c r="F16" s="119" t="s">
        <v>128</v>
      </c>
      <c r="G16" s="11" t="s">
        <v>129</v>
      </c>
      <c r="H16" s="11" t="s">
        <v>131</v>
      </c>
      <c r="I16" s="11" t="s">
        <v>130</v>
      </c>
      <c r="J16" s="118" t="s">
        <v>132</v>
      </c>
      <c r="K16" s="136" t="s">
        <v>142</v>
      </c>
      <c r="L16" s="138" t="s">
        <v>141</v>
      </c>
      <c r="M16" s="137" t="s">
        <v>45</v>
      </c>
    </row>
    <row r="17" spans="2:20" x14ac:dyDescent="0.25">
      <c r="B17" s="3">
        <v>0</v>
      </c>
      <c r="C17" s="7">
        <v>0</v>
      </c>
      <c r="D17" s="1">
        <v>0</v>
      </c>
      <c r="E17" s="7"/>
      <c r="G17" s="7"/>
      <c r="H17" s="7">
        <v>-1</v>
      </c>
      <c r="I17" s="7"/>
      <c r="J17" s="5">
        <v>1</v>
      </c>
      <c r="K17" s="6">
        <f>I17/H17</f>
        <v>0</v>
      </c>
      <c r="L17" s="6">
        <f>-J17/H17</f>
        <v>1</v>
      </c>
      <c r="M17" s="7">
        <f t="shared" ref="M17:M25" si="0">K17*M18+L17</f>
        <v>1</v>
      </c>
    </row>
    <row r="18" spans="2:20" x14ac:dyDescent="0.25">
      <c r="B18" s="3">
        <v>1</v>
      </c>
      <c r="C18" s="7">
        <f>C17+$F$12</f>
        <v>0.1</v>
      </c>
      <c r="D18" s="1">
        <f t="shared" ref="D18:D26" si="1">2*C18</f>
        <v>0.2</v>
      </c>
      <c r="E18" s="7">
        <f t="shared" ref="E18:E26" si="2">C18</f>
        <v>0.1</v>
      </c>
      <c r="F18" s="1">
        <f>C18^2+1</f>
        <v>1.01</v>
      </c>
      <c r="G18" s="7">
        <f>1-D18 *$F$12/2</f>
        <v>0.99</v>
      </c>
      <c r="H18" s="7">
        <f>2 - $F$12^2 *E18</f>
        <v>1.9990000000000001</v>
      </c>
      <c r="I18" s="7">
        <f>1+(D18*$F$12)/2</f>
        <v>1.01</v>
      </c>
      <c r="J18" s="5">
        <f>F18*$F$12^2</f>
        <v>1.0100000000000001E-2</v>
      </c>
      <c r="K18" s="7">
        <f>I18/(H18-K17*G18)</f>
        <v>0.50525262631315659</v>
      </c>
      <c r="L18" s="7">
        <f>(L17*G18-J18)/(H18-K17*G18)</f>
        <v>0.49019509754877438</v>
      </c>
      <c r="M18" s="7">
        <f t="shared" si="0"/>
        <v>1.2509823442487644</v>
      </c>
    </row>
    <row r="19" spans="2:20" x14ac:dyDescent="0.25">
      <c r="B19" s="3">
        <v>2</v>
      </c>
      <c r="C19" s="7">
        <f t="shared" ref="C19:C26" si="3">C18+$F$12</f>
        <v>0.2</v>
      </c>
      <c r="D19" s="1">
        <f t="shared" si="1"/>
        <v>0.4</v>
      </c>
      <c r="E19" s="7">
        <f t="shared" si="2"/>
        <v>0.2</v>
      </c>
      <c r="F19" s="1">
        <f t="shared" ref="F19:F26" si="4">C19^2+1</f>
        <v>1.04</v>
      </c>
      <c r="G19" s="7">
        <f t="shared" ref="G19:G26" si="5">1-D19 *$F$12/2</f>
        <v>0.98</v>
      </c>
      <c r="H19" s="7">
        <f>2 - $F$12^2 *E19</f>
        <v>1.998</v>
      </c>
      <c r="I19" s="7">
        <f>1+D19*$F$12/2</f>
        <v>1.02</v>
      </c>
      <c r="J19" s="5">
        <f t="shared" ref="J19:J25" si="6">F19*$F$12^2</f>
        <v>1.0400000000000003E-2</v>
      </c>
      <c r="K19" s="7">
        <f t="shared" ref="K19:K27" si="7">I19/(H19-K18*G19)</f>
        <v>0.67870935443089386</v>
      </c>
      <c r="L19" s="7">
        <f t="shared" ref="L19:L27" si="8">(L18*G19-J19)/(H19-K18*G19)</f>
        <v>0.31273276563959418</v>
      </c>
      <c r="M19" s="7">
        <f t="shared" si="0"/>
        <v>1.505756144706218</v>
      </c>
    </row>
    <row r="20" spans="2:20" x14ac:dyDescent="0.25">
      <c r="B20" s="3">
        <v>3</v>
      </c>
      <c r="C20" s="7">
        <f t="shared" si="3"/>
        <v>0.30000000000000004</v>
      </c>
      <c r="D20" s="1">
        <f t="shared" si="1"/>
        <v>0.60000000000000009</v>
      </c>
      <c r="E20" s="7">
        <f t="shared" si="2"/>
        <v>0.30000000000000004</v>
      </c>
      <c r="F20" s="1">
        <f t="shared" si="4"/>
        <v>1.0900000000000001</v>
      </c>
      <c r="G20" s="7">
        <f t="shared" si="5"/>
        <v>0.97</v>
      </c>
      <c r="H20" s="7">
        <f t="shared" ref="H20:H26" si="9">2 - $F$12^2 *E20</f>
        <v>1.9970000000000001</v>
      </c>
      <c r="I20" s="7">
        <f t="shared" ref="I20:I25" si="10">1+D20*$F$12/2</f>
        <v>1.03</v>
      </c>
      <c r="J20" s="5">
        <f t="shared" si="6"/>
        <v>1.0900000000000003E-2</v>
      </c>
      <c r="K20" s="7">
        <f t="shared" si="7"/>
        <v>0.76943078319266511</v>
      </c>
      <c r="L20" s="7">
        <f t="shared" si="8"/>
        <v>0.218466635684853</v>
      </c>
      <c r="M20" s="7">
        <f t="shared" si="0"/>
        <v>1.757782431136504</v>
      </c>
    </row>
    <row r="21" spans="2:20" x14ac:dyDescent="0.25">
      <c r="B21" s="3">
        <v>4</v>
      </c>
      <c r="C21" s="7">
        <f t="shared" si="3"/>
        <v>0.4</v>
      </c>
      <c r="D21" s="1">
        <f t="shared" si="1"/>
        <v>0.8</v>
      </c>
      <c r="E21" s="7">
        <f t="shared" si="2"/>
        <v>0.4</v>
      </c>
      <c r="F21" s="1">
        <f t="shared" si="4"/>
        <v>1.1600000000000001</v>
      </c>
      <c r="G21" s="7">
        <f t="shared" si="5"/>
        <v>0.96</v>
      </c>
      <c r="H21" s="7">
        <f t="shared" si="9"/>
        <v>1.996</v>
      </c>
      <c r="I21" s="7">
        <f t="shared" si="10"/>
        <v>1.04</v>
      </c>
      <c r="J21" s="5">
        <f t="shared" si="6"/>
        <v>1.1600000000000004E-2</v>
      </c>
      <c r="K21" s="7">
        <f t="shared" si="7"/>
        <v>0.82713877431520921</v>
      </c>
      <c r="L21" s="7">
        <f t="shared" si="8"/>
        <v>0.15757627545799494</v>
      </c>
      <c r="M21" s="7">
        <f t="shared" si="0"/>
        <v>2.0005903442859876</v>
      </c>
    </row>
    <row r="22" spans="2:20" x14ac:dyDescent="0.25">
      <c r="B22" s="3">
        <v>5</v>
      </c>
      <c r="C22" s="7">
        <f t="shared" si="3"/>
        <v>0.5</v>
      </c>
      <c r="D22" s="1">
        <f t="shared" si="1"/>
        <v>1</v>
      </c>
      <c r="E22" s="7">
        <f t="shared" si="2"/>
        <v>0.5</v>
      </c>
      <c r="F22" s="1">
        <f t="shared" si="4"/>
        <v>1.25</v>
      </c>
      <c r="G22" s="7">
        <f t="shared" si="5"/>
        <v>0.95</v>
      </c>
      <c r="H22" s="7">
        <f t="shared" si="9"/>
        <v>1.9950000000000001</v>
      </c>
      <c r="I22" s="7">
        <f t="shared" si="10"/>
        <v>1.05</v>
      </c>
      <c r="J22" s="5">
        <f t="shared" si="6"/>
        <v>1.2500000000000002E-2</v>
      </c>
      <c r="K22" s="7">
        <f t="shared" si="7"/>
        <v>0.86832966201803552</v>
      </c>
      <c r="L22" s="7">
        <f t="shared" si="8"/>
        <v>0.11345964336642958</v>
      </c>
      <c r="M22" s="7">
        <f t="shared" si="0"/>
        <v>2.228179993561334</v>
      </c>
    </row>
    <row r="23" spans="2:20" x14ac:dyDescent="0.25">
      <c r="B23" s="3">
        <v>6</v>
      </c>
      <c r="C23" s="7">
        <f t="shared" si="3"/>
        <v>0.6</v>
      </c>
      <c r="D23" s="1">
        <f t="shared" si="1"/>
        <v>1.2</v>
      </c>
      <c r="E23" s="7">
        <f t="shared" si="2"/>
        <v>0.6</v>
      </c>
      <c r="F23" s="1">
        <f t="shared" si="4"/>
        <v>1.3599999999999999</v>
      </c>
      <c r="G23" s="7">
        <f t="shared" si="5"/>
        <v>0.94</v>
      </c>
      <c r="H23" s="7">
        <f t="shared" si="9"/>
        <v>1.994</v>
      </c>
      <c r="I23" s="7">
        <f t="shared" si="10"/>
        <v>1.06</v>
      </c>
      <c r="J23" s="5">
        <f t="shared" si="6"/>
        <v>1.3600000000000001E-2</v>
      </c>
      <c r="K23" s="7">
        <f t="shared" si="7"/>
        <v>0.9000058534914025</v>
      </c>
      <c r="L23" s="7">
        <f t="shared" si="8"/>
        <v>7.9006983931566507E-2</v>
      </c>
      <c r="M23" s="7">
        <f t="shared" si="0"/>
        <v>2.4353888191268318</v>
      </c>
    </row>
    <row r="24" spans="2:20" x14ac:dyDescent="0.25">
      <c r="B24" s="3">
        <v>7</v>
      </c>
      <c r="C24" s="7">
        <f>C23+$F$12</f>
        <v>0.7</v>
      </c>
      <c r="D24" s="1">
        <f t="shared" si="1"/>
        <v>1.4</v>
      </c>
      <c r="E24" s="7">
        <f t="shared" si="2"/>
        <v>0.7</v>
      </c>
      <c r="F24" s="1">
        <f t="shared" si="4"/>
        <v>1.49</v>
      </c>
      <c r="G24" s="7">
        <f t="shared" si="5"/>
        <v>0.93</v>
      </c>
      <c r="H24" s="7">
        <f t="shared" si="9"/>
        <v>1.9930000000000001</v>
      </c>
      <c r="I24" s="7">
        <f t="shared" si="10"/>
        <v>1.07</v>
      </c>
      <c r="J24" s="5">
        <f t="shared" si="6"/>
        <v>1.4900000000000004E-2</v>
      </c>
      <c r="K24" s="7">
        <f t="shared" si="7"/>
        <v>0.92560989514367975</v>
      </c>
      <c r="L24" s="7">
        <f t="shared" si="8"/>
        <v>5.0671947146727792E-2</v>
      </c>
      <c r="M24" s="7">
        <f t="shared" si="0"/>
        <v>2.6181850107464606</v>
      </c>
    </row>
    <row r="25" spans="2:20" x14ac:dyDescent="0.25">
      <c r="B25" s="3">
        <v>8</v>
      </c>
      <c r="C25" s="7">
        <f t="shared" si="3"/>
        <v>0.79999999999999993</v>
      </c>
      <c r="D25" s="1">
        <f t="shared" si="1"/>
        <v>1.5999999999999999</v>
      </c>
      <c r="E25" s="7">
        <f t="shared" si="2"/>
        <v>0.79999999999999993</v>
      </c>
      <c r="F25" s="1">
        <f t="shared" si="4"/>
        <v>1.64</v>
      </c>
      <c r="G25" s="7">
        <f t="shared" si="5"/>
        <v>0.92</v>
      </c>
      <c r="H25" s="7">
        <f t="shared" si="9"/>
        <v>1.992</v>
      </c>
      <c r="I25" s="7">
        <f t="shared" si="10"/>
        <v>1.08</v>
      </c>
      <c r="J25" s="5">
        <f t="shared" si="6"/>
        <v>1.6400000000000001E-2</v>
      </c>
      <c r="K25" s="7">
        <f t="shared" si="7"/>
        <v>0.94700382751324341</v>
      </c>
      <c r="L25" s="7">
        <f t="shared" si="8"/>
        <v>2.6496984159854443E-2</v>
      </c>
      <c r="M25" s="7">
        <f t="shared" si="0"/>
        <v>2.7738608641399467</v>
      </c>
    </row>
    <row r="26" spans="2:20" x14ac:dyDescent="0.25">
      <c r="B26" s="3">
        <v>9</v>
      </c>
      <c r="C26" s="7">
        <f t="shared" si="3"/>
        <v>0.89999999999999991</v>
      </c>
      <c r="D26" s="1">
        <f t="shared" si="1"/>
        <v>1.7999999999999998</v>
      </c>
      <c r="E26" s="7">
        <f t="shared" si="2"/>
        <v>0.89999999999999991</v>
      </c>
      <c r="F26" s="1">
        <f t="shared" si="4"/>
        <v>1.8099999999999998</v>
      </c>
      <c r="G26" s="7">
        <f t="shared" si="5"/>
        <v>0.91</v>
      </c>
      <c r="H26" s="7">
        <f t="shared" si="9"/>
        <v>1.9910000000000001</v>
      </c>
      <c r="I26" s="7">
        <f>1+D26*$F$12/2</f>
        <v>1.0900000000000001</v>
      </c>
      <c r="J26" s="7">
        <f>F26*$F$12^2</f>
        <v>1.8100000000000002E-2</v>
      </c>
      <c r="K26" s="7">
        <f t="shared" si="7"/>
        <v>0.96526249040941048</v>
      </c>
      <c r="L26" s="7">
        <f t="shared" si="8"/>
        <v>5.3242245866112741E-3</v>
      </c>
      <c r="M26" s="7">
        <f>K26*M27+L26</f>
        <v>2.9011116958148429</v>
      </c>
    </row>
    <row r="27" spans="2:20" x14ac:dyDescent="0.25">
      <c r="B27" s="9">
        <v>10</v>
      </c>
      <c r="C27" s="25">
        <f>C26+$F$12</f>
        <v>0.99999999999999989</v>
      </c>
      <c r="D27" s="9"/>
      <c r="E27" s="25"/>
      <c r="F27" s="115"/>
      <c r="G27" s="25"/>
      <c r="H27" s="25">
        <v>-1</v>
      </c>
      <c r="I27" s="25"/>
      <c r="J27" s="25">
        <v>3</v>
      </c>
      <c r="K27" s="25">
        <f t="shared" si="7"/>
        <v>0</v>
      </c>
      <c r="L27" s="25">
        <f t="shared" si="8"/>
        <v>3</v>
      </c>
      <c r="M27" s="25">
        <f>L27</f>
        <v>3</v>
      </c>
    </row>
    <row r="28" spans="2:20" ht="30" x14ac:dyDescent="0.25">
      <c r="Q28" s="126" t="s">
        <v>2</v>
      </c>
      <c r="R28" s="139" t="s">
        <v>143</v>
      </c>
      <c r="S28" s="135" t="s">
        <v>140</v>
      </c>
      <c r="T28" s="147" t="s">
        <v>144</v>
      </c>
    </row>
    <row r="29" spans="2:20" x14ac:dyDescent="0.25">
      <c r="B29" s="109">
        <v>1</v>
      </c>
      <c r="C29" s="120">
        <v>0</v>
      </c>
      <c r="D29" s="120">
        <v>0</v>
      </c>
      <c r="E29" s="120">
        <v>0</v>
      </c>
      <c r="F29" s="120">
        <v>0</v>
      </c>
      <c r="G29" s="120">
        <v>0</v>
      </c>
      <c r="H29" s="120">
        <v>0</v>
      </c>
      <c r="I29" s="120">
        <v>0</v>
      </c>
      <c r="J29" s="120">
        <v>0</v>
      </c>
      <c r="K29" s="120">
        <v>0</v>
      </c>
      <c r="L29" s="110">
        <v>0</v>
      </c>
      <c r="M29" s="123">
        <v>1</v>
      </c>
      <c r="Q29" s="3">
        <v>0</v>
      </c>
      <c r="R29" s="127">
        <f t="array" ref="R29:R39">MMULT(MINVERSE(B29:L39),M29:M39)</f>
        <v>1</v>
      </c>
      <c r="S29" s="7">
        <f>reversestroke($B$29:$L$39,$M$29:$M$39,1)</f>
        <v>1</v>
      </c>
      <c r="T29" s="7">
        <f>kramer($B$29:$L$39,$M$29:$M$39,1)</f>
        <v>1</v>
      </c>
    </row>
    <row r="30" spans="2:20" x14ac:dyDescent="0.25">
      <c r="B30" s="113">
        <f>G18</f>
        <v>0.99</v>
      </c>
      <c r="C30" s="121">
        <f>-H18</f>
        <v>-1.9990000000000001</v>
      </c>
      <c r="D30" s="121">
        <f>I18</f>
        <v>1.01</v>
      </c>
      <c r="E30" s="121">
        <v>0</v>
      </c>
      <c r="F30" s="121">
        <v>0</v>
      </c>
      <c r="G30" s="121">
        <v>0</v>
      </c>
      <c r="H30" s="121">
        <v>0</v>
      </c>
      <c r="I30" s="121">
        <v>0</v>
      </c>
      <c r="J30" s="121">
        <v>0</v>
      </c>
      <c r="K30" s="121">
        <v>0</v>
      </c>
      <c r="L30" s="114">
        <v>0</v>
      </c>
      <c r="M30" s="124">
        <f>J18</f>
        <v>1.0100000000000001E-2</v>
      </c>
      <c r="Q30" s="3">
        <f>Q29+$F$12</f>
        <v>0.1</v>
      </c>
      <c r="R30" s="127">
        <v>1.2509823442487642</v>
      </c>
      <c r="S30" s="7">
        <f>reversestroke($B$29:$L$39,$M$29:$M$39,2)</f>
        <v>1.2509823442487646</v>
      </c>
      <c r="T30" s="7">
        <f>kramer($B$29:$L$39,$M$29:$M$39,2)</f>
        <v>1.2509823442487638</v>
      </c>
    </row>
    <row r="31" spans="2:20" x14ac:dyDescent="0.25">
      <c r="B31" s="113">
        <v>0</v>
      </c>
      <c r="C31" s="121">
        <f>G19</f>
        <v>0.98</v>
      </c>
      <c r="D31" s="121">
        <f>-H19</f>
        <v>-1.998</v>
      </c>
      <c r="E31" s="121">
        <f>I19</f>
        <v>1.02</v>
      </c>
      <c r="F31" s="121">
        <v>0</v>
      </c>
      <c r="G31" s="121">
        <v>0</v>
      </c>
      <c r="H31" s="121">
        <v>0</v>
      </c>
      <c r="I31" s="121">
        <v>0</v>
      </c>
      <c r="J31" s="121">
        <v>0</v>
      </c>
      <c r="K31" s="121">
        <v>0</v>
      </c>
      <c r="L31" s="114">
        <v>0</v>
      </c>
      <c r="M31" s="124">
        <f t="shared" ref="M31:M38" si="11">J19</f>
        <v>1.0400000000000003E-2</v>
      </c>
      <c r="Q31" s="3">
        <f t="shared" ref="Q31:Q38" si="12">Q30+$F$12</f>
        <v>0.2</v>
      </c>
      <c r="R31" s="127">
        <v>1.5057561447062175</v>
      </c>
      <c r="S31" s="7">
        <f>reversestroke($B$29:$L$39,$M$29:$M$39,3)</f>
        <v>1.5057561447062182</v>
      </c>
      <c r="T31" s="7">
        <f>kramer($B$29:$L$39,$M$29:$M$39,3)</f>
        <v>1.5057561447062169</v>
      </c>
    </row>
    <row r="32" spans="2:20" x14ac:dyDescent="0.25">
      <c r="B32" s="113">
        <v>0</v>
      </c>
      <c r="C32" s="121">
        <v>0</v>
      </c>
      <c r="D32" s="121">
        <f>G20</f>
        <v>0.97</v>
      </c>
      <c r="E32" s="121">
        <f>-H20</f>
        <v>-1.9970000000000001</v>
      </c>
      <c r="F32" s="121">
        <f>I20</f>
        <v>1.03</v>
      </c>
      <c r="G32" s="121">
        <v>0</v>
      </c>
      <c r="H32" s="121">
        <v>0</v>
      </c>
      <c r="I32" s="121">
        <v>0</v>
      </c>
      <c r="J32" s="121">
        <v>0</v>
      </c>
      <c r="K32" s="121">
        <v>0</v>
      </c>
      <c r="L32" s="114">
        <v>0</v>
      </c>
      <c r="M32" s="124">
        <f t="shared" si="11"/>
        <v>1.0900000000000003E-2</v>
      </c>
      <c r="Q32" s="3">
        <f t="shared" si="12"/>
        <v>0.30000000000000004</v>
      </c>
      <c r="R32" s="127">
        <v>1.757782431136504</v>
      </c>
      <c r="S32" s="7">
        <f>reversestroke($B$29:$L$39,$M$29:$M$39,4)</f>
        <v>1.7577824311365042</v>
      </c>
      <c r="T32" s="7">
        <f>kramer($B$29:$L$39,$M$29:$M$39,4)</f>
        <v>1.7577824311365027</v>
      </c>
    </row>
    <row r="33" spans="2:20" x14ac:dyDescent="0.25">
      <c r="B33" s="113">
        <v>0</v>
      </c>
      <c r="C33" s="121">
        <v>0</v>
      </c>
      <c r="D33" s="121">
        <v>0</v>
      </c>
      <c r="E33" s="121">
        <f>G21</f>
        <v>0.96</v>
      </c>
      <c r="F33" s="121">
        <f>-H21</f>
        <v>-1.996</v>
      </c>
      <c r="G33" s="121">
        <f>I21</f>
        <v>1.04</v>
      </c>
      <c r="H33" s="121">
        <v>0</v>
      </c>
      <c r="I33" s="121">
        <v>0</v>
      </c>
      <c r="J33" s="121">
        <v>0</v>
      </c>
      <c r="K33" s="121">
        <v>0</v>
      </c>
      <c r="L33" s="114">
        <v>0</v>
      </c>
      <c r="M33" s="124">
        <f t="shared" si="11"/>
        <v>1.1600000000000004E-2</v>
      </c>
      <c r="Q33" s="3">
        <f t="shared" si="12"/>
        <v>0.4</v>
      </c>
      <c r="R33" s="127">
        <v>2.0005903442859867</v>
      </c>
      <c r="S33" s="7">
        <f>reversestroke($B$29:$L$39,$M$29:$M$39,5)</f>
        <v>2.000590344285988</v>
      </c>
      <c r="T33" s="7">
        <f>kramer($B$29:$L$39,$M$29:$M$39,5)</f>
        <v>2.0005903442859871</v>
      </c>
    </row>
    <row r="34" spans="2:20" x14ac:dyDescent="0.25">
      <c r="B34" s="113">
        <v>0</v>
      </c>
      <c r="C34" s="121">
        <v>0</v>
      </c>
      <c r="D34" s="121">
        <v>0</v>
      </c>
      <c r="E34" s="121">
        <v>0</v>
      </c>
      <c r="F34" s="121">
        <f>G22</f>
        <v>0.95</v>
      </c>
      <c r="G34" s="121">
        <f>-H22</f>
        <v>-1.9950000000000001</v>
      </c>
      <c r="H34" s="121">
        <f>I22</f>
        <v>1.05</v>
      </c>
      <c r="I34" s="121">
        <v>0</v>
      </c>
      <c r="J34" s="121">
        <v>0</v>
      </c>
      <c r="K34" s="121">
        <v>0</v>
      </c>
      <c r="L34" s="114">
        <v>0</v>
      </c>
      <c r="M34" s="124">
        <f t="shared" si="11"/>
        <v>1.2500000000000002E-2</v>
      </c>
      <c r="Q34" s="3">
        <f t="shared" si="12"/>
        <v>0.5</v>
      </c>
      <c r="R34" s="127">
        <v>2.2281799935613336</v>
      </c>
      <c r="S34" s="7">
        <f>reversestroke($B$29:$L$39,$M$29:$M$39,6)</f>
        <v>2.2281799935613349</v>
      </c>
      <c r="T34" s="7">
        <f>kramer($B$29:$L$39,$M$29:$M$39,6)</f>
        <v>2.2281799935613327</v>
      </c>
    </row>
    <row r="35" spans="2:20" x14ac:dyDescent="0.25">
      <c r="B35" s="113">
        <v>0</v>
      </c>
      <c r="C35" s="121">
        <v>0</v>
      </c>
      <c r="D35" s="121">
        <v>0</v>
      </c>
      <c r="E35" s="121">
        <v>0</v>
      </c>
      <c r="F35" s="121">
        <v>0</v>
      </c>
      <c r="G35" s="121">
        <f>G23</f>
        <v>0.94</v>
      </c>
      <c r="H35" s="121">
        <f>-H23</f>
        <v>-1.994</v>
      </c>
      <c r="I35" s="121">
        <f>I23</f>
        <v>1.06</v>
      </c>
      <c r="J35" s="121">
        <v>0</v>
      </c>
      <c r="K35" s="121">
        <v>0</v>
      </c>
      <c r="L35" s="114">
        <v>0</v>
      </c>
      <c r="M35" s="124">
        <f t="shared" si="11"/>
        <v>1.3600000000000001E-2</v>
      </c>
      <c r="Q35" s="3">
        <f t="shared" si="12"/>
        <v>0.6</v>
      </c>
      <c r="R35" s="127">
        <v>2.4353888191268314</v>
      </c>
      <c r="S35" s="7">
        <f>reversestroke($B$29:$L$39,$M$29:$M$39,7)</f>
        <v>2.4353888191268327</v>
      </c>
      <c r="T35" s="7">
        <f>kramer($B$29:$L$39,$M$29:$M$39,7)</f>
        <v>2.4353888191268314</v>
      </c>
    </row>
    <row r="36" spans="2:20" x14ac:dyDescent="0.25">
      <c r="B36" s="113">
        <v>0</v>
      </c>
      <c r="C36" s="121">
        <v>0</v>
      </c>
      <c r="D36" s="121">
        <v>0</v>
      </c>
      <c r="E36" s="121">
        <v>0</v>
      </c>
      <c r="F36" s="121">
        <v>0</v>
      </c>
      <c r="G36" s="121">
        <v>0</v>
      </c>
      <c r="H36" s="121">
        <f>G24</f>
        <v>0.93</v>
      </c>
      <c r="I36" s="121">
        <f>-H24</f>
        <v>-1.9930000000000001</v>
      </c>
      <c r="J36" s="121">
        <f>I24</f>
        <v>1.07</v>
      </c>
      <c r="K36" s="121">
        <v>0</v>
      </c>
      <c r="L36" s="114">
        <v>0</v>
      </c>
      <c r="M36" s="124">
        <f t="shared" si="11"/>
        <v>1.4900000000000004E-2</v>
      </c>
      <c r="Q36" s="3">
        <f>Q35+$F$12</f>
        <v>0.7</v>
      </c>
      <c r="R36" s="127">
        <v>2.618185010746461</v>
      </c>
      <c r="S36" s="7">
        <f>reversestroke($B$29:$L$39,$M$29:$M$39,8)</f>
        <v>2.6181850107464619</v>
      </c>
      <c r="T36" s="7">
        <f>kramer($B$29:$L$39,$M$29:$M$39,8)</f>
        <v>2.6181850107464602</v>
      </c>
    </row>
    <row r="37" spans="2:20" x14ac:dyDescent="0.25">
      <c r="B37" s="113">
        <v>0</v>
      </c>
      <c r="C37" s="121">
        <v>0</v>
      </c>
      <c r="D37" s="121">
        <v>0</v>
      </c>
      <c r="E37" s="121">
        <v>0</v>
      </c>
      <c r="F37" s="121">
        <v>0</v>
      </c>
      <c r="G37" s="121">
        <v>0</v>
      </c>
      <c r="H37" s="121">
        <v>0</v>
      </c>
      <c r="I37" s="121">
        <f>G25</f>
        <v>0.92</v>
      </c>
      <c r="J37" s="121">
        <f>-H25</f>
        <v>-1.992</v>
      </c>
      <c r="K37" s="121">
        <f>I25</f>
        <v>1.08</v>
      </c>
      <c r="L37" s="114">
        <v>0</v>
      </c>
      <c r="M37" s="124">
        <f t="shared" si="11"/>
        <v>1.6400000000000001E-2</v>
      </c>
      <c r="Q37" s="3">
        <f t="shared" si="12"/>
        <v>0.79999999999999993</v>
      </c>
      <c r="R37" s="127">
        <v>2.7738608641399467</v>
      </c>
      <c r="S37" s="7">
        <f>reversestroke($B$29:$L$39,$M$29:$M$39,9)</f>
        <v>2.7738608641399476</v>
      </c>
      <c r="T37" s="7">
        <f>kramer($B$29:$L$39,$M$29:$M$39,9)</f>
        <v>2.7738608641399471</v>
      </c>
    </row>
    <row r="38" spans="2:20" x14ac:dyDescent="0.25">
      <c r="B38" s="113">
        <v>0</v>
      </c>
      <c r="C38" s="121">
        <v>0</v>
      </c>
      <c r="D38" s="121">
        <v>0</v>
      </c>
      <c r="E38" s="121">
        <v>0</v>
      </c>
      <c r="F38" s="121">
        <v>0</v>
      </c>
      <c r="G38" s="121">
        <v>0</v>
      </c>
      <c r="H38" s="121">
        <v>0</v>
      </c>
      <c r="I38" s="121">
        <v>0</v>
      </c>
      <c r="J38" s="121">
        <f>G26</f>
        <v>0.91</v>
      </c>
      <c r="K38" s="121">
        <f>-H26</f>
        <v>-1.9910000000000001</v>
      </c>
      <c r="L38" s="114">
        <f>I26</f>
        <v>1.0900000000000001</v>
      </c>
      <c r="M38" s="124">
        <f t="shared" si="11"/>
        <v>1.8100000000000002E-2</v>
      </c>
      <c r="Q38" s="3">
        <f t="shared" si="12"/>
        <v>0.89999999999999991</v>
      </c>
      <c r="R38" s="127">
        <v>2.9011116958148429</v>
      </c>
      <c r="S38" s="7">
        <f>reversestroke($B$29:$L$39,$M$29:$M$39,10)</f>
        <v>2.9011116958148429</v>
      </c>
      <c r="T38" s="7">
        <f>kramer($B$29:$L$39,$M$29:$M$39,10)</f>
        <v>2.9011116958148429</v>
      </c>
    </row>
    <row r="39" spans="2:20" x14ac:dyDescent="0.25">
      <c r="B39" s="111">
        <v>0</v>
      </c>
      <c r="C39" s="122">
        <v>0</v>
      </c>
      <c r="D39" s="122">
        <v>0</v>
      </c>
      <c r="E39" s="122">
        <v>0</v>
      </c>
      <c r="F39" s="122">
        <v>0</v>
      </c>
      <c r="G39" s="122">
        <v>0</v>
      </c>
      <c r="H39" s="122">
        <v>0</v>
      </c>
      <c r="I39" s="122">
        <v>0</v>
      </c>
      <c r="J39" s="122">
        <v>0</v>
      </c>
      <c r="K39" s="122">
        <v>0</v>
      </c>
      <c r="L39" s="112">
        <v>1</v>
      </c>
      <c r="M39" s="125">
        <v>3</v>
      </c>
      <c r="Q39" s="9">
        <f>Q38+$F$12</f>
        <v>0.99999999999999989</v>
      </c>
      <c r="R39" s="128">
        <v>3</v>
      </c>
      <c r="S39" s="25">
        <f>reversestroke($B$29:$L$39,$M$29:$M$39,11)</f>
        <v>3</v>
      </c>
      <c r="T39" s="25">
        <f>kramer($B$29:$L$39,$M$29:$M$39,11)</f>
        <v>3</v>
      </c>
    </row>
    <row r="42" spans="2:20" x14ac:dyDescent="0.25">
      <c r="B42" s="225" t="s">
        <v>136</v>
      </c>
      <c r="C42" s="225"/>
      <c r="D42" s="225"/>
    </row>
    <row r="43" spans="2:20" x14ac:dyDescent="0.25">
      <c r="Q43" s="134" t="s">
        <v>137</v>
      </c>
      <c r="R43" s="168" t="s">
        <v>144</v>
      </c>
    </row>
    <row r="44" spans="2:20" x14ac:dyDescent="0.25">
      <c r="B44" s="109">
        <v>1</v>
      </c>
      <c r="C44" s="120">
        <v>0</v>
      </c>
      <c r="D44" s="120">
        <f>C44^2</f>
        <v>0</v>
      </c>
      <c r="E44" s="120">
        <f>C44^3</f>
        <v>0</v>
      </c>
      <c r="F44" s="120">
        <f>C44^4</f>
        <v>0</v>
      </c>
      <c r="G44" s="120">
        <f>C44^5</f>
        <v>0</v>
      </c>
      <c r="H44" s="120">
        <f>C44^6</f>
        <v>0</v>
      </c>
      <c r="I44" s="120">
        <f>C44^7</f>
        <v>0</v>
      </c>
      <c r="J44" s="120">
        <f>C44^8</f>
        <v>0</v>
      </c>
      <c r="K44" s="120">
        <f>C44^9</f>
        <v>0</v>
      </c>
      <c r="L44" s="110">
        <f>C44^11</f>
        <v>0</v>
      </c>
      <c r="M44" s="131">
        <f t="shared" ref="M44:M54" si="13">R29</f>
        <v>1</v>
      </c>
      <c r="Q44" s="129">
        <f t="array" ref="Q44:Q54">MMULT(MINVERSE(B44:L54),M44:M54)</f>
        <v>1</v>
      </c>
      <c r="R44" s="169">
        <f>kramer($B$44:$L$54,$M$44:$M$54,1)</f>
        <v>1</v>
      </c>
    </row>
    <row r="45" spans="2:20" x14ac:dyDescent="0.25">
      <c r="B45" s="113">
        <v>1</v>
      </c>
      <c r="C45" s="121">
        <f>C44+$F$12</f>
        <v>0.1</v>
      </c>
      <c r="D45" s="121">
        <f t="shared" ref="D45:D54" si="14">C45^2</f>
        <v>1.0000000000000002E-2</v>
      </c>
      <c r="E45" s="121">
        <f t="shared" ref="E45:E54" si="15">C45^3</f>
        <v>1.0000000000000002E-3</v>
      </c>
      <c r="F45" s="121">
        <f t="shared" ref="F45:F54" si="16">C45^4</f>
        <v>1.0000000000000005E-4</v>
      </c>
      <c r="G45" s="121">
        <f t="shared" ref="G45:G54" si="17">C45^5</f>
        <v>1.0000000000000006E-5</v>
      </c>
      <c r="H45" s="121">
        <f t="shared" ref="H45:H54" si="18">C45^6</f>
        <v>1.0000000000000006E-6</v>
      </c>
      <c r="I45" s="121">
        <f t="shared" ref="I45:I54" si="19">C45^7</f>
        <v>1.0000000000000007E-7</v>
      </c>
      <c r="J45" s="121">
        <f t="shared" ref="J45:J54" si="20">C45^8</f>
        <v>1.0000000000000008E-8</v>
      </c>
      <c r="K45" s="121">
        <f t="shared" ref="K45:K54" si="21">C45^9</f>
        <v>1.0000000000000009E-9</v>
      </c>
      <c r="L45" s="114">
        <f t="shared" ref="L45:L54" si="22">C45^11</f>
        <v>1.0000000000000011E-11</v>
      </c>
      <c r="M45" s="132">
        <f t="shared" si="13"/>
        <v>1.2509823442487642</v>
      </c>
      <c r="Q45" s="129">
        <v>2.4697076254631862</v>
      </c>
      <c r="R45" s="169">
        <f>kramer($B$44:$L$54,$M$44:$M$54,2)</f>
        <v>2.4697076296320688</v>
      </c>
    </row>
    <row r="46" spans="2:20" x14ac:dyDescent="0.25">
      <c r="B46" s="113">
        <v>1</v>
      </c>
      <c r="C46" s="121">
        <f t="shared" ref="C46:C53" si="23">C45+$F$12</f>
        <v>0.2</v>
      </c>
      <c r="D46" s="121">
        <f t="shared" si="14"/>
        <v>4.0000000000000008E-2</v>
      </c>
      <c r="E46" s="121">
        <f t="shared" si="15"/>
        <v>8.0000000000000019E-3</v>
      </c>
      <c r="F46" s="121">
        <f t="shared" si="16"/>
        <v>1.6000000000000007E-3</v>
      </c>
      <c r="G46" s="121">
        <f t="shared" si="17"/>
        <v>3.2000000000000019E-4</v>
      </c>
      <c r="H46" s="121">
        <f t="shared" si="18"/>
        <v>6.4000000000000038E-5</v>
      </c>
      <c r="I46" s="121">
        <f t="shared" si="19"/>
        <v>1.280000000000001E-5</v>
      </c>
      <c r="J46" s="121">
        <f t="shared" si="20"/>
        <v>2.5600000000000022E-6</v>
      </c>
      <c r="K46" s="121">
        <f t="shared" si="21"/>
        <v>5.1200000000000046E-7</v>
      </c>
      <c r="L46" s="114">
        <f t="shared" si="22"/>
        <v>2.0480000000000022E-8</v>
      </c>
      <c r="M46" s="132">
        <f t="shared" si="13"/>
        <v>1.5057561447062175</v>
      </c>
      <c r="Q46" s="129">
        <v>0.50289549965978608</v>
      </c>
      <c r="R46" s="169">
        <f>kramer($B$44:$L$54,$M$44:$M$54,3)</f>
        <v>0.50289548135904349</v>
      </c>
    </row>
    <row r="47" spans="2:20" x14ac:dyDescent="0.25">
      <c r="B47" s="113">
        <v>1</v>
      </c>
      <c r="C47" s="121">
        <f t="shared" si="23"/>
        <v>0.30000000000000004</v>
      </c>
      <c r="D47" s="121">
        <f t="shared" si="14"/>
        <v>9.0000000000000024E-2</v>
      </c>
      <c r="E47" s="121">
        <f t="shared" si="15"/>
        <v>2.700000000000001E-2</v>
      </c>
      <c r="F47" s="121">
        <f t="shared" si="16"/>
        <v>8.1000000000000048E-3</v>
      </c>
      <c r="G47" s="121">
        <f t="shared" si="17"/>
        <v>2.4300000000000016E-3</v>
      </c>
      <c r="H47" s="121">
        <f t="shared" si="18"/>
        <v>7.2900000000000059E-4</v>
      </c>
      <c r="I47" s="121">
        <f t="shared" si="19"/>
        <v>2.1870000000000022E-4</v>
      </c>
      <c r="J47" s="121">
        <f t="shared" si="20"/>
        <v>6.5610000000000071E-5</v>
      </c>
      <c r="K47" s="121">
        <f t="shared" si="21"/>
        <v>1.9683000000000025E-5</v>
      </c>
      <c r="L47" s="114">
        <f t="shared" si="22"/>
        <v>1.7714700000000027E-6</v>
      </c>
      <c r="M47" s="132">
        <f t="shared" si="13"/>
        <v>1.757782431136504</v>
      </c>
      <c r="Q47" s="129">
        <v>-0.99108133168556378</v>
      </c>
      <c r="R47" s="169">
        <f>kramer($B$44:$L$54,$M$44:$M$54,4)</f>
        <v>-0.9910813055722878</v>
      </c>
    </row>
    <row r="48" spans="2:20" x14ac:dyDescent="0.25">
      <c r="B48" s="113">
        <v>1</v>
      </c>
      <c r="C48" s="121">
        <f t="shared" si="23"/>
        <v>0.4</v>
      </c>
      <c r="D48" s="121">
        <f t="shared" si="14"/>
        <v>0.16000000000000003</v>
      </c>
      <c r="E48" s="121">
        <f t="shared" si="15"/>
        <v>6.4000000000000015E-2</v>
      </c>
      <c r="F48" s="121">
        <f t="shared" si="16"/>
        <v>2.5600000000000012E-2</v>
      </c>
      <c r="G48" s="121">
        <f t="shared" si="17"/>
        <v>1.0240000000000006E-2</v>
      </c>
      <c r="H48" s="121">
        <f t="shared" si="18"/>
        <v>4.0960000000000024E-3</v>
      </c>
      <c r="I48" s="121">
        <f t="shared" si="19"/>
        <v>1.6384000000000012E-3</v>
      </c>
      <c r="J48" s="121">
        <f t="shared" si="20"/>
        <v>6.5536000000000056E-4</v>
      </c>
      <c r="K48" s="121">
        <f t="shared" si="21"/>
        <v>2.6214400000000023E-4</v>
      </c>
      <c r="L48" s="114">
        <f t="shared" si="22"/>
        <v>4.1943040000000045E-5</v>
      </c>
      <c r="M48" s="132">
        <f t="shared" si="13"/>
        <v>2.0005903442859867</v>
      </c>
      <c r="Q48" s="129">
        <v>-0.29121876219232945</v>
      </c>
      <c r="R48" s="169">
        <f>kramer($B$44:$L$54,$M$44:$M$54,5)</f>
        <v>-0.29121879804265199</v>
      </c>
    </row>
    <row r="49" spans="2:18" x14ac:dyDescent="0.25">
      <c r="B49" s="113">
        <v>1</v>
      </c>
      <c r="C49" s="121">
        <f t="shared" si="23"/>
        <v>0.5</v>
      </c>
      <c r="D49" s="121">
        <f t="shared" si="14"/>
        <v>0.25</v>
      </c>
      <c r="E49" s="121">
        <f t="shared" si="15"/>
        <v>0.125</v>
      </c>
      <c r="F49" s="121">
        <f t="shared" si="16"/>
        <v>6.25E-2</v>
      </c>
      <c r="G49" s="121">
        <f t="shared" si="17"/>
        <v>3.125E-2</v>
      </c>
      <c r="H49" s="121">
        <f t="shared" si="18"/>
        <v>1.5625E-2</v>
      </c>
      <c r="I49" s="121">
        <f t="shared" si="19"/>
        <v>7.8125E-3</v>
      </c>
      <c r="J49" s="121">
        <f t="shared" si="20"/>
        <v>3.90625E-3</v>
      </c>
      <c r="K49" s="121">
        <f t="shared" si="21"/>
        <v>1.953125E-3</v>
      </c>
      <c r="L49" s="114">
        <f t="shared" si="22"/>
        <v>4.8828125E-4</v>
      </c>
      <c r="M49" s="132">
        <f t="shared" si="13"/>
        <v>2.2281799935613336</v>
      </c>
      <c r="Q49" s="129">
        <v>0.27288184939243365</v>
      </c>
      <c r="R49" s="169">
        <f>kramer($B$44:$L$54,$M$44:$M$54,6)</f>
        <v>0.27288188019523457</v>
      </c>
    </row>
    <row r="50" spans="2:18" x14ac:dyDescent="0.25">
      <c r="B50" s="113">
        <v>1</v>
      </c>
      <c r="C50" s="121">
        <f t="shared" si="23"/>
        <v>0.6</v>
      </c>
      <c r="D50" s="121">
        <f t="shared" si="14"/>
        <v>0.36</v>
      </c>
      <c r="E50" s="121">
        <f t="shared" si="15"/>
        <v>0.216</v>
      </c>
      <c r="F50" s="121">
        <f t="shared" si="16"/>
        <v>0.12959999999999999</v>
      </c>
      <c r="G50" s="121">
        <f t="shared" si="17"/>
        <v>7.7759999999999996E-2</v>
      </c>
      <c r="H50" s="121">
        <f t="shared" si="18"/>
        <v>4.6655999999999996E-2</v>
      </c>
      <c r="I50" s="121">
        <f t="shared" si="19"/>
        <v>2.7993599999999997E-2</v>
      </c>
      <c r="J50" s="121">
        <f t="shared" si="20"/>
        <v>1.6796159999999997E-2</v>
      </c>
      <c r="K50" s="121">
        <f t="shared" si="21"/>
        <v>1.0077695999999999E-2</v>
      </c>
      <c r="L50" s="114">
        <f t="shared" si="22"/>
        <v>3.6279705599999994E-3</v>
      </c>
      <c r="M50" s="132">
        <f t="shared" si="13"/>
        <v>2.4353888191268314</v>
      </c>
      <c r="Q50" s="129">
        <v>0.10604161878291052</v>
      </c>
      <c r="R50" s="169">
        <f>kramer($B$44:$L$54,$M$44:$M$54,7)</f>
        <v>0.10604161036249478</v>
      </c>
    </row>
    <row r="51" spans="2:18" x14ac:dyDescent="0.25">
      <c r="B51" s="113">
        <v>1</v>
      </c>
      <c r="C51" s="121">
        <f>C50+$F$12</f>
        <v>0.7</v>
      </c>
      <c r="D51" s="121">
        <f t="shared" si="14"/>
        <v>0.48999999999999994</v>
      </c>
      <c r="E51" s="121">
        <f t="shared" si="15"/>
        <v>0.34299999999999992</v>
      </c>
      <c r="F51" s="121">
        <f t="shared" si="16"/>
        <v>0.24009999999999992</v>
      </c>
      <c r="G51" s="121">
        <f t="shared" si="17"/>
        <v>0.16806999999999994</v>
      </c>
      <c r="H51" s="121">
        <f t="shared" si="18"/>
        <v>0.11764899999999995</v>
      </c>
      <c r="I51" s="121">
        <f t="shared" si="19"/>
        <v>8.235429999999995E-2</v>
      </c>
      <c r="J51" s="121">
        <f t="shared" si="20"/>
        <v>5.7648009999999965E-2</v>
      </c>
      <c r="K51" s="121">
        <f t="shared" si="21"/>
        <v>4.0353606999999972E-2</v>
      </c>
      <c r="L51" s="114">
        <f t="shared" si="22"/>
        <v>1.9773267429999984E-2</v>
      </c>
      <c r="M51" s="132">
        <f t="shared" si="13"/>
        <v>2.618185010746461</v>
      </c>
      <c r="Q51" s="129">
        <v>-4.7871126153040677E-2</v>
      </c>
      <c r="R51" s="169">
        <f>kramer($B$44:$L$54,$M$44:$M$54,8)</f>
        <v>-4.7871126615662285E-2</v>
      </c>
    </row>
    <row r="52" spans="2:18" x14ac:dyDescent="0.25">
      <c r="B52" s="113">
        <v>1</v>
      </c>
      <c r="C52" s="121">
        <f t="shared" si="23"/>
        <v>0.79999999999999993</v>
      </c>
      <c r="D52" s="121">
        <f t="shared" si="14"/>
        <v>0.6399999999999999</v>
      </c>
      <c r="E52" s="121">
        <f t="shared" si="15"/>
        <v>0.5119999999999999</v>
      </c>
      <c r="F52" s="121">
        <f t="shared" si="16"/>
        <v>0.40959999999999985</v>
      </c>
      <c r="G52" s="121">
        <f t="shared" si="17"/>
        <v>0.32767999999999986</v>
      </c>
      <c r="H52" s="121">
        <f t="shared" si="18"/>
        <v>0.26214399999999988</v>
      </c>
      <c r="I52" s="121">
        <f t="shared" si="19"/>
        <v>0.20971519999999988</v>
      </c>
      <c r="J52" s="121">
        <f t="shared" si="20"/>
        <v>0.16777215999999989</v>
      </c>
      <c r="K52" s="121">
        <f t="shared" si="21"/>
        <v>0.1342177279999999</v>
      </c>
      <c r="L52" s="114">
        <f t="shared" si="22"/>
        <v>8.5899345919999925E-2</v>
      </c>
      <c r="M52" s="132">
        <f t="shared" si="13"/>
        <v>2.7738608641399467</v>
      </c>
      <c r="Q52" s="129">
        <v>-4.1801152678090148E-2</v>
      </c>
      <c r="R52" s="169">
        <f>kramer($B$44:$L$54,$M$44:$M$54,9)</f>
        <v>-4.1801153756660644E-2</v>
      </c>
    </row>
    <row r="53" spans="2:18" x14ac:dyDescent="0.25">
      <c r="B53" s="113">
        <v>1</v>
      </c>
      <c r="C53" s="121">
        <f t="shared" si="23"/>
        <v>0.89999999999999991</v>
      </c>
      <c r="D53" s="121">
        <f t="shared" si="14"/>
        <v>0.80999999999999983</v>
      </c>
      <c r="E53" s="121">
        <f t="shared" si="15"/>
        <v>0.72899999999999976</v>
      </c>
      <c r="F53" s="121">
        <f t="shared" si="16"/>
        <v>0.65609999999999968</v>
      </c>
      <c r="G53" s="121">
        <f t="shared" si="17"/>
        <v>0.59048999999999963</v>
      </c>
      <c r="H53" s="121">
        <f t="shared" si="18"/>
        <v>0.53144099999999961</v>
      </c>
      <c r="I53" s="121">
        <f t="shared" si="19"/>
        <v>0.47829689999999964</v>
      </c>
      <c r="J53" s="121">
        <f t="shared" si="20"/>
        <v>0.4304672099999996</v>
      </c>
      <c r="K53" s="121">
        <f t="shared" si="21"/>
        <v>0.38742048899999959</v>
      </c>
      <c r="L53" s="114">
        <f t="shared" si="22"/>
        <v>0.31381059608999962</v>
      </c>
      <c r="M53" s="132">
        <f t="shared" si="13"/>
        <v>2.9011116958148429</v>
      </c>
      <c r="Q53" s="129">
        <v>2.1492598752956837E-2</v>
      </c>
      <c r="R53" s="169">
        <f>kramer($B$44:$L$54,$M$44:$M$54,10)</f>
        <v>2.149259933928549E-2</v>
      </c>
    </row>
    <row r="54" spans="2:18" x14ac:dyDescent="0.25">
      <c r="B54" s="111">
        <v>1</v>
      </c>
      <c r="C54" s="122">
        <f>C53+$F$12</f>
        <v>0.99999999999999989</v>
      </c>
      <c r="D54" s="122">
        <f t="shared" si="14"/>
        <v>0.99999999999999978</v>
      </c>
      <c r="E54" s="122">
        <f t="shared" si="15"/>
        <v>0.99999999999999967</v>
      </c>
      <c r="F54" s="122">
        <f t="shared" si="16"/>
        <v>0.99999999999999956</v>
      </c>
      <c r="G54" s="122">
        <f t="shared" si="17"/>
        <v>0.99999999999999944</v>
      </c>
      <c r="H54" s="122">
        <f t="shared" si="18"/>
        <v>0.99999999999999933</v>
      </c>
      <c r="I54" s="122">
        <f t="shared" si="19"/>
        <v>0.99999999999999922</v>
      </c>
      <c r="J54" s="122">
        <f t="shared" si="20"/>
        <v>0.99999999999999911</v>
      </c>
      <c r="K54" s="122">
        <f t="shared" si="21"/>
        <v>0.999999999999999</v>
      </c>
      <c r="L54" s="112">
        <f t="shared" si="22"/>
        <v>0.99999999999999878</v>
      </c>
      <c r="M54" s="133">
        <f t="shared" si="13"/>
        <v>3</v>
      </c>
      <c r="Q54" s="130">
        <v>-1.0468168270563183E-3</v>
      </c>
      <c r="R54" s="170">
        <f>kramer($B$44:$L$54,$M$44:$M$54,11)</f>
        <v>-1.0468167348499447E-3</v>
      </c>
    </row>
    <row r="56" spans="2:18" x14ac:dyDescent="0.25">
      <c r="N56"/>
      <c r="O56"/>
    </row>
    <row r="57" spans="2:18" x14ac:dyDescent="0.25">
      <c r="B57" s="12" t="s">
        <v>2</v>
      </c>
      <c r="C57" s="12">
        <v>-1</v>
      </c>
      <c r="D57" s="12">
        <v>-0.75</v>
      </c>
      <c r="E57" s="12">
        <v>-0.5</v>
      </c>
      <c r="F57" s="12">
        <v>-0.25</v>
      </c>
      <c r="G57" s="12">
        <v>0</v>
      </c>
      <c r="H57" s="12">
        <v>0.25</v>
      </c>
      <c r="I57" s="12">
        <v>0.5</v>
      </c>
      <c r="J57" s="12">
        <v>0.75</v>
      </c>
      <c r="K57" s="12">
        <v>1</v>
      </c>
      <c r="L57" s="12">
        <v>1.25</v>
      </c>
      <c r="M57" s="12">
        <v>1.5</v>
      </c>
      <c r="N57"/>
      <c r="O57"/>
    </row>
    <row r="58" spans="2:18" x14ac:dyDescent="0.25">
      <c r="B58" s="11" t="s">
        <v>45</v>
      </c>
      <c r="C58" s="11">
        <f t="shared" ref="C58:M58" si="24">$Q$44+$Q$45*C57+$Q$46*C57^2+$Q$47*C57^3+$Q$48*C57^4+$Q$49*C57^5+$Q$50*C57^6+$Q$51*C57^7+$Q$52*C57^8+$Q$53*C57^9+$Q$54*C57^10</f>
        <v>-0.45025922902475157</v>
      </c>
      <c r="D58" s="11">
        <f t="shared" si="24"/>
        <v>-0.28878353853343458</v>
      </c>
      <c r="E58" s="11">
        <f t="shared" si="24"/>
        <v>-1.0148894086577487E-2</v>
      </c>
      <c r="F58" s="11">
        <f t="shared" si="24"/>
        <v>0.42811373876736492</v>
      </c>
      <c r="G58" s="11">
        <f t="shared" si="24"/>
        <v>1</v>
      </c>
      <c r="H58" s="11">
        <f t="shared" si="24"/>
        <v>1.632523552578065</v>
      </c>
      <c r="I58" s="11">
        <f t="shared" si="24"/>
        <v>2.2281794831599826</v>
      </c>
      <c r="J58" s="11">
        <f t="shared" si="24"/>
        <v>2.6995127921489992</v>
      </c>
      <c r="K58" s="11">
        <f t="shared" si="24"/>
        <v>3.0000000025151929</v>
      </c>
      <c r="L58" s="11">
        <f t="shared" si="24"/>
        <v>3.1364672015669059</v>
      </c>
      <c r="M58" s="11">
        <f t="shared" si="24"/>
        <v>3.1736007640696697</v>
      </c>
      <c r="N58"/>
      <c r="O58"/>
    </row>
  </sheetData>
  <mergeCells count="1">
    <mergeCell ref="B42:D42"/>
  </mergeCells>
  <pageMargins left="0.7" right="0.7" top="0.75" bottom="0.75" header="0.3" footer="0.3"/>
  <pageSetup paperSize="9" orientation="portrait" verticalDpi="0" r:id="rId1"/>
  <ignoredErrors>
    <ignoredError sqref="C30 D31 E32 F33 G34 H35 I36 J37 K38" formula="1"/>
  </ignoredErrors>
  <drawing r:id="rId2"/>
  <legacyDrawing r:id="rId3"/>
  <oleObjects>
    <mc:AlternateContent xmlns:mc="http://schemas.openxmlformats.org/markup-compatibility/2006">
      <mc:Choice Requires="x14">
        <oleObject progId="Equation.3" shapeId="12289" r:id="rId4">
          <objectPr defaultSize="0" autoPict="0" r:id="rId5">
            <anchor moveWithCells="1" sizeWithCells="1">
              <from>
                <xdr:col>1</xdr:col>
                <xdr:colOff>171450</xdr:colOff>
                <xdr:row>5</xdr:row>
                <xdr:rowOff>38100</xdr:rowOff>
              </from>
              <to>
                <xdr:col>3</xdr:col>
                <xdr:colOff>581025</xdr:colOff>
                <xdr:row>6</xdr:row>
                <xdr:rowOff>142875</xdr:rowOff>
              </to>
            </anchor>
          </objectPr>
        </oleObject>
      </mc:Choice>
      <mc:Fallback>
        <oleObject progId="Equation.3" shapeId="12289" r:id="rId4"/>
      </mc:Fallback>
    </mc:AlternateContent>
    <mc:AlternateContent xmlns:mc="http://schemas.openxmlformats.org/markup-compatibility/2006">
      <mc:Choice Requires="x14">
        <oleObject progId="Equation.3" shapeId="12290" r:id="rId6">
          <objectPr defaultSize="0" autoPict="0" r:id="rId7">
            <anchor moveWithCells="1" sizeWithCells="1">
              <from>
                <xdr:col>4</xdr:col>
                <xdr:colOff>323850</xdr:colOff>
                <xdr:row>5</xdr:row>
                <xdr:rowOff>66675</xdr:rowOff>
              </from>
              <to>
                <xdr:col>5</xdr:col>
                <xdr:colOff>381000</xdr:colOff>
                <xdr:row>6</xdr:row>
                <xdr:rowOff>123825</xdr:rowOff>
              </to>
            </anchor>
          </objectPr>
        </oleObject>
      </mc:Choice>
      <mc:Fallback>
        <oleObject progId="Equation.3" shapeId="12290" r:id="rId6"/>
      </mc:Fallback>
    </mc:AlternateContent>
    <mc:AlternateContent xmlns:mc="http://schemas.openxmlformats.org/markup-compatibility/2006">
      <mc:Choice Requires="x14">
        <oleObject progId="Equation.3" shapeId="12291" r:id="rId8">
          <objectPr defaultSize="0" autoPict="0" r:id="rId9">
            <anchor moveWithCells="1" sizeWithCells="1">
              <from>
                <xdr:col>4</xdr:col>
                <xdr:colOff>333375</xdr:colOff>
                <xdr:row>6</xdr:row>
                <xdr:rowOff>142875</xdr:rowOff>
              </from>
              <to>
                <xdr:col>5</xdr:col>
                <xdr:colOff>381000</xdr:colOff>
                <xdr:row>7</xdr:row>
                <xdr:rowOff>180975</xdr:rowOff>
              </to>
            </anchor>
          </objectPr>
        </oleObject>
      </mc:Choice>
      <mc:Fallback>
        <oleObject progId="Equation.3" shapeId="12291" r:id="rId8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rgb="FFFFC000"/>
  </sheetPr>
  <dimension ref="A1:D30000"/>
  <sheetViews>
    <sheetView tabSelected="1" zoomScaleNormal="100" workbookViewId="0">
      <selection activeCell="F28" sqref="F28"/>
    </sheetView>
  </sheetViews>
  <sheetFormatPr defaultRowHeight="15" x14ac:dyDescent="0.25"/>
  <cols>
    <col min="1" max="2" width="9.140625" style="26"/>
  </cols>
  <sheetData>
    <row r="1" spans="1:4" x14ac:dyDescent="0.25">
      <c r="A1">
        <v>0.01</v>
      </c>
      <c r="B1">
        <v>9.9999999999999982</v>
      </c>
      <c r="C1">
        <v>0.01</v>
      </c>
      <c r="D1">
        <v>10</v>
      </c>
    </row>
    <row r="2" spans="1:4" x14ac:dyDescent="0.25">
      <c r="A2">
        <v>0.11</v>
      </c>
      <c r="B2">
        <v>2.2000000000000317</v>
      </c>
      <c r="C2">
        <v>0.02</v>
      </c>
      <c r="D2">
        <v>9.2200000000000006</v>
      </c>
    </row>
    <row r="3" spans="1:4" x14ac:dyDescent="0.25">
      <c r="A3"/>
      <c r="B3"/>
    </row>
    <row r="4" spans="1:4" x14ac:dyDescent="0.25">
      <c r="A4"/>
      <c r="B4"/>
    </row>
    <row r="5" spans="1:4" x14ac:dyDescent="0.25">
      <c r="A5"/>
      <c r="B5"/>
    </row>
    <row r="6" spans="1:4" x14ac:dyDescent="0.25">
      <c r="A6"/>
      <c r="B6"/>
    </row>
    <row r="7" spans="1:4" x14ac:dyDescent="0.25">
      <c r="A7"/>
      <c r="B7"/>
    </row>
    <row r="8" spans="1:4" x14ac:dyDescent="0.25">
      <c r="A8"/>
      <c r="B8"/>
    </row>
    <row r="9" spans="1:4" x14ac:dyDescent="0.25">
      <c r="A9"/>
      <c r="B9"/>
    </row>
    <row r="10" spans="1:4" x14ac:dyDescent="0.25">
      <c r="A10"/>
      <c r="B10"/>
    </row>
    <row r="11" spans="1:4" x14ac:dyDescent="0.25">
      <c r="A11"/>
      <c r="B11"/>
    </row>
    <row r="12" spans="1:4" x14ac:dyDescent="0.25">
      <c r="A12"/>
      <c r="B12"/>
    </row>
    <row r="13" spans="1:4" x14ac:dyDescent="0.25">
      <c r="A13"/>
      <c r="B13"/>
    </row>
    <row r="14" spans="1:4" x14ac:dyDescent="0.25">
      <c r="A14"/>
      <c r="B14"/>
    </row>
    <row r="15" spans="1:4" x14ac:dyDescent="0.25">
      <c r="A15"/>
      <c r="B15"/>
    </row>
    <row r="16" spans="1:4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  <row r="3062" spans="1:2" x14ac:dyDescent="0.25">
      <c r="A3062"/>
      <c r="B3062"/>
    </row>
    <row r="3063" spans="1:2" x14ac:dyDescent="0.25">
      <c r="A3063"/>
      <c r="B3063"/>
    </row>
    <row r="3064" spans="1:2" x14ac:dyDescent="0.25">
      <c r="A3064"/>
      <c r="B3064"/>
    </row>
    <row r="3065" spans="1:2" x14ac:dyDescent="0.25">
      <c r="A3065"/>
      <c r="B3065"/>
    </row>
    <row r="3066" spans="1:2" x14ac:dyDescent="0.25">
      <c r="A3066"/>
      <c r="B3066"/>
    </row>
    <row r="3067" spans="1:2" x14ac:dyDescent="0.25">
      <c r="A3067"/>
      <c r="B3067"/>
    </row>
    <row r="3068" spans="1:2" x14ac:dyDescent="0.25">
      <c r="A3068"/>
      <c r="B3068"/>
    </row>
    <row r="3069" spans="1:2" x14ac:dyDescent="0.25">
      <c r="A3069"/>
      <c r="B3069"/>
    </row>
    <row r="3070" spans="1:2" x14ac:dyDescent="0.25">
      <c r="A3070"/>
      <c r="B3070"/>
    </row>
    <row r="3071" spans="1:2" x14ac:dyDescent="0.25">
      <c r="A3071"/>
      <c r="B3071"/>
    </row>
    <row r="3072" spans="1:2" x14ac:dyDescent="0.25">
      <c r="A3072"/>
      <c r="B3072"/>
    </row>
    <row r="3073" spans="1:2" x14ac:dyDescent="0.25">
      <c r="A3073"/>
      <c r="B3073"/>
    </row>
    <row r="3074" spans="1:2" x14ac:dyDescent="0.25">
      <c r="A3074"/>
      <c r="B3074"/>
    </row>
    <row r="3075" spans="1:2" x14ac:dyDescent="0.25">
      <c r="A3075"/>
      <c r="B3075"/>
    </row>
    <row r="3076" spans="1:2" x14ac:dyDescent="0.25">
      <c r="A3076"/>
      <c r="B3076"/>
    </row>
    <row r="3077" spans="1:2" x14ac:dyDescent="0.25">
      <c r="A3077"/>
      <c r="B3077"/>
    </row>
    <row r="3078" spans="1:2" x14ac:dyDescent="0.25">
      <c r="A3078"/>
      <c r="B3078"/>
    </row>
    <row r="3079" spans="1:2" x14ac:dyDescent="0.25">
      <c r="A3079"/>
      <c r="B3079"/>
    </row>
    <row r="3080" spans="1:2" x14ac:dyDescent="0.25">
      <c r="A3080"/>
      <c r="B3080"/>
    </row>
    <row r="3081" spans="1:2" x14ac:dyDescent="0.25">
      <c r="A3081"/>
      <c r="B3081"/>
    </row>
    <row r="3082" spans="1:2" x14ac:dyDescent="0.25">
      <c r="A3082"/>
      <c r="B3082"/>
    </row>
    <row r="3083" spans="1:2" x14ac:dyDescent="0.25">
      <c r="A3083"/>
      <c r="B3083"/>
    </row>
    <row r="3084" spans="1:2" x14ac:dyDescent="0.25">
      <c r="A3084"/>
      <c r="B3084"/>
    </row>
    <row r="3085" spans="1:2" x14ac:dyDescent="0.25">
      <c r="A3085"/>
      <c r="B3085"/>
    </row>
    <row r="3086" spans="1:2" x14ac:dyDescent="0.25">
      <c r="A3086"/>
      <c r="B3086"/>
    </row>
    <row r="3087" spans="1:2" x14ac:dyDescent="0.25">
      <c r="A3087"/>
      <c r="B3087"/>
    </row>
    <row r="3088" spans="1:2" x14ac:dyDescent="0.25">
      <c r="A3088"/>
      <c r="B3088"/>
    </row>
    <row r="3089" spans="1:2" x14ac:dyDescent="0.25">
      <c r="A3089"/>
      <c r="B3089"/>
    </row>
    <row r="3090" spans="1:2" x14ac:dyDescent="0.25">
      <c r="A3090"/>
      <c r="B3090"/>
    </row>
    <row r="3091" spans="1:2" x14ac:dyDescent="0.25">
      <c r="A3091"/>
      <c r="B3091"/>
    </row>
    <row r="3092" spans="1:2" x14ac:dyDescent="0.25">
      <c r="A3092"/>
      <c r="B3092"/>
    </row>
    <row r="3093" spans="1:2" x14ac:dyDescent="0.25">
      <c r="A3093"/>
      <c r="B3093"/>
    </row>
    <row r="3094" spans="1:2" x14ac:dyDescent="0.25">
      <c r="A3094"/>
      <c r="B3094"/>
    </row>
    <row r="3095" spans="1:2" x14ac:dyDescent="0.25">
      <c r="A3095"/>
      <c r="B3095"/>
    </row>
    <row r="3096" spans="1:2" x14ac:dyDescent="0.25">
      <c r="A3096"/>
      <c r="B3096"/>
    </row>
    <row r="3097" spans="1:2" x14ac:dyDescent="0.25">
      <c r="A3097"/>
      <c r="B3097"/>
    </row>
    <row r="3098" spans="1:2" x14ac:dyDescent="0.25">
      <c r="A3098"/>
      <c r="B3098"/>
    </row>
    <row r="3099" spans="1:2" x14ac:dyDescent="0.25">
      <c r="A3099"/>
      <c r="B3099"/>
    </row>
    <row r="3100" spans="1:2" x14ac:dyDescent="0.25">
      <c r="A3100"/>
      <c r="B3100"/>
    </row>
    <row r="3101" spans="1:2" x14ac:dyDescent="0.25">
      <c r="A3101"/>
      <c r="B3101"/>
    </row>
    <row r="3102" spans="1:2" x14ac:dyDescent="0.25">
      <c r="A3102"/>
      <c r="B3102"/>
    </row>
    <row r="3103" spans="1:2" x14ac:dyDescent="0.25">
      <c r="A3103"/>
      <c r="B3103"/>
    </row>
    <row r="3104" spans="1:2" x14ac:dyDescent="0.25">
      <c r="A3104"/>
      <c r="B3104"/>
    </row>
    <row r="3105" spans="1:2" x14ac:dyDescent="0.25">
      <c r="A3105"/>
      <c r="B3105"/>
    </row>
    <row r="3106" spans="1:2" x14ac:dyDescent="0.25">
      <c r="A3106"/>
      <c r="B3106"/>
    </row>
    <row r="3107" spans="1:2" x14ac:dyDescent="0.25">
      <c r="A3107"/>
      <c r="B3107"/>
    </row>
    <row r="3108" spans="1:2" x14ac:dyDescent="0.25">
      <c r="A3108"/>
      <c r="B3108"/>
    </row>
    <row r="3109" spans="1:2" x14ac:dyDescent="0.25">
      <c r="A3109"/>
      <c r="B3109"/>
    </row>
    <row r="3110" spans="1:2" x14ac:dyDescent="0.25">
      <c r="A3110"/>
      <c r="B3110"/>
    </row>
    <row r="3111" spans="1:2" x14ac:dyDescent="0.25">
      <c r="A3111"/>
      <c r="B3111"/>
    </row>
    <row r="3112" spans="1:2" x14ac:dyDescent="0.25">
      <c r="A3112"/>
      <c r="B3112"/>
    </row>
    <row r="3113" spans="1:2" x14ac:dyDescent="0.25">
      <c r="A3113"/>
      <c r="B3113"/>
    </row>
    <row r="3114" spans="1:2" x14ac:dyDescent="0.25">
      <c r="A3114"/>
      <c r="B3114"/>
    </row>
    <row r="3115" spans="1:2" x14ac:dyDescent="0.25">
      <c r="A3115"/>
      <c r="B3115"/>
    </row>
    <row r="3116" spans="1:2" x14ac:dyDescent="0.25">
      <c r="A3116"/>
      <c r="B3116"/>
    </row>
    <row r="3117" spans="1:2" x14ac:dyDescent="0.25">
      <c r="A3117"/>
      <c r="B3117"/>
    </row>
    <row r="3118" spans="1:2" x14ac:dyDescent="0.25">
      <c r="A3118"/>
      <c r="B3118"/>
    </row>
    <row r="3119" spans="1:2" x14ac:dyDescent="0.25">
      <c r="A3119"/>
      <c r="B3119"/>
    </row>
    <row r="3120" spans="1:2" x14ac:dyDescent="0.25">
      <c r="A3120"/>
      <c r="B3120"/>
    </row>
    <row r="3121" spans="1:2" x14ac:dyDescent="0.25">
      <c r="A3121"/>
      <c r="B3121"/>
    </row>
    <row r="3122" spans="1:2" x14ac:dyDescent="0.25">
      <c r="A3122"/>
      <c r="B3122"/>
    </row>
    <row r="3123" spans="1:2" x14ac:dyDescent="0.25">
      <c r="A3123"/>
      <c r="B3123"/>
    </row>
    <row r="3124" spans="1:2" x14ac:dyDescent="0.25">
      <c r="A3124"/>
      <c r="B3124"/>
    </row>
    <row r="3125" spans="1:2" x14ac:dyDescent="0.25">
      <c r="A3125"/>
      <c r="B3125"/>
    </row>
    <row r="3126" spans="1:2" x14ac:dyDescent="0.25">
      <c r="A3126"/>
      <c r="B3126"/>
    </row>
    <row r="3127" spans="1:2" x14ac:dyDescent="0.25">
      <c r="A3127"/>
      <c r="B3127"/>
    </row>
    <row r="3128" spans="1:2" x14ac:dyDescent="0.25">
      <c r="A3128"/>
      <c r="B3128"/>
    </row>
    <row r="3129" spans="1:2" x14ac:dyDescent="0.25">
      <c r="A3129"/>
      <c r="B3129"/>
    </row>
    <row r="3130" spans="1:2" x14ac:dyDescent="0.25">
      <c r="A3130"/>
      <c r="B3130"/>
    </row>
    <row r="3131" spans="1:2" x14ac:dyDescent="0.25">
      <c r="A3131"/>
      <c r="B3131"/>
    </row>
    <row r="3132" spans="1:2" x14ac:dyDescent="0.25">
      <c r="A3132"/>
      <c r="B3132"/>
    </row>
    <row r="3133" spans="1:2" x14ac:dyDescent="0.25">
      <c r="A3133"/>
      <c r="B3133"/>
    </row>
    <row r="3134" spans="1:2" x14ac:dyDescent="0.25">
      <c r="A3134"/>
      <c r="B3134"/>
    </row>
    <row r="3135" spans="1:2" x14ac:dyDescent="0.25">
      <c r="A3135"/>
      <c r="B3135"/>
    </row>
    <row r="3136" spans="1:2" x14ac:dyDescent="0.25">
      <c r="A3136"/>
      <c r="B3136"/>
    </row>
    <row r="3137" spans="1:2" x14ac:dyDescent="0.25">
      <c r="A3137"/>
      <c r="B3137"/>
    </row>
    <row r="3138" spans="1:2" x14ac:dyDescent="0.25">
      <c r="A3138"/>
      <c r="B3138"/>
    </row>
    <row r="3139" spans="1:2" x14ac:dyDescent="0.25">
      <c r="A3139"/>
      <c r="B3139"/>
    </row>
    <row r="3140" spans="1:2" x14ac:dyDescent="0.25">
      <c r="A3140"/>
      <c r="B3140"/>
    </row>
    <row r="3141" spans="1:2" x14ac:dyDescent="0.25">
      <c r="A3141"/>
      <c r="B3141"/>
    </row>
    <row r="3142" spans="1:2" x14ac:dyDescent="0.25">
      <c r="A3142"/>
      <c r="B3142"/>
    </row>
    <row r="3143" spans="1:2" x14ac:dyDescent="0.25">
      <c r="A3143"/>
      <c r="B3143"/>
    </row>
    <row r="3144" spans="1:2" x14ac:dyDescent="0.25">
      <c r="A3144"/>
      <c r="B3144"/>
    </row>
    <row r="3145" spans="1:2" x14ac:dyDescent="0.25">
      <c r="A3145"/>
      <c r="B3145"/>
    </row>
    <row r="3146" spans="1:2" x14ac:dyDescent="0.25">
      <c r="A3146"/>
      <c r="B3146"/>
    </row>
    <row r="3147" spans="1:2" x14ac:dyDescent="0.25">
      <c r="A3147"/>
      <c r="B3147"/>
    </row>
    <row r="3148" spans="1:2" x14ac:dyDescent="0.25">
      <c r="A3148"/>
      <c r="B3148"/>
    </row>
    <row r="3149" spans="1:2" x14ac:dyDescent="0.25">
      <c r="A3149"/>
      <c r="B3149"/>
    </row>
    <row r="3150" spans="1:2" x14ac:dyDescent="0.25">
      <c r="A3150"/>
      <c r="B3150"/>
    </row>
    <row r="3151" spans="1:2" x14ac:dyDescent="0.25">
      <c r="A3151"/>
      <c r="B3151"/>
    </row>
    <row r="3152" spans="1:2" x14ac:dyDescent="0.25">
      <c r="A3152"/>
      <c r="B3152"/>
    </row>
    <row r="3153" spans="1:2" x14ac:dyDescent="0.25">
      <c r="A3153"/>
      <c r="B3153"/>
    </row>
    <row r="3154" spans="1:2" x14ac:dyDescent="0.25">
      <c r="A3154"/>
      <c r="B3154"/>
    </row>
    <row r="3155" spans="1:2" x14ac:dyDescent="0.25">
      <c r="A3155"/>
      <c r="B3155"/>
    </row>
    <row r="3156" spans="1:2" x14ac:dyDescent="0.25">
      <c r="A3156"/>
      <c r="B3156"/>
    </row>
    <row r="3157" spans="1:2" x14ac:dyDescent="0.25">
      <c r="A3157"/>
      <c r="B3157"/>
    </row>
    <row r="3158" spans="1:2" x14ac:dyDescent="0.25">
      <c r="A3158"/>
      <c r="B3158"/>
    </row>
    <row r="3159" spans="1:2" x14ac:dyDescent="0.25">
      <c r="A3159"/>
      <c r="B3159"/>
    </row>
    <row r="3160" spans="1:2" x14ac:dyDescent="0.25">
      <c r="A3160"/>
      <c r="B3160"/>
    </row>
    <row r="3161" spans="1:2" x14ac:dyDescent="0.25">
      <c r="A3161"/>
      <c r="B3161"/>
    </row>
    <row r="3162" spans="1:2" x14ac:dyDescent="0.25">
      <c r="A3162"/>
      <c r="B3162"/>
    </row>
    <row r="3163" spans="1:2" x14ac:dyDescent="0.25">
      <c r="A3163"/>
      <c r="B3163"/>
    </row>
    <row r="3164" spans="1:2" x14ac:dyDescent="0.25">
      <c r="A3164"/>
      <c r="B3164"/>
    </row>
    <row r="3165" spans="1:2" x14ac:dyDescent="0.25">
      <c r="A3165"/>
      <c r="B3165"/>
    </row>
    <row r="3166" spans="1:2" x14ac:dyDescent="0.25">
      <c r="A3166"/>
      <c r="B3166"/>
    </row>
    <row r="3167" spans="1:2" x14ac:dyDescent="0.25">
      <c r="A3167"/>
      <c r="B3167"/>
    </row>
    <row r="3168" spans="1:2" x14ac:dyDescent="0.25">
      <c r="A3168"/>
      <c r="B3168"/>
    </row>
    <row r="3169" spans="1:2" x14ac:dyDescent="0.25">
      <c r="A3169"/>
      <c r="B3169"/>
    </row>
    <row r="3170" spans="1:2" x14ac:dyDescent="0.25">
      <c r="A3170"/>
      <c r="B3170"/>
    </row>
    <row r="3171" spans="1:2" x14ac:dyDescent="0.25">
      <c r="A3171"/>
      <c r="B3171"/>
    </row>
    <row r="3172" spans="1:2" x14ac:dyDescent="0.25">
      <c r="A3172"/>
      <c r="B3172"/>
    </row>
    <row r="3173" spans="1:2" x14ac:dyDescent="0.25">
      <c r="A3173"/>
      <c r="B3173"/>
    </row>
    <row r="3174" spans="1:2" x14ac:dyDescent="0.25">
      <c r="A3174"/>
      <c r="B3174"/>
    </row>
    <row r="3175" spans="1:2" x14ac:dyDescent="0.25">
      <c r="A3175"/>
      <c r="B3175"/>
    </row>
    <row r="3176" spans="1:2" x14ac:dyDescent="0.25">
      <c r="A3176"/>
      <c r="B3176"/>
    </row>
    <row r="3177" spans="1:2" x14ac:dyDescent="0.25">
      <c r="A3177"/>
      <c r="B3177"/>
    </row>
    <row r="3178" spans="1:2" x14ac:dyDescent="0.25">
      <c r="A3178"/>
      <c r="B3178"/>
    </row>
    <row r="3179" spans="1:2" x14ac:dyDescent="0.25">
      <c r="A3179"/>
      <c r="B3179"/>
    </row>
    <row r="3180" spans="1:2" x14ac:dyDescent="0.25">
      <c r="A3180"/>
      <c r="B3180"/>
    </row>
    <row r="3181" spans="1:2" x14ac:dyDescent="0.25">
      <c r="A3181"/>
      <c r="B3181"/>
    </row>
    <row r="3182" spans="1:2" x14ac:dyDescent="0.25">
      <c r="A3182"/>
      <c r="B3182"/>
    </row>
    <row r="3183" spans="1:2" x14ac:dyDescent="0.25">
      <c r="A3183"/>
      <c r="B3183"/>
    </row>
    <row r="3184" spans="1:2" x14ac:dyDescent="0.25">
      <c r="A3184"/>
      <c r="B3184"/>
    </row>
    <row r="3185" spans="1:2" x14ac:dyDescent="0.25">
      <c r="A3185"/>
      <c r="B3185"/>
    </row>
    <row r="3186" spans="1:2" x14ac:dyDescent="0.25">
      <c r="A3186"/>
      <c r="B3186"/>
    </row>
    <row r="3187" spans="1:2" x14ac:dyDescent="0.25">
      <c r="A3187"/>
      <c r="B3187"/>
    </row>
    <row r="3188" spans="1:2" x14ac:dyDescent="0.25">
      <c r="A3188"/>
      <c r="B3188"/>
    </row>
    <row r="3189" spans="1:2" x14ac:dyDescent="0.25">
      <c r="A3189"/>
      <c r="B3189"/>
    </row>
    <row r="3190" spans="1:2" x14ac:dyDescent="0.25">
      <c r="A3190"/>
      <c r="B3190"/>
    </row>
    <row r="3191" spans="1:2" x14ac:dyDescent="0.25">
      <c r="A3191"/>
      <c r="B3191"/>
    </row>
    <row r="3192" spans="1:2" x14ac:dyDescent="0.25">
      <c r="A3192"/>
      <c r="B3192"/>
    </row>
    <row r="3193" spans="1:2" x14ac:dyDescent="0.25">
      <c r="A3193"/>
      <c r="B3193"/>
    </row>
    <row r="3194" spans="1:2" x14ac:dyDescent="0.25">
      <c r="A3194"/>
      <c r="B3194"/>
    </row>
    <row r="3195" spans="1:2" x14ac:dyDescent="0.25">
      <c r="A3195"/>
      <c r="B3195"/>
    </row>
    <row r="3196" spans="1:2" x14ac:dyDescent="0.25">
      <c r="A3196"/>
      <c r="B3196"/>
    </row>
    <row r="3197" spans="1:2" x14ac:dyDescent="0.25">
      <c r="A3197"/>
      <c r="B3197"/>
    </row>
    <row r="3198" spans="1:2" x14ac:dyDescent="0.25">
      <c r="A3198"/>
      <c r="B3198"/>
    </row>
    <row r="3199" spans="1:2" x14ac:dyDescent="0.25">
      <c r="A3199"/>
      <c r="B3199"/>
    </row>
    <row r="3200" spans="1:2" x14ac:dyDescent="0.25">
      <c r="A3200"/>
      <c r="B3200"/>
    </row>
    <row r="3201" spans="1:2" x14ac:dyDescent="0.25">
      <c r="A3201"/>
      <c r="B3201"/>
    </row>
    <row r="3202" spans="1:2" x14ac:dyDescent="0.25">
      <c r="A3202"/>
      <c r="B3202"/>
    </row>
    <row r="3203" spans="1:2" x14ac:dyDescent="0.25">
      <c r="A3203"/>
      <c r="B3203"/>
    </row>
    <row r="3204" spans="1:2" x14ac:dyDescent="0.25">
      <c r="A3204"/>
      <c r="B3204"/>
    </row>
    <row r="3205" spans="1:2" x14ac:dyDescent="0.25">
      <c r="A3205"/>
      <c r="B3205"/>
    </row>
    <row r="3206" spans="1:2" x14ac:dyDescent="0.25">
      <c r="A3206"/>
      <c r="B3206"/>
    </row>
    <row r="3207" spans="1:2" x14ac:dyDescent="0.25">
      <c r="A3207"/>
      <c r="B3207"/>
    </row>
    <row r="3208" spans="1:2" x14ac:dyDescent="0.25">
      <c r="A3208"/>
      <c r="B3208"/>
    </row>
    <row r="3209" spans="1:2" x14ac:dyDescent="0.25">
      <c r="A3209"/>
      <c r="B3209"/>
    </row>
    <row r="3210" spans="1:2" x14ac:dyDescent="0.25">
      <c r="A3210"/>
      <c r="B3210"/>
    </row>
    <row r="3211" spans="1:2" x14ac:dyDescent="0.25">
      <c r="A3211"/>
      <c r="B3211"/>
    </row>
    <row r="3212" spans="1:2" x14ac:dyDescent="0.25">
      <c r="A3212"/>
      <c r="B3212"/>
    </row>
    <row r="3213" spans="1:2" x14ac:dyDescent="0.25">
      <c r="A3213"/>
      <c r="B3213"/>
    </row>
    <row r="3214" spans="1:2" x14ac:dyDescent="0.25">
      <c r="A3214"/>
      <c r="B3214"/>
    </row>
    <row r="3215" spans="1:2" x14ac:dyDescent="0.25">
      <c r="A3215"/>
      <c r="B3215"/>
    </row>
    <row r="3216" spans="1:2" x14ac:dyDescent="0.25">
      <c r="A3216"/>
      <c r="B3216"/>
    </row>
    <row r="3217" spans="1:2" x14ac:dyDescent="0.25">
      <c r="A3217"/>
      <c r="B3217"/>
    </row>
    <row r="3218" spans="1:2" x14ac:dyDescent="0.25">
      <c r="A3218"/>
      <c r="B3218"/>
    </row>
    <row r="3219" spans="1:2" x14ac:dyDescent="0.25">
      <c r="A3219"/>
      <c r="B3219"/>
    </row>
    <row r="3220" spans="1:2" x14ac:dyDescent="0.25">
      <c r="A3220"/>
      <c r="B3220"/>
    </row>
    <row r="3221" spans="1:2" x14ac:dyDescent="0.25">
      <c r="A3221"/>
      <c r="B3221"/>
    </row>
    <row r="3222" spans="1:2" x14ac:dyDescent="0.25">
      <c r="A3222"/>
      <c r="B3222"/>
    </row>
    <row r="3223" spans="1:2" x14ac:dyDescent="0.25">
      <c r="A3223"/>
      <c r="B3223"/>
    </row>
    <row r="3224" spans="1:2" x14ac:dyDescent="0.25">
      <c r="A3224"/>
      <c r="B3224"/>
    </row>
    <row r="3225" spans="1:2" x14ac:dyDescent="0.25">
      <c r="A3225"/>
      <c r="B3225"/>
    </row>
    <row r="3226" spans="1:2" x14ac:dyDescent="0.25">
      <c r="A3226"/>
      <c r="B3226"/>
    </row>
    <row r="3227" spans="1:2" x14ac:dyDescent="0.25">
      <c r="A3227"/>
      <c r="B3227"/>
    </row>
    <row r="3228" spans="1:2" x14ac:dyDescent="0.25">
      <c r="A3228"/>
      <c r="B3228"/>
    </row>
    <row r="3229" spans="1:2" x14ac:dyDescent="0.25">
      <c r="A3229"/>
      <c r="B3229"/>
    </row>
    <row r="3230" spans="1:2" x14ac:dyDescent="0.25">
      <c r="A3230"/>
      <c r="B3230"/>
    </row>
    <row r="3231" spans="1:2" x14ac:dyDescent="0.25">
      <c r="A3231"/>
      <c r="B3231"/>
    </row>
    <row r="3232" spans="1:2" x14ac:dyDescent="0.25">
      <c r="A3232"/>
      <c r="B3232"/>
    </row>
    <row r="3233" spans="1:2" x14ac:dyDescent="0.25">
      <c r="A3233"/>
      <c r="B3233"/>
    </row>
    <row r="3234" spans="1:2" x14ac:dyDescent="0.25">
      <c r="A3234"/>
      <c r="B3234"/>
    </row>
    <row r="3235" spans="1:2" x14ac:dyDescent="0.25">
      <c r="A3235"/>
      <c r="B3235"/>
    </row>
    <row r="3236" spans="1:2" x14ac:dyDescent="0.25">
      <c r="A3236"/>
      <c r="B3236"/>
    </row>
    <row r="3237" spans="1:2" x14ac:dyDescent="0.25">
      <c r="A3237"/>
      <c r="B3237"/>
    </row>
    <row r="3238" spans="1:2" x14ac:dyDescent="0.25">
      <c r="A3238"/>
      <c r="B3238"/>
    </row>
    <row r="3239" spans="1:2" x14ac:dyDescent="0.25">
      <c r="A3239"/>
      <c r="B3239"/>
    </row>
    <row r="3240" spans="1:2" x14ac:dyDescent="0.25">
      <c r="A3240"/>
      <c r="B3240"/>
    </row>
    <row r="3241" spans="1:2" x14ac:dyDescent="0.25">
      <c r="A3241"/>
      <c r="B3241"/>
    </row>
    <row r="3242" spans="1:2" x14ac:dyDescent="0.25">
      <c r="A3242"/>
      <c r="B3242"/>
    </row>
    <row r="3243" spans="1:2" x14ac:dyDescent="0.25">
      <c r="A3243"/>
      <c r="B3243"/>
    </row>
    <row r="3244" spans="1:2" x14ac:dyDescent="0.25">
      <c r="A3244"/>
      <c r="B3244"/>
    </row>
    <row r="3245" spans="1:2" x14ac:dyDescent="0.25">
      <c r="A3245"/>
      <c r="B3245"/>
    </row>
    <row r="3246" spans="1:2" x14ac:dyDescent="0.25">
      <c r="A3246"/>
      <c r="B3246"/>
    </row>
    <row r="3247" spans="1:2" x14ac:dyDescent="0.25">
      <c r="A3247"/>
      <c r="B3247"/>
    </row>
    <row r="3248" spans="1:2" x14ac:dyDescent="0.25">
      <c r="A3248"/>
      <c r="B3248"/>
    </row>
    <row r="3249" spans="1:2" x14ac:dyDescent="0.25">
      <c r="A3249"/>
      <c r="B3249"/>
    </row>
    <row r="3250" spans="1:2" x14ac:dyDescent="0.25">
      <c r="A3250"/>
      <c r="B3250"/>
    </row>
    <row r="3251" spans="1:2" x14ac:dyDescent="0.25">
      <c r="A3251"/>
      <c r="B3251"/>
    </row>
    <row r="3252" spans="1:2" x14ac:dyDescent="0.25">
      <c r="A3252"/>
      <c r="B3252"/>
    </row>
    <row r="3253" spans="1:2" x14ac:dyDescent="0.25">
      <c r="A3253"/>
      <c r="B3253"/>
    </row>
    <row r="3254" spans="1:2" x14ac:dyDescent="0.25">
      <c r="A3254"/>
      <c r="B3254"/>
    </row>
    <row r="3255" spans="1:2" x14ac:dyDescent="0.25">
      <c r="A3255"/>
      <c r="B3255"/>
    </row>
    <row r="3256" spans="1:2" x14ac:dyDescent="0.25">
      <c r="A3256"/>
      <c r="B3256"/>
    </row>
    <row r="3257" spans="1:2" x14ac:dyDescent="0.25">
      <c r="A3257"/>
      <c r="B3257"/>
    </row>
    <row r="3258" spans="1:2" x14ac:dyDescent="0.25">
      <c r="A3258"/>
      <c r="B3258"/>
    </row>
    <row r="3259" spans="1:2" x14ac:dyDescent="0.25">
      <c r="A3259"/>
      <c r="B3259"/>
    </row>
    <row r="3260" spans="1:2" x14ac:dyDescent="0.25">
      <c r="A3260"/>
      <c r="B3260"/>
    </row>
    <row r="3261" spans="1:2" x14ac:dyDescent="0.25">
      <c r="A3261"/>
      <c r="B3261"/>
    </row>
    <row r="3262" spans="1:2" x14ac:dyDescent="0.25">
      <c r="A3262"/>
      <c r="B3262"/>
    </row>
    <row r="3263" spans="1:2" x14ac:dyDescent="0.25">
      <c r="A3263"/>
      <c r="B3263"/>
    </row>
    <row r="3264" spans="1:2" x14ac:dyDescent="0.25">
      <c r="A3264"/>
      <c r="B3264"/>
    </row>
    <row r="3265" spans="1:2" x14ac:dyDescent="0.25">
      <c r="A3265"/>
      <c r="B3265"/>
    </row>
    <row r="3266" spans="1:2" x14ac:dyDescent="0.25">
      <c r="A3266"/>
      <c r="B3266"/>
    </row>
    <row r="3267" spans="1:2" x14ac:dyDescent="0.25">
      <c r="A3267"/>
      <c r="B3267"/>
    </row>
    <row r="3268" spans="1:2" x14ac:dyDescent="0.25">
      <c r="A3268"/>
      <c r="B3268"/>
    </row>
    <row r="3269" spans="1:2" x14ac:dyDescent="0.25">
      <c r="A3269"/>
      <c r="B3269"/>
    </row>
    <row r="3270" spans="1:2" x14ac:dyDescent="0.25">
      <c r="A3270"/>
      <c r="B3270"/>
    </row>
    <row r="3271" spans="1:2" x14ac:dyDescent="0.25">
      <c r="A3271"/>
      <c r="B3271"/>
    </row>
    <row r="3272" spans="1:2" x14ac:dyDescent="0.25">
      <c r="A3272"/>
      <c r="B3272"/>
    </row>
    <row r="3273" spans="1:2" x14ac:dyDescent="0.25">
      <c r="A3273"/>
      <c r="B3273"/>
    </row>
    <row r="3274" spans="1:2" x14ac:dyDescent="0.25">
      <c r="A3274"/>
      <c r="B3274"/>
    </row>
    <row r="3275" spans="1:2" x14ac:dyDescent="0.25">
      <c r="A3275"/>
      <c r="B3275"/>
    </row>
    <row r="3276" spans="1:2" x14ac:dyDescent="0.25">
      <c r="A3276"/>
      <c r="B3276"/>
    </row>
    <row r="3277" spans="1:2" x14ac:dyDescent="0.25">
      <c r="A3277"/>
      <c r="B3277"/>
    </row>
    <row r="3278" spans="1:2" x14ac:dyDescent="0.25">
      <c r="A3278"/>
      <c r="B3278"/>
    </row>
    <row r="3279" spans="1:2" x14ac:dyDescent="0.25">
      <c r="A3279"/>
      <c r="B3279"/>
    </row>
    <row r="3280" spans="1:2" x14ac:dyDescent="0.25">
      <c r="A3280"/>
      <c r="B3280"/>
    </row>
    <row r="3281" spans="1:2" x14ac:dyDescent="0.25">
      <c r="A3281"/>
      <c r="B3281"/>
    </row>
    <row r="3282" spans="1:2" x14ac:dyDescent="0.25">
      <c r="A3282"/>
      <c r="B3282"/>
    </row>
    <row r="3283" spans="1:2" x14ac:dyDescent="0.25">
      <c r="A3283"/>
      <c r="B3283"/>
    </row>
    <row r="3284" spans="1:2" x14ac:dyDescent="0.25">
      <c r="A3284"/>
      <c r="B3284"/>
    </row>
    <row r="3285" spans="1:2" x14ac:dyDescent="0.25">
      <c r="A3285"/>
      <c r="B3285"/>
    </row>
    <row r="3286" spans="1:2" x14ac:dyDescent="0.25">
      <c r="A3286"/>
      <c r="B3286"/>
    </row>
    <row r="3287" spans="1:2" x14ac:dyDescent="0.25">
      <c r="A3287"/>
      <c r="B3287"/>
    </row>
    <row r="3288" spans="1:2" x14ac:dyDescent="0.25">
      <c r="A3288"/>
      <c r="B3288"/>
    </row>
    <row r="3289" spans="1:2" x14ac:dyDescent="0.25">
      <c r="A3289"/>
      <c r="B3289"/>
    </row>
    <row r="3290" spans="1:2" x14ac:dyDescent="0.25">
      <c r="A3290"/>
      <c r="B3290"/>
    </row>
    <row r="3291" spans="1:2" x14ac:dyDescent="0.25">
      <c r="A3291"/>
      <c r="B3291"/>
    </row>
    <row r="3292" spans="1:2" x14ac:dyDescent="0.25">
      <c r="A3292"/>
      <c r="B3292"/>
    </row>
    <row r="3293" spans="1:2" x14ac:dyDescent="0.25">
      <c r="A3293"/>
      <c r="B3293"/>
    </row>
    <row r="3294" spans="1:2" x14ac:dyDescent="0.25">
      <c r="A3294"/>
      <c r="B3294"/>
    </row>
    <row r="3295" spans="1:2" x14ac:dyDescent="0.25">
      <c r="A3295"/>
      <c r="B3295"/>
    </row>
    <row r="3296" spans="1:2" x14ac:dyDescent="0.25">
      <c r="A3296"/>
      <c r="B3296"/>
    </row>
    <row r="3297" spans="1:2" x14ac:dyDescent="0.25">
      <c r="A3297"/>
      <c r="B3297"/>
    </row>
    <row r="3298" spans="1:2" x14ac:dyDescent="0.25">
      <c r="A3298"/>
      <c r="B3298"/>
    </row>
    <row r="3299" spans="1:2" x14ac:dyDescent="0.25">
      <c r="A3299"/>
      <c r="B3299"/>
    </row>
    <row r="3300" spans="1:2" x14ac:dyDescent="0.25">
      <c r="A3300"/>
      <c r="B3300"/>
    </row>
    <row r="3301" spans="1:2" x14ac:dyDescent="0.25">
      <c r="A3301"/>
      <c r="B3301"/>
    </row>
    <row r="3302" spans="1:2" x14ac:dyDescent="0.25">
      <c r="A3302"/>
      <c r="B3302"/>
    </row>
    <row r="3303" spans="1:2" x14ac:dyDescent="0.25">
      <c r="A3303"/>
      <c r="B3303"/>
    </row>
    <row r="3304" spans="1:2" x14ac:dyDescent="0.25">
      <c r="A3304"/>
      <c r="B3304"/>
    </row>
    <row r="3305" spans="1:2" x14ac:dyDescent="0.25">
      <c r="A3305"/>
      <c r="B3305"/>
    </row>
    <row r="3306" spans="1:2" x14ac:dyDescent="0.25">
      <c r="A3306"/>
      <c r="B3306"/>
    </row>
    <row r="3307" spans="1:2" x14ac:dyDescent="0.25">
      <c r="A3307"/>
      <c r="B3307"/>
    </row>
    <row r="3308" spans="1:2" x14ac:dyDescent="0.25">
      <c r="A3308"/>
      <c r="B3308"/>
    </row>
    <row r="3309" spans="1:2" x14ac:dyDescent="0.25">
      <c r="A3309"/>
      <c r="B3309"/>
    </row>
    <row r="3310" spans="1:2" x14ac:dyDescent="0.25">
      <c r="A3310"/>
      <c r="B3310"/>
    </row>
    <row r="3311" spans="1:2" x14ac:dyDescent="0.25">
      <c r="A3311"/>
      <c r="B3311"/>
    </row>
    <row r="3312" spans="1:2" x14ac:dyDescent="0.25">
      <c r="A3312"/>
      <c r="B3312"/>
    </row>
    <row r="3313" spans="1:2" x14ac:dyDescent="0.25">
      <c r="A3313"/>
      <c r="B3313"/>
    </row>
    <row r="3314" spans="1:2" x14ac:dyDescent="0.25">
      <c r="A3314"/>
      <c r="B3314"/>
    </row>
    <row r="3315" spans="1:2" x14ac:dyDescent="0.25">
      <c r="A3315"/>
      <c r="B3315"/>
    </row>
    <row r="3316" spans="1:2" x14ac:dyDescent="0.25">
      <c r="A3316"/>
      <c r="B3316"/>
    </row>
    <row r="3317" spans="1:2" x14ac:dyDescent="0.25">
      <c r="A3317"/>
      <c r="B3317"/>
    </row>
    <row r="3318" spans="1:2" x14ac:dyDescent="0.25">
      <c r="A3318"/>
      <c r="B3318"/>
    </row>
    <row r="3319" spans="1:2" x14ac:dyDescent="0.25">
      <c r="A3319"/>
      <c r="B3319"/>
    </row>
    <row r="3320" spans="1:2" x14ac:dyDescent="0.25">
      <c r="A3320"/>
      <c r="B3320"/>
    </row>
    <row r="3321" spans="1:2" x14ac:dyDescent="0.25">
      <c r="A3321"/>
      <c r="B3321"/>
    </row>
    <row r="3322" spans="1:2" x14ac:dyDescent="0.25">
      <c r="A3322"/>
      <c r="B3322"/>
    </row>
    <row r="3323" spans="1:2" x14ac:dyDescent="0.25">
      <c r="A3323"/>
      <c r="B3323"/>
    </row>
    <row r="3324" spans="1:2" x14ac:dyDescent="0.25">
      <c r="A3324"/>
      <c r="B3324"/>
    </row>
    <row r="3325" spans="1:2" x14ac:dyDescent="0.25">
      <c r="A3325"/>
      <c r="B3325"/>
    </row>
    <row r="3326" spans="1:2" x14ac:dyDescent="0.25">
      <c r="A3326"/>
      <c r="B3326"/>
    </row>
    <row r="3327" spans="1:2" x14ac:dyDescent="0.25">
      <c r="A3327"/>
      <c r="B3327"/>
    </row>
    <row r="3328" spans="1:2" x14ac:dyDescent="0.25">
      <c r="A3328"/>
      <c r="B3328"/>
    </row>
    <row r="3329" spans="1:2" x14ac:dyDescent="0.25">
      <c r="A3329"/>
      <c r="B3329"/>
    </row>
    <row r="3330" spans="1:2" x14ac:dyDescent="0.25">
      <c r="A3330"/>
      <c r="B3330"/>
    </row>
    <row r="3331" spans="1:2" x14ac:dyDescent="0.25">
      <c r="A3331"/>
      <c r="B3331"/>
    </row>
    <row r="3332" spans="1:2" x14ac:dyDescent="0.25">
      <c r="A3332"/>
      <c r="B3332"/>
    </row>
    <row r="3333" spans="1:2" x14ac:dyDescent="0.25">
      <c r="A3333"/>
      <c r="B3333"/>
    </row>
    <row r="3334" spans="1:2" x14ac:dyDescent="0.25">
      <c r="A3334"/>
      <c r="B3334"/>
    </row>
    <row r="3335" spans="1:2" x14ac:dyDescent="0.25">
      <c r="A3335"/>
      <c r="B3335"/>
    </row>
    <row r="3336" spans="1:2" x14ac:dyDescent="0.25">
      <c r="A3336"/>
      <c r="B3336"/>
    </row>
    <row r="3337" spans="1:2" x14ac:dyDescent="0.25">
      <c r="A3337"/>
      <c r="B3337"/>
    </row>
    <row r="3338" spans="1:2" x14ac:dyDescent="0.25">
      <c r="A3338"/>
      <c r="B3338"/>
    </row>
    <row r="3339" spans="1:2" x14ac:dyDescent="0.25">
      <c r="A3339"/>
      <c r="B3339"/>
    </row>
    <row r="3340" spans="1:2" x14ac:dyDescent="0.25">
      <c r="A3340"/>
      <c r="B3340"/>
    </row>
    <row r="3341" spans="1:2" x14ac:dyDescent="0.25">
      <c r="A3341"/>
      <c r="B3341"/>
    </row>
    <row r="3342" spans="1:2" x14ac:dyDescent="0.25">
      <c r="A3342"/>
      <c r="B3342"/>
    </row>
    <row r="3343" spans="1:2" x14ac:dyDescent="0.25">
      <c r="A3343"/>
      <c r="B3343"/>
    </row>
    <row r="3344" spans="1:2" x14ac:dyDescent="0.25">
      <c r="A3344"/>
      <c r="B3344"/>
    </row>
    <row r="3345" spans="1:2" x14ac:dyDescent="0.25">
      <c r="A3345"/>
      <c r="B3345"/>
    </row>
    <row r="3346" spans="1:2" x14ac:dyDescent="0.25">
      <c r="A3346"/>
      <c r="B3346"/>
    </row>
    <row r="3347" spans="1:2" x14ac:dyDescent="0.25">
      <c r="A3347"/>
      <c r="B3347"/>
    </row>
    <row r="3348" spans="1:2" x14ac:dyDescent="0.25">
      <c r="A3348"/>
      <c r="B3348"/>
    </row>
    <row r="3349" spans="1:2" x14ac:dyDescent="0.25">
      <c r="A3349"/>
      <c r="B3349"/>
    </row>
    <row r="3350" spans="1:2" x14ac:dyDescent="0.25">
      <c r="A3350"/>
      <c r="B3350"/>
    </row>
    <row r="3351" spans="1:2" x14ac:dyDescent="0.25">
      <c r="A3351"/>
      <c r="B3351"/>
    </row>
    <row r="3352" spans="1:2" x14ac:dyDescent="0.25">
      <c r="A3352"/>
      <c r="B3352"/>
    </row>
    <row r="3353" spans="1:2" x14ac:dyDescent="0.25">
      <c r="A3353"/>
      <c r="B3353"/>
    </row>
    <row r="3354" spans="1:2" x14ac:dyDescent="0.25">
      <c r="A3354"/>
      <c r="B3354"/>
    </row>
    <row r="3355" spans="1:2" x14ac:dyDescent="0.25">
      <c r="A3355"/>
      <c r="B3355"/>
    </row>
    <row r="3356" spans="1:2" x14ac:dyDescent="0.25">
      <c r="A3356"/>
      <c r="B3356"/>
    </row>
    <row r="3357" spans="1:2" x14ac:dyDescent="0.25">
      <c r="A3357"/>
      <c r="B3357"/>
    </row>
    <row r="3358" spans="1:2" x14ac:dyDescent="0.25">
      <c r="A3358"/>
      <c r="B3358"/>
    </row>
    <row r="3359" spans="1:2" x14ac:dyDescent="0.25">
      <c r="A3359"/>
      <c r="B3359"/>
    </row>
    <row r="3360" spans="1:2" x14ac:dyDescent="0.25">
      <c r="A3360"/>
      <c r="B3360"/>
    </row>
    <row r="3361" spans="1:2" x14ac:dyDescent="0.25">
      <c r="A3361"/>
      <c r="B3361"/>
    </row>
    <row r="3362" spans="1:2" x14ac:dyDescent="0.25">
      <c r="A3362"/>
      <c r="B3362"/>
    </row>
    <row r="3363" spans="1:2" x14ac:dyDescent="0.25">
      <c r="A3363"/>
      <c r="B3363"/>
    </row>
    <row r="3364" spans="1:2" x14ac:dyDescent="0.25">
      <c r="A3364"/>
      <c r="B3364"/>
    </row>
    <row r="3365" spans="1:2" x14ac:dyDescent="0.25">
      <c r="A3365"/>
      <c r="B3365"/>
    </row>
    <row r="3366" spans="1:2" x14ac:dyDescent="0.25">
      <c r="A3366"/>
      <c r="B3366"/>
    </row>
    <row r="3367" spans="1:2" x14ac:dyDescent="0.25">
      <c r="A3367"/>
      <c r="B3367"/>
    </row>
    <row r="3368" spans="1:2" x14ac:dyDescent="0.25">
      <c r="A3368"/>
      <c r="B3368"/>
    </row>
    <row r="3369" spans="1:2" x14ac:dyDescent="0.25">
      <c r="A3369"/>
      <c r="B3369"/>
    </row>
    <row r="3370" spans="1:2" x14ac:dyDescent="0.25">
      <c r="A3370"/>
      <c r="B3370"/>
    </row>
    <row r="3371" spans="1:2" x14ac:dyDescent="0.25">
      <c r="A3371"/>
      <c r="B3371"/>
    </row>
    <row r="3372" spans="1:2" x14ac:dyDescent="0.25">
      <c r="A3372"/>
      <c r="B3372"/>
    </row>
    <row r="3373" spans="1:2" x14ac:dyDescent="0.25">
      <c r="A3373"/>
      <c r="B3373"/>
    </row>
    <row r="3374" spans="1:2" x14ac:dyDescent="0.25">
      <c r="A3374"/>
      <c r="B3374"/>
    </row>
    <row r="3375" spans="1:2" x14ac:dyDescent="0.25">
      <c r="A3375"/>
      <c r="B3375"/>
    </row>
    <row r="3376" spans="1:2" x14ac:dyDescent="0.25">
      <c r="A3376"/>
      <c r="B3376"/>
    </row>
    <row r="3377" spans="1:2" x14ac:dyDescent="0.25">
      <c r="A3377"/>
      <c r="B3377"/>
    </row>
    <row r="3378" spans="1:2" x14ac:dyDescent="0.25">
      <c r="A3378"/>
      <c r="B3378"/>
    </row>
    <row r="3379" spans="1:2" x14ac:dyDescent="0.25">
      <c r="A3379"/>
      <c r="B3379"/>
    </row>
    <row r="3380" spans="1:2" x14ac:dyDescent="0.25">
      <c r="A3380"/>
      <c r="B3380"/>
    </row>
    <row r="3381" spans="1:2" x14ac:dyDescent="0.25">
      <c r="A3381"/>
      <c r="B3381"/>
    </row>
    <row r="3382" spans="1:2" x14ac:dyDescent="0.25">
      <c r="A3382"/>
      <c r="B3382"/>
    </row>
    <row r="3383" spans="1:2" x14ac:dyDescent="0.25">
      <c r="A3383"/>
      <c r="B3383"/>
    </row>
    <row r="3384" spans="1:2" x14ac:dyDescent="0.25">
      <c r="A3384"/>
      <c r="B3384"/>
    </row>
    <row r="3385" spans="1:2" x14ac:dyDescent="0.25">
      <c r="A3385"/>
      <c r="B3385"/>
    </row>
    <row r="3386" spans="1:2" x14ac:dyDescent="0.25">
      <c r="A3386"/>
      <c r="B3386"/>
    </row>
    <row r="3387" spans="1:2" x14ac:dyDescent="0.25">
      <c r="A3387"/>
      <c r="B3387"/>
    </row>
    <row r="3388" spans="1:2" x14ac:dyDescent="0.25">
      <c r="A3388"/>
      <c r="B3388"/>
    </row>
    <row r="3389" spans="1:2" x14ac:dyDescent="0.25">
      <c r="A3389"/>
      <c r="B3389"/>
    </row>
    <row r="3390" spans="1:2" x14ac:dyDescent="0.25">
      <c r="A3390"/>
      <c r="B3390"/>
    </row>
    <row r="3391" spans="1:2" x14ac:dyDescent="0.25">
      <c r="A3391"/>
      <c r="B3391"/>
    </row>
    <row r="3392" spans="1:2" x14ac:dyDescent="0.25">
      <c r="A3392"/>
      <c r="B3392"/>
    </row>
    <row r="3393" spans="1:2" x14ac:dyDescent="0.25">
      <c r="A3393"/>
      <c r="B3393"/>
    </row>
    <row r="3394" spans="1:2" x14ac:dyDescent="0.25">
      <c r="A3394"/>
      <c r="B3394"/>
    </row>
    <row r="3395" spans="1:2" x14ac:dyDescent="0.25">
      <c r="A3395"/>
      <c r="B3395"/>
    </row>
    <row r="3396" spans="1:2" x14ac:dyDescent="0.25">
      <c r="A3396"/>
      <c r="B3396"/>
    </row>
    <row r="3397" spans="1:2" x14ac:dyDescent="0.25">
      <c r="A3397"/>
      <c r="B3397"/>
    </row>
    <row r="3398" spans="1:2" x14ac:dyDescent="0.25">
      <c r="A3398"/>
      <c r="B3398"/>
    </row>
    <row r="3399" spans="1:2" x14ac:dyDescent="0.25">
      <c r="A3399"/>
      <c r="B3399"/>
    </row>
    <row r="3400" spans="1:2" x14ac:dyDescent="0.25">
      <c r="A3400"/>
      <c r="B3400"/>
    </row>
    <row r="3401" spans="1:2" x14ac:dyDescent="0.25">
      <c r="A3401"/>
      <c r="B3401"/>
    </row>
    <row r="3402" spans="1:2" x14ac:dyDescent="0.25">
      <c r="A3402"/>
      <c r="B3402"/>
    </row>
    <row r="3403" spans="1:2" x14ac:dyDescent="0.25">
      <c r="A3403"/>
      <c r="B3403"/>
    </row>
    <row r="3404" spans="1:2" x14ac:dyDescent="0.25">
      <c r="A3404"/>
      <c r="B3404"/>
    </row>
    <row r="3405" spans="1:2" x14ac:dyDescent="0.25">
      <c r="A3405"/>
      <c r="B3405"/>
    </row>
    <row r="3406" spans="1:2" x14ac:dyDescent="0.25">
      <c r="A3406"/>
      <c r="B3406"/>
    </row>
    <row r="3407" spans="1:2" x14ac:dyDescent="0.25">
      <c r="A3407"/>
      <c r="B3407"/>
    </row>
    <row r="3408" spans="1:2" x14ac:dyDescent="0.25">
      <c r="A3408"/>
      <c r="B3408"/>
    </row>
    <row r="3409" spans="1:2" x14ac:dyDescent="0.25">
      <c r="A3409"/>
      <c r="B3409"/>
    </row>
    <row r="3410" spans="1:2" x14ac:dyDescent="0.25">
      <c r="A3410"/>
      <c r="B3410"/>
    </row>
    <row r="3411" spans="1:2" x14ac:dyDescent="0.25">
      <c r="A3411"/>
      <c r="B3411"/>
    </row>
    <row r="3412" spans="1:2" x14ac:dyDescent="0.25">
      <c r="A3412"/>
      <c r="B3412"/>
    </row>
    <row r="3413" spans="1:2" x14ac:dyDescent="0.25">
      <c r="A3413"/>
      <c r="B3413"/>
    </row>
    <row r="3414" spans="1:2" x14ac:dyDescent="0.25">
      <c r="A3414"/>
      <c r="B3414"/>
    </row>
    <row r="3415" spans="1:2" x14ac:dyDescent="0.25">
      <c r="A3415"/>
      <c r="B3415"/>
    </row>
    <row r="3416" spans="1:2" x14ac:dyDescent="0.25">
      <c r="A3416"/>
      <c r="B3416"/>
    </row>
    <row r="3417" spans="1:2" x14ac:dyDescent="0.25">
      <c r="A3417"/>
      <c r="B3417"/>
    </row>
    <row r="3418" spans="1:2" x14ac:dyDescent="0.25">
      <c r="A3418"/>
      <c r="B3418"/>
    </row>
    <row r="3419" spans="1:2" x14ac:dyDescent="0.25">
      <c r="A3419"/>
      <c r="B3419"/>
    </row>
    <row r="3420" spans="1:2" x14ac:dyDescent="0.25">
      <c r="A3420"/>
      <c r="B3420"/>
    </row>
    <row r="3421" spans="1:2" x14ac:dyDescent="0.25">
      <c r="A3421"/>
      <c r="B3421"/>
    </row>
    <row r="3422" spans="1:2" x14ac:dyDescent="0.25">
      <c r="A3422"/>
      <c r="B3422"/>
    </row>
    <row r="3423" spans="1:2" x14ac:dyDescent="0.25">
      <c r="A3423"/>
      <c r="B3423"/>
    </row>
    <row r="3424" spans="1:2" x14ac:dyDescent="0.25">
      <c r="A3424"/>
      <c r="B3424"/>
    </row>
    <row r="3425" spans="1:2" x14ac:dyDescent="0.25">
      <c r="A3425"/>
      <c r="B3425"/>
    </row>
    <row r="3426" spans="1:2" x14ac:dyDescent="0.25">
      <c r="A3426"/>
      <c r="B3426"/>
    </row>
    <row r="3427" spans="1:2" x14ac:dyDescent="0.25">
      <c r="A3427"/>
      <c r="B3427"/>
    </row>
    <row r="3428" spans="1:2" x14ac:dyDescent="0.25">
      <c r="A3428"/>
      <c r="B3428"/>
    </row>
    <row r="3429" spans="1:2" x14ac:dyDescent="0.25">
      <c r="A3429"/>
      <c r="B3429"/>
    </row>
    <row r="3430" spans="1:2" x14ac:dyDescent="0.25">
      <c r="A3430"/>
      <c r="B3430"/>
    </row>
    <row r="3431" spans="1:2" x14ac:dyDescent="0.25">
      <c r="A3431"/>
      <c r="B3431"/>
    </row>
    <row r="3432" spans="1:2" x14ac:dyDescent="0.25">
      <c r="A3432"/>
      <c r="B3432"/>
    </row>
    <row r="3433" spans="1:2" x14ac:dyDescent="0.25">
      <c r="A3433"/>
      <c r="B3433"/>
    </row>
    <row r="3434" spans="1:2" x14ac:dyDescent="0.25">
      <c r="A3434"/>
      <c r="B3434"/>
    </row>
    <row r="3435" spans="1:2" x14ac:dyDescent="0.25">
      <c r="A3435"/>
      <c r="B3435"/>
    </row>
    <row r="3436" spans="1:2" x14ac:dyDescent="0.25">
      <c r="A3436"/>
      <c r="B3436"/>
    </row>
    <row r="3437" spans="1:2" x14ac:dyDescent="0.25">
      <c r="A3437"/>
      <c r="B3437"/>
    </row>
    <row r="3438" spans="1:2" x14ac:dyDescent="0.25">
      <c r="A3438"/>
      <c r="B3438"/>
    </row>
    <row r="3439" spans="1:2" x14ac:dyDescent="0.25">
      <c r="A3439"/>
      <c r="B3439"/>
    </row>
    <row r="3440" spans="1:2" x14ac:dyDescent="0.25">
      <c r="A3440"/>
      <c r="B3440"/>
    </row>
    <row r="3441" spans="1:2" x14ac:dyDescent="0.25">
      <c r="A3441"/>
      <c r="B3441"/>
    </row>
    <row r="3442" spans="1:2" x14ac:dyDescent="0.25">
      <c r="A3442"/>
      <c r="B3442"/>
    </row>
    <row r="3443" spans="1:2" x14ac:dyDescent="0.25">
      <c r="A3443"/>
      <c r="B3443"/>
    </row>
    <row r="3444" spans="1:2" x14ac:dyDescent="0.25">
      <c r="A3444"/>
      <c r="B3444"/>
    </row>
    <row r="3445" spans="1:2" x14ac:dyDescent="0.25">
      <c r="A3445"/>
      <c r="B3445"/>
    </row>
    <row r="3446" spans="1:2" x14ac:dyDescent="0.25">
      <c r="A3446"/>
      <c r="B3446"/>
    </row>
    <row r="3447" spans="1:2" x14ac:dyDescent="0.25">
      <c r="A3447"/>
      <c r="B3447"/>
    </row>
    <row r="3448" spans="1:2" x14ac:dyDescent="0.25">
      <c r="A3448"/>
      <c r="B3448"/>
    </row>
    <row r="3449" spans="1:2" x14ac:dyDescent="0.25">
      <c r="A3449"/>
      <c r="B3449"/>
    </row>
    <row r="3450" spans="1:2" x14ac:dyDescent="0.25">
      <c r="A3450"/>
      <c r="B3450"/>
    </row>
    <row r="3451" spans="1:2" x14ac:dyDescent="0.25">
      <c r="A3451"/>
      <c r="B3451"/>
    </row>
    <row r="3452" spans="1:2" x14ac:dyDescent="0.25">
      <c r="A3452"/>
      <c r="B3452"/>
    </row>
    <row r="3453" spans="1:2" x14ac:dyDescent="0.25">
      <c r="A3453"/>
      <c r="B3453"/>
    </row>
    <row r="3454" spans="1:2" x14ac:dyDescent="0.25">
      <c r="A3454"/>
      <c r="B3454"/>
    </row>
    <row r="3455" spans="1:2" x14ac:dyDescent="0.25">
      <c r="A3455"/>
      <c r="B3455"/>
    </row>
    <row r="3456" spans="1:2" x14ac:dyDescent="0.25">
      <c r="A3456"/>
      <c r="B3456"/>
    </row>
    <row r="3457" spans="1:2" x14ac:dyDescent="0.25">
      <c r="A3457"/>
      <c r="B3457"/>
    </row>
    <row r="3458" spans="1:2" x14ac:dyDescent="0.25">
      <c r="A3458"/>
      <c r="B3458"/>
    </row>
    <row r="3459" spans="1:2" x14ac:dyDescent="0.25">
      <c r="A3459"/>
      <c r="B3459"/>
    </row>
    <row r="3460" spans="1:2" x14ac:dyDescent="0.25">
      <c r="A3460"/>
      <c r="B3460"/>
    </row>
    <row r="3461" spans="1:2" x14ac:dyDescent="0.25">
      <c r="A3461"/>
      <c r="B3461"/>
    </row>
    <row r="3462" spans="1:2" x14ac:dyDescent="0.25">
      <c r="A3462"/>
      <c r="B3462"/>
    </row>
    <row r="3463" spans="1:2" x14ac:dyDescent="0.25">
      <c r="A3463"/>
      <c r="B3463"/>
    </row>
    <row r="3464" spans="1:2" x14ac:dyDescent="0.25">
      <c r="A3464"/>
      <c r="B3464"/>
    </row>
    <row r="3465" spans="1:2" x14ac:dyDescent="0.25">
      <c r="A3465"/>
      <c r="B3465"/>
    </row>
    <row r="3466" spans="1:2" x14ac:dyDescent="0.25">
      <c r="A3466"/>
      <c r="B3466"/>
    </row>
    <row r="3467" spans="1:2" x14ac:dyDescent="0.25">
      <c r="A3467"/>
      <c r="B3467"/>
    </row>
    <row r="3468" spans="1:2" x14ac:dyDescent="0.25">
      <c r="A3468"/>
      <c r="B3468"/>
    </row>
    <row r="3469" spans="1:2" x14ac:dyDescent="0.25">
      <c r="A3469"/>
      <c r="B3469"/>
    </row>
    <row r="3470" spans="1:2" x14ac:dyDescent="0.25">
      <c r="A3470"/>
      <c r="B3470"/>
    </row>
    <row r="3471" spans="1:2" x14ac:dyDescent="0.25">
      <c r="A3471"/>
      <c r="B3471"/>
    </row>
    <row r="3472" spans="1:2" x14ac:dyDescent="0.25">
      <c r="A3472"/>
      <c r="B3472"/>
    </row>
    <row r="3473" spans="1:2" x14ac:dyDescent="0.25">
      <c r="A3473"/>
      <c r="B3473"/>
    </row>
    <row r="3474" spans="1:2" x14ac:dyDescent="0.25">
      <c r="A3474"/>
      <c r="B3474"/>
    </row>
    <row r="3475" spans="1:2" x14ac:dyDescent="0.25">
      <c r="A3475"/>
      <c r="B3475"/>
    </row>
    <row r="3476" spans="1:2" x14ac:dyDescent="0.25">
      <c r="A3476"/>
      <c r="B3476"/>
    </row>
    <row r="3477" spans="1:2" x14ac:dyDescent="0.25">
      <c r="A3477"/>
      <c r="B3477"/>
    </row>
    <row r="3478" spans="1:2" x14ac:dyDescent="0.25">
      <c r="A3478"/>
      <c r="B3478"/>
    </row>
    <row r="3479" spans="1:2" x14ac:dyDescent="0.25">
      <c r="A3479"/>
      <c r="B3479"/>
    </row>
    <row r="3480" spans="1:2" x14ac:dyDescent="0.25">
      <c r="A3480"/>
      <c r="B3480"/>
    </row>
    <row r="3481" spans="1:2" x14ac:dyDescent="0.25">
      <c r="A3481"/>
      <c r="B3481"/>
    </row>
    <row r="3482" spans="1:2" x14ac:dyDescent="0.25">
      <c r="A3482"/>
      <c r="B3482"/>
    </row>
    <row r="3483" spans="1:2" x14ac:dyDescent="0.25">
      <c r="A3483"/>
      <c r="B3483"/>
    </row>
    <row r="3484" spans="1:2" x14ac:dyDescent="0.25">
      <c r="A3484"/>
      <c r="B3484"/>
    </row>
    <row r="3485" spans="1:2" x14ac:dyDescent="0.25">
      <c r="A3485"/>
      <c r="B3485"/>
    </row>
    <row r="3486" spans="1:2" x14ac:dyDescent="0.25">
      <c r="A3486"/>
      <c r="B3486"/>
    </row>
    <row r="3487" spans="1:2" x14ac:dyDescent="0.25">
      <c r="A3487"/>
      <c r="B3487"/>
    </row>
    <row r="3488" spans="1:2" x14ac:dyDescent="0.25">
      <c r="A3488"/>
      <c r="B3488"/>
    </row>
    <row r="3489" spans="1:2" x14ac:dyDescent="0.25">
      <c r="A3489"/>
      <c r="B3489"/>
    </row>
    <row r="3490" spans="1:2" x14ac:dyDescent="0.25">
      <c r="A3490"/>
      <c r="B3490"/>
    </row>
    <row r="3491" spans="1:2" x14ac:dyDescent="0.25">
      <c r="A3491"/>
      <c r="B3491"/>
    </row>
    <row r="3492" spans="1:2" x14ac:dyDescent="0.25">
      <c r="A3492"/>
      <c r="B3492"/>
    </row>
    <row r="3493" spans="1:2" x14ac:dyDescent="0.25">
      <c r="A3493"/>
      <c r="B3493"/>
    </row>
    <row r="3494" spans="1:2" x14ac:dyDescent="0.25">
      <c r="A3494"/>
      <c r="B3494"/>
    </row>
    <row r="3495" spans="1:2" x14ac:dyDescent="0.25">
      <c r="A3495"/>
      <c r="B3495"/>
    </row>
    <row r="3496" spans="1:2" x14ac:dyDescent="0.25">
      <c r="A3496"/>
      <c r="B3496"/>
    </row>
    <row r="3497" spans="1:2" x14ac:dyDescent="0.25">
      <c r="A3497"/>
      <c r="B3497"/>
    </row>
    <row r="3498" spans="1:2" x14ac:dyDescent="0.25">
      <c r="A3498"/>
      <c r="B3498"/>
    </row>
    <row r="3499" spans="1:2" x14ac:dyDescent="0.25">
      <c r="A3499"/>
      <c r="B3499"/>
    </row>
    <row r="3500" spans="1:2" x14ac:dyDescent="0.25">
      <c r="A3500"/>
      <c r="B3500"/>
    </row>
    <row r="3501" spans="1:2" x14ac:dyDescent="0.25">
      <c r="A3501"/>
      <c r="B3501"/>
    </row>
    <row r="3502" spans="1:2" x14ac:dyDescent="0.25">
      <c r="A3502"/>
      <c r="B3502"/>
    </row>
    <row r="3503" spans="1:2" x14ac:dyDescent="0.25">
      <c r="A3503"/>
      <c r="B3503"/>
    </row>
    <row r="3504" spans="1:2" x14ac:dyDescent="0.25">
      <c r="A3504"/>
      <c r="B3504"/>
    </row>
    <row r="3505" spans="1:2" x14ac:dyDescent="0.25">
      <c r="A3505"/>
      <c r="B3505"/>
    </row>
    <row r="3506" spans="1:2" x14ac:dyDescent="0.25">
      <c r="A3506"/>
      <c r="B3506"/>
    </row>
    <row r="3507" spans="1:2" x14ac:dyDescent="0.25">
      <c r="A3507"/>
      <c r="B3507"/>
    </row>
    <row r="3508" spans="1:2" x14ac:dyDescent="0.25">
      <c r="A3508"/>
      <c r="B3508"/>
    </row>
    <row r="3509" spans="1:2" x14ac:dyDescent="0.25">
      <c r="A3509"/>
      <c r="B3509"/>
    </row>
    <row r="3510" spans="1:2" x14ac:dyDescent="0.25">
      <c r="A3510"/>
      <c r="B3510"/>
    </row>
    <row r="3511" spans="1:2" x14ac:dyDescent="0.25">
      <c r="A3511"/>
      <c r="B3511"/>
    </row>
    <row r="3512" spans="1:2" x14ac:dyDescent="0.25">
      <c r="A3512"/>
      <c r="B3512"/>
    </row>
    <row r="3513" spans="1:2" x14ac:dyDescent="0.25">
      <c r="A3513"/>
      <c r="B3513"/>
    </row>
    <row r="3514" spans="1:2" x14ac:dyDescent="0.25">
      <c r="A3514"/>
      <c r="B3514"/>
    </row>
    <row r="3515" spans="1:2" x14ac:dyDescent="0.25">
      <c r="A3515"/>
      <c r="B3515"/>
    </row>
    <row r="3516" spans="1:2" x14ac:dyDescent="0.25">
      <c r="A3516"/>
      <c r="B3516"/>
    </row>
    <row r="3517" spans="1:2" x14ac:dyDescent="0.25">
      <c r="A3517"/>
      <c r="B3517"/>
    </row>
    <row r="3518" spans="1:2" x14ac:dyDescent="0.25">
      <c r="A3518"/>
      <c r="B3518"/>
    </row>
    <row r="3519" spans="1:2" x14ac:dyDescent="0.25">
      <c r="A3519"/>
      <c r="B3519"/>
    </row>
    <row r="3520" spans="1:2" x14ac:dyDescent="0.25">
      <c r="A3520"/>
      <c r="B3520"/>
    </row>
    <row r="3521" spans="1:2" x14ac:dyDescent="0.25">
      <c r="A3521"/>
      <c r="B3521"/>
    </row>
    <row r="3522" spans="1:2" x14ac:dyDescent="0.25">
      <c r="A3522"/>
      <c r="B3522"/>
    </row>
    <row r="3523" spans="1:2" x14ac:dyDescent="0.25">
      <c r="A3523"/>
      <c r="B3523"/>
    </row>
    <row r="3524" spans="1:2" x14ac:dyDescent="0.25">
      <c r="A3524"/>
      <c r="B3524"/>
    </row>
    <row r="3525" spans="1:2" x14ac:dyDescent="0.25">
      <c r="A3525"/>
      <c r="B3525"/>
    </row>
    <row r="3526" spans="1:2" x14ac:dyDescent="0.25">
      <c r="A3526"/>
      <c r="B3526"/>
    </row>
    <row r="3527" spans="1:2" x14ac:dyDescent="0.25">
      <c r="A3527"/>
      <c r="B3527"/>
    </row>
    <row r="3528" spans="1:2" x14ac:dyDescent="0.25">
      <c r="A3528"/>
      <c r="B3528"/>
    </row>
    <row r="3529" spans="1:2" x14ac:dyDescent="0.25">
      <c r="A3529"/>
      <c r="B3529"/>
    </row>
    <row r="3530" spans="1:2" x14ac:dyDescent="0.25">
      <c r="A3530"/>
      <c r="B3530"/>
    </row>
    <row r="3531" spans="1:2" x14ac:dyDescent="0.25">
      <c r="A3531"/>
      <c r="B3531"/>
    </row>
    <row r="3532" spans="1:2" x14ac:dyDescent="0.25">
      <c r="A3532"/>
      <c r="B3532"/>
    </row>
    <row r="3533" spans="1:2" x14ac:dyDescent="0.25">
      <c r="A3533"/>
      <c r="B3533"/>
    </row>
    <row r="3534" spans="1:2" x14ac:dyDescent="0.25">
      <c r="A3534"/>
      <c r="B3534"/>
    </row>
    <row r="3535" spans="1:2" x14ac:dyDescent="0.25">
      <c r="A3535"/>
      <c r="B3535"/>
    </row>
    <row r="3536" spans="1:2" x14ac:dyDescent="0.25">
      <c r="A3536"/>
      <c r="B3536"/>
    </row>
    <row r="3537" spans="1:2" x14ac:dyDescent="0.25">
      <c r="A3537"/>
      <c r="B3537"/>
    </row>
    <row r="3538" spans="1:2" x14ac:dyDescent="0.25">
      <c r="A3538"/>
      <c r="B3538"/>
    </row>
    <row r="3539" spans="1:2" x14ac:dyDescent="0.25">
      <c r="A3539"/>
      <c r="B3539"/>
    </row>
    <row r="3540" spans="1:2" x14ac:dyDescent="0.25">
      <c r="A3540"/>
      <c r="B3540"/>
    </row>
    <row r="3541" spans="1:2" x14ac:dyDescent="0.25">
      <c r="A3541"/>
      <c r="B3541"/>
    </row>
    <row r="3542" spans="1:2" x14ac:dyDescent="0.25">
      <c r="A3542"/>
      <c r="B3542"/>
    </row>
    <row r="3543" spans="1:2" x14ac:dyDescent="0.25">
      <c r="A3543"/>
      <c r="B3543"/>
    </row>
    <row r="3544" spans="1:2" x14ac:dyDescent="0.25">
      <c r="A3544"/>
      <c r="B3544"/>
    </row>
    <row r="3545" spans="1:2" x14ac:dyDescent="0.25">
      <c r="A3545"/>
      <c r="B3545"/>
    </row>
    <row r="3546" spans="1:2" x14ac:dyDescent="0.25">
      <c r="A3546"/>
      <c r="B3546"/>
    </row>
    <row r="3547" spans="1:2" x14ac:dyDescent="0.25">
      <c r="A3547"/>
      <c r="B3547"/>
    </row>
    <row r="3548" spans="1:2" x14ac:dyDescent="0.25">
      <c r="A3548"/>
      <c r="B3548"/>
    </row>
    <row r="3549" spans="1:2" x14ac:dyDescent="0.25">
      <c r="A3549"/>
      <c r="B3549"/>
    </row>
    <row r="3550" spans="1:2" x14ac:dyDescent="0.25">
      <c r="A3550"/>
      <c r="B3550"/>
    </row>
    <row r="3551" spans="1:2" x14ac:dyDescent="0.25">
      <c r="A3551"/>
      <c r="B3551"/>
    </row>
    <row r="3552" spans="1:2" x14ac:dyDescent="0.25">
      <c r="A3552"/>
      <c r="B3552"/>
    </row>
    <row r="3553" spans="1:2" x14ac:dyDescent="0.25">
      <c r="A3553"/>
      <c r="B3553"/>
    </row>
    <row r="3554" spans="1:2" x14ac:dyDescent="0.25">
      <c r="A3554"/>
      <c r="B3554"/>
    </row>
    <row r="3555" spans="1:2" x14ac:dyDescent="0.25">
      <c r="A3555"/>
      <c r="B3555"/>
    </row>
    <row r="3556" spans="1:2" x14ac:dyDescent="0.25">
      <c r="A3556"/>
      <c r="B3556"/>
    </row>
    <row r="3557" spans="1:2" x14ac:dyDescent="0.25">
      <c r="A3557"/>
      <c r="B3557"/>
    </row>
    <row r="3558" spans="1:2" x14ac:dyDescent="0.25">
      <c r="A3558"/>
      <c r="B3558"/>
    </row>
    <row r="3559" spans="1:2" x14ac:dyDescent="0.25">
      <c r="A3559"/>
      <c r="B3559"/>
    </row>
    <row r="3560" spans="1:2" x14ac:dyDescent="0.25">
      <c r="A3560"/>
      <c r="B3560"/>
    </row>
    <row r="3561" spans="1:2" x14ac:dyDescent="0.25">
      <c r="A3561"/>
      <c r="B3561"/>
    </row>
    <row r="3562" spans="1:2" x14ac:dyDescent="0.25">
      <c r="A3562"/>
      <c r="B3562"/>
    </row>
    <row r="3563" spans="1:2" x14ac:dyDescent="0.25">
      <c r="A3563"/>
      <c r="B3563"/>
    </row>
    <row r="3564" spans="1:2" x14ac:dyDescent="0.25">
      <c r="A3564"/>
      <c r="B3564"/>
    </row>
    <row r="3565" spans="1:2" x14ac:dyDescent="0.25">
      <c r="A3565"/>
      <c r="B3565"/>
    </row>
    <row r="3566" spans="1:2" x14ac:dyDescent="0.25">
      <c r="A3566"/>
      <c r="B3566"/>
    </row>
    <row r="3567" spans="1:2" x14ac:dyDescent="0.25">
      <c r="A3567"/>
      <c r="B3567"/>
    </row>
    <row r="3568" spans="1:2" x14ac:dyDescent="0.25">
      <c r="A3568"/>
      <c r="B3568"/>
    </row>
    <row r="3569" spans="1:2" x14ac:dyDescent="0.25">
      <c r="A3569"/>
      <c r="B3569"/>
    </row>
    <row r="3570" spans="1:2" x14ac:dyDescent="0.25">
      <c r="A3570"/>
      <c r="B3570"/>
    </row>
    <row r="3571" spans="1:2" x14ac:dyDescent="0.25">
      <c r="A3571"/>
      <c r="B3571"/>
    </row>
    <row r="3572" spans="1:2" x14ac:dyDescent="0.25">
      <c r="A3572"/>
      <c r="B3572"/>
    </row>
    <row r="3573" spans="1:2" x14ac:dyDescent="0.25">
      <c r="A3573"/>
      <c r="B3573"/>
    </row>
    <row r="3574" spans="1:2" x14ac:dyDescent="0.25">
      <c r="A3574"/>
      <c r="B3574"/>
    </row>
    <row r="3575" spans="1:2" x14ac:dyDescent="0.25">
      <c r="A3575"/>
      <c r="B3575"/>
    </row>
    <row r="3576" spans="1:2" x14ac:dyDescent="0.25">
      <c r="A3576"/>
      <c r="B3576"/>
    </row>
    <row r="3577" spans="1:2" x14ac:dyDescent="0.25">
      <c r="A3577"/>
      <c r="B3577"/>
    </row>
    <row r="3578" spans="1:2" x14ac:dyDescent="0.25">
      <c r="A3578"/>
      <c r="B3578"/>
    </row>
    <row r="3579" spans="1:2" x14ac:dyDescent="0.25">
      <c r="A3579"/>
      <c r="B3579"/>
    </row>
    <row r="3580" spans="1:2" x14ac:dyDescent="0.25">
      <c r="A3580"/>
      <c r="B3580"/>
    </row>
    <row r="3581" spans="1:2" x14ac:dyDescent="0.25">
      <c r="A3581"/>
      <c r="B3581"/>
    </row>
    <row r="3582" spans="1:2" x14ac:dyDescent="0.25">
      <c r="A3582"/>
      <c r="B3582"/>
    </row>
    <row r="3583" spans="1:2" x14ac:dyDescent="0.25">
      <c r="A3583"/>
      <c r="B3583"/>
    </row>
    <row r="3584" spans="1:2" x14ac:dyDescent="0.25">
      <c r="A3584"/>
      <c r="B3584"/>
    </row>
    <row r="3585" spans="1:2" x14ac:dyDescent="0.25">
      <c r="A3585"/>
      <c r="B3585"/>
    </row>
    <row r="3586" spans="1:2" x14ac:dyDescent="0.25">
      <c r="A3586"/>
      <c r="B3586"/>
    </row>
    <row r="3587" spans="1:2" x14ac:dyDescent="0.25">
      <c r="A3587"/>
      <c r="B3587"/>
    </row>
    <row r="3588" spans="1:2" x14ac:dyDescent="0.25">
      <c r="A3588"/>
      <c r="B3588"/>
    </row>
    <row r="3589" spans="1:2" x14ac:dyDescent="0.25">
      <c r="A3589"/>
      <c r="B3589"/>
    </row>
    <row r="3590" spans="1:2" x14ac:dyDescent="0.25">
      <c r="A3590"/>
      <c r="B3590"/>
    </row>
    <row r="3591" spans="1:2" x14ac:dyDescent="0.25">
      <c r="A3591"/>
      <c r="B3591"/>
    </row>
    <row r="3592" spans="1:2" x14ac:dyDescent="0.25">
      <c r="A3592"/>
      <c r="B3592"/>
    </row>
    <row r="3593" spans="1:2" x14ac:dyDescent="0.25">
      <c r="A3593"/>
      <c r="B3593"/>
    </row>
    <row r="3594" spans="1:2" x14ac:dyDescent="0.25">
      <c r="A3594"/>
      <c r="B3594"/>
    </row>
    <row r="3595" spans="1:2" x14ac:dyDescent="0.25">
      <c r="A3595"/>
      <c r="B3595"/>
    </row>
    <row r="3596" spans="1:2" x14ac:dyDescent="0.25">
      <c r="A3596"/>
      <c r="B3596"/>
    </row>
    <row r="3597" spans="1:2" x14ac:dyDescent="0.25">
      <c r="A3597"/>
      <c r="B3597"/>
    </row>
    <row r="3598" spans="1:2" x14ac:dyDescent="0.25">
      <c r="A3598"/>
      <c r="B3598"/>
    </row>
    <row r="3599" spans="1:2" x14ac:dyDescent="0.25">
      <c r="A3599"/>
      <c r="B3599"/>
    </row>
    <row r="3600" spans="1:2" x14ac:dyDescent="0.25">
      <c r="A3600"/>
      <c r="B3600"/>
    </row>
    <row r="3601" spans="1:2" x14ac:dyDescent="0.25">
      <c r="A3601"/>
      <c r="B3601"/>
    </row>
    <row r="3602" spans="1:2" x14ac:dyDescent="0.25">
      <c r="A3602"/>
      <c r="B3602"/>
    </row>
    <row r="3603" spans="1:2" x14ac:dyDescent="0.25">
      <c r="A3603"/>
      <c r="B3603"/>
    </row>
    <row r="3604" spans="1:2" x14ac:dyDescent="0.25">
      <c r="A3604"/>
      <c r="B3604"/>
    </row>
    <row r="3605" spans="1:2" x14ac:dyDescent="0.25">
      <c r="A3605"/>
      <c r="B3605"/>
    </row>
    <row r="3606" spans="1:2" x14ac:dyDescent="0.25">
      <c r="A3606"/>
      <c r="B3606"/>
    </row>
    <row r="3607" spans="1:2" x14ac:dyDescent="0.25">
      <c r="A3607"/>
      <c r="B3607"/>
    </row>
    <row r="3608" spans="1:2" x14ac:dyDescent="0.25">
      <c r="A3608"/>
      <c r="B3608"/>
    </row>
    <row r="3609" spans="1:2" x14ac:dyDescent="0.25">
      <c r="A3609"/>
      <c r="B3609"/>
    </row>
    <row r="3610" spans="1:2" x14ac:dyDescent="0.25">
      <c r="A3610"/>
      <c r="B3610"/>
    </row>
    <row r="3611" spans="1:2" x14ac:dyDescent="0.25">
      <c r="A3611"/>
      <c r="B3611"/>
    </row>
    <row r="3612" spans="1:2" x14ac:dyDescent="0.25">
      <c r="A3612"/>
      <c r="B3612"/>
    </row>
    <row r="3613" spans="1:2" x14ac:dyDescent="0.25">
      <c r="A3613"/>
      <c r="B3613"/>
    </row>
    <row r="3614" spans="1:2" x14ac:dyDescent="0.25">
      <c r="A3614"/>
      <c r="B3614"/>
    </row>
    <row r="3615" spans="1:2" x14ac:dyDescent="0.25">
      <c r="A3615"/>
      <c r="B3615"/>
    </row>
    <row r="3616" spans="1:2" x14ac:dyDescent="0.25">
      <c r="A3616"/>
      <c r="B3616"/>
    </row>
    <row r="3617" spans="1:2" x14ac:dyDescent="0.25">
      <c r="A3617"/>
      <c r="B3617"/>
    </row>
    <row r="3618" spans="1:2" x14ac:dyDescent="0.25">
      <c r="A3618"/>
      <c r="B3618"/>
    </row>
    <row r="3619" spans="1:2" x14ac:dyDescent="0.25">
      <c r="A3619"/>
      <c r="B3619"/>
    </row>
    <row r="3620" spans="1:2" x14ac:dyDescent="0.25">
      <c r="A3620"/>
      <c r="B3620"/>
    </row>
    <row r="3621" spans="1:2" x14ac:dyDescent="0.25">
      <c r="A3621"/>
      <c r="B3621"/>
    </row>
    <row r="3622" spans="1:2" x14ac:dyDescent="0.25">
      <c r="A3622"/>
      <c r="B3622"/>
    </row>
    <row r="3623" spans="1:2" x14ac:dyDescent="0.25">
      <c r="A3623"/>
      <c r="B3623"/>
    </row>
    <row r="3624" spans="1:2" x14ac:dyDescent="0.25">
      <c r="A3624"/>
      <c r="B3624"/>
    </row>
    <row r="3625" spans="1:2" x14ac:dyDescent="0.25">
      <c r="A3625"/>
      <c r="B3625"/>
    </row>
    <row r="3626" spans="1:2" x14ac:dyDescent="0.25">
      <c r="A3626"/>
      <c r="B3626"/>
    </row>
    <row r="3627" spans="1:2" x14ac:dyDescent="0.25">
      <c r="A3627"/>
      <c r="B3627"/>
    </row>
    <row r="3628" spans="1:2" x14ac:dyDescent="0.25">
      <c r="A3628"/>
      <c r="B3628"/>
    </row>
    <row r="3629" spans="1:2" x14ac:dyDescent="0.25">
      <c r="A3629"/>
      <c r="B3629"/>
    </row>
    <row r="3630" spans="1:2" x14ac:dyDescent="0.25">
      <c r="A3630"/>
      <c r="B3630"/>
    </row>
    <row r="3631" spans="1:2" x14ac:dyDescent="0.25">
      <c r="A3631"/>
      <c r="B3631"/>
    </row>
    <row r="3632" spans="1:2" x14ac:dyDescent="0.25">
      <c r="A3632"/>
      <c r="B3632"/>
    </row>
    <row r="3633" spans="1:2" x14ac:dyDescent="0.25">
      <c r="A3633"/>
      <c r="B3633"/>
    </row>
    <row r="3634" spans="1:2" x14ac:dyDescent="0.25">
      <c r="A3634"/>
      <c r="B3634"/>
    </row>
    <row r="3635" spans="1:2" x14ac:dyDescent="0.25">
      <c r="A3635"/>
      <c r="B3635"/>
    </row>
    <row r="3636" spans="1:2" x14ac:dyDescent="0.25">
      <c r="A3636"/>
      <c r="B3636"/>
    </row>
    <row r="3637" spans="1:2" x14ac:dyDescent="0.25">
      <c r="A3637"/>
      <c r="B3637"/>
    </row>
    <row r="3638" spans="1:2" x14ac:dyDescent="0.25">
      <c r="A3638"/>
      <c r="B3638"/>
    </row>
    <row r="3639" spans="1:2" x14ac:dyDescent="0.25">
      <c r="A3639"/>
      <c r="B3639"/>
    </row>
    <row r="3640" spans="1:2" x14ac:dyDescent="0.25">
      <c r="A3640"/>
      <c r="B3640"/>
    </row>
    <row r="3641" spans="1:2" x14ac:dyDescent="0.25">
      <c r="A3641"/>
      <c r="B3641"/>
    </row>
    <row r="3642" spans="1:2" x14ac:dyDescent="0.25">
      <c r="A3642"/>
      <c r="B3642"/>
    </row>
    <row r="3643" spans="1:2" x14ac:dyDescent="0.25">
      <c r="A3643"/>
      <c r="B3643"/>
    </row>
    <row r="3644" spans="1:2" x14ac:dyDescent="0.25">
      <c r="A3644"/>
      <c r="B3644"/>
    </row>
    <row r="3645" spans="1:2" x14ac:dyDescent="0.25">
      <c r="A3645"/>
      <c r="B3645"/>
    </row>
    <row r="3646" spans="1:2" x14ac:dyDescent="0.25">
      <c r="A3646"/>
      <c r="B3646"/>
    </row>
    <row r="3647" spans="1:2" x14ac:dyDescent="0.25">
      <c r="A3647"/>
      <c r="B3647"/>
    </row>
    <row r="3648" spans="1:2" x14ac:dyDescent="0.25">
      <c r="A3648"/>
      <c r="B3648"/>
    </row>
    <row r="3649" spans="1:2" x14ac:dyDescent="0.25">
      <c r="A3649"/>
      <c r="B3649"/>
    </row>
    <row r="3650" spans="1:2" x14ac:dyDescent="0.25">
      <c r="A3650"/>
      <c r="B3650"/>
    </row>
    <row r="3651" spans="1:2" x14ac:dyDescent="0.25">
      <c r="A3651"/>
      <c r="B3651"/>
    </row>
    <row r="3652" spans="1:2" x14ac:dyDescent="0.25">
      <c r="A3652"/>
      <c r="B3652"/>
    </row>
    <row r="3653" spans="1:2" x14ac:dyDescent="0.25">
      <c r="A3653"/>
      <c r="B3653"/>
    </row>
    <row r="3654" spans="1:2" x14ac:dyDescent="0.25">
      <c r="A3654"/>
      <c r="B3654"/>
    </row>
    <row r="3655" spans="1:2" x14ac:dyDescent="0.25">
      <c r="A3655"/>
      <c r="B3655"/>
    </row>
    <row r="3656" spans="1:2" x14ac:dyDescent="0.25">
      <c r="A3656"/>
      <c r="B3656"/>
    </row>
    <row r="3657" spans="1:2" x14ac:dyDescent="0.25">
      <c r="A3657"/>
      <c r="B3657"/>
    </row>
    <row r="3658" spans="1:2" x14ac:dyDescent="0.25">
      <c r="A3658"/>
      <c r="B3658"/>
    </row>
    <row r="3659" spans="1:2" x14ac:dyDescent="0.25">
      <c r="A3659"/>
      <c r="B3659"/>
    </row>
    <row r="3660" spans="1:2" x14ac:dyDescent="0.25">
      <c r="A3660"/>
      <c r="B3660"/>
    </row>
    <row r="3661" spans="1:2" x14ac:dyDescent="0.25">
      <c r="A3661"/>
      <c r="B3661"/>
    </row>
    <row r="3662" spans="1:2" x14ac:dyDescent="0.25">
      <c r="A3662"/>
      <c r="B3662"/>
    </row>
    <row r="3663" spans="1:2" x14ac:dyDescent="0.25">
      <c r="A3663"/>
      <c r="B3663"/>
    </row>
    <row r="3664" spans="1:2" x14ac:dyDescent="0.25">
      <c r="A3664"/>
      <c r="B3664"/>
    </row>
    <row r="3665" spans="1:2" x14ac:dyDescent="0.25">
      <c r="A3665"/>
      <c r="B3665"/>
    </row>
    <row r="3666" spans="1:2" x14ac:dyDescent="0.25">
      <c r="A3666"/>
      <c r="B3666"/>
    </row>
    <row r="3667" spans="1:2" x14ac:dyDescent="0.25">
      <c r="A3667"/>
      <c r="B3667"/>
    </row>
    <row r="3668" spans="1:2" x14ac:dyDescent="0.25">
      <c r="A3668"/>
      <c r="B3668"/>
    </row>
    <row r="3669" spans="1:2" x14ac:dyDescent="0.25">
      <c r="A3669"/>
      <c r="B3669"/>
    </row>
    <row r="3670" spans="1:2" x14ac:dyDescent="0.25">
      <c r="A3670"/>
      <c r="B3670"/>
    </row>
    <row r="3671" spans="1:2" x14ac:dyDescent="0.25">
      <c r="A3671"/>
      <c r="B3671"/>
    </row>
    <row r="3672" spans="1:2" x14ac:dyDescent="0.25">
      <c r="A3672"/>
      <c r="B3672"/>
    </row>
    <row r="3673" spans="1:2" x14ac:dyDescent="0.25">
      <c r="A3673"/>
      <c r="B3673"/>
    </row>
    <row r="3674" spans="1:2" x14ac:dyDescent="0.25">
      <c r="A3674"/>
      <c r="B3674"/>
    </row>
    <row r="3675" spans="1:2" x14ac:dyDescent="0.25">
      <c r="A3675"/>
      <c r="B3675"/>
    </row>
    <row r="3676" spans="1:2" x14ac:dyDescent="0.25">
      <c r="A3676"/>
      <c r="B3676"/>
    </row>
    <row r="3677" spans="1:2" x14ac:dyDescent="0.25">
      <c r="A3677"/>
      <c r="B3677"/>
    </row>
    <row r="3678" spans="1:2" x14ac:dyDescent="0.25">
      <c r="A3678"/>
      <c r="B3678"/>
    </row>
    <row r="3679" spans="1:2" x14ac:dyDescent="0.25">
      <c r="A3679"/>
      <c r="B3679"/>
    </row>
    <row r="3680" spans="1:2" x14ac:dyDescent="0.25">
      <c r="A3680"/>
      <c r="B3680"/>
    </row>
    <row r="3681" spans="1:2" x14ac:dyDescent="0.25">
      <c r="A3681"/>
      <c r="B3681"/>
    </row>
    <row r="3682" spans="1:2" x14ac:dyDescent="0.25">
      <c r="A3682"/>
      <c r="B3682"/>
    </row>
    <row r="3683" spans="1:2" x14ac:dyDescent="0.25">
      <c r="A3683"/>
      <c r="B3683"/>
    </row>
    <row r="3684" spans="1:2" x14ac:dyDescent="0.25">
      <c r="A3684"/>
      <c r="B3684"/>
    </row>
    <row r="3685" spans="1:2" x14ac:dyDescent="0.25">
      <c r="A3685"/>
      <c r="B3685"/>
    </row>
    <row r="3686" spans="1:2" x14ac:dyDescent="0.25">
      <c r="A3686"/>
      <c r="B3686"/>
    </row>
    <row r="3687" spans="1:2" x14ac:dyDescent="0.25">
      <c r="A3687"/>
      <c r="B3687"/>
    </row>
    <row r="3688" spans="1:2" x14ac:dyDescent="0.25">
      <c r="A3688"/>
      <c r="B3688"/>
    </row>
    <row r="3689" spans="1:2" x14ac:dyDescent="0.25">
      <c r="A3689"/>
      <c r="B3689"/>
    </row>
    <row r="3690" spans="1:2" x14ac:dyDescent="0.25">
      <c r="A3690"/>
      <c r="B3690"/>
    </row>
    <row r="3691" spans="1:2" x14ac:dyDescent="0.25">
      <c r="A3691"/>
      <c r="B3691"/>
    </row>
    <row r="3692" spans="1:2" x14ac:dyDescent="0.25">
      <c r="A3692"/>
      <c r="B3692"/>
    </row>
    <row r="3693" spans="1:2" x14ac:dyDescent="0.25">
      <c r="A3693"/>
      <c r="B3693"/>
    </row>
    <row r="3694" spans="1:2" x14ac:dyDescent="0.25">
      <c r="A3694"/>
      <c r="B3694"/>
    </row>
    <row r="3695" spans="1:2" x14ac:dyDescent="0.25">
      <c r="A3695"/>
      <c r="B3695"/>
    </row>
    <row r="3696" spans="1:2" x14ac:dyDescent="0.25">
      <c r="A3696"/>
      <c r="B3696"/>
    </row>
    <row r="3697" spans="1:2" x14ac:dyDescent="0.25">
      <c r="A3697"/>
      <c r="B3697"/>
    </row>
    <row r="3698" spans="1:2" x14ac:dyDescent="0.25">
      <c r="A3698"/>
      <c r="B3698"/>
    </row>
    <row r="3699" spans="1:2" x14ac:dyDescent="0.25">
      <c r="A3699"/>
      <c r="B3699"/>
    </row>
    <row r="3700" spans="1:2" x14ac:dyDescent="0.25">
      <c r="A3700"/>
      <c r="B3700"/>
    </row>
    <row r="3701" spans="1:2" x14ac:dyDescent="0.25">
      <c r="A3701"/>
      <c r="B3701"/>
    </row>
    <row r="3702" spans="1:2" x14ac:dyDescent="0.25">
      <c r="A3702"/>
      <c r="B3702"/>
    </row>
    <row r="3703" spans="1:2" x14ac:dyDescent="0.25">
      <c r="A3703"/>
      <c r="B3703"/>
    </row>
    <row r="3704" spans="1:2" x14ac:dyDescent="0.25">
      <c r="A3704"/>
      <c r="B3704"/>
    </row>
    <row r="3705" spans="1:2" x14ac:dyDescent="0.25">
      <c r="A3705"/>
      <c r="B3705"/>
    </row>
    <row r="3706" spans="1:2" x14ac:dyDescent="0.25">
      <c r="A3706"/>
      <c r="B3706"/>
    </row>
    <row r="3707" spans="1:2" x14ac:dyDescent="0.25">
      <c r="A3707"/>
      <c r="B3707"/>
    </row>
    <row r="3708" spans="1:2" x14ac:dyDescent="0.25">
      <c r="A3708"/>
      <c r="B3708"/>
    </row>
    <row r="3709" spans="1:2" x14ac:dyDescent="0.25">
      <c r="A3709"/>
      <c r="B3709"/>
    </row>
    <row r="3710" spans="1:2" x14ac:dyDescent="0.25">
      <c r="A3710"/>
      <c r="B3710"/>
    </row>
    <row r="3711" spans="1:2" x14ac:dyDescent="0.25">
      <c r="A3711"/>
      <c r="B3711"/>
    </row>
    <row r="3712" spans="1:2" x14ac:dyDescent="0.25">
      <c r="A3712"/>
      <c r="B3712"/>
    </row>
    <row r="3713" spans="1:2" x14ac:dyDescent="0.25">
      <c r="A3713"/>
      <c r="B3713"/>
    </row>
    <row r="3714" spans="1:2" x14ac:dyDescent="0.25">
      <c r="A3714"/>
      <c r="B3714"/>
    </row>
    <row r="3715" spans="1:2" x14ac:dyDescent="0.25">
      <c r="A3715"/>
      <c r="B3715"/>
    </row>
    <row r="3716" spans="1:2" x14ac:dyDescent="0.25">
      <c r="A3716"/>
      <c r="B3716"/>
    </row>
    <row r="3717" spans="1:2" x14ac:dyDescent="0.25">
      <c r="A3717"/>
      <c r="B3717"/>
    </row>
    <row r="3718" spans="1:2" x14ac:dyDescent="0.25">
      <c r="A3718"/>
      <c r="B3718"/>
    </row>
    <row r="3719" spans="1:2" x14ac:dyDescent="0.25">
      <c r="A3719"/>
      <c r="B3719"/>
    </row>
    <row r="3720" spans="1:2" x14ac:dyDescent="0.25">
      <c r="A3720"/>
      <c r="B3720"/>
    </row>
    <row r="3721" spans="1:2" x14ac:dyDescent="0.25">
      <c r="A3721"/>
      <c r="B3721"/>
    </row>
    <row r="3722" spans="1:2" x14ac:dyDescent="0.25">
      <c r="A3722"/>
      <c r="B3722"/>
    </row>
    <row r="3723" spans="1:2" x14ac:dyDescent="0.25">
      <c r="A3723"/>
      <c r="B3723"/>
    </row>
    <row r="3724" spans="1:2" x14ac:dyDescent="0.25">
      <c r="A3724"/>
      <c r="B3724"/>
    </row>
    <row r="3725" spans="1:2" x14ac:dyDescent="0.25">
      <c r="A3725"/>
      <c r="B3725"/>
    </row>
    <row r="3726" spans="1:2" x14ac:dyDescent="0.25">
      <c r="A3726"/>
      <c r="B3726"/>
    </row>
    <row r="3727" spans="1:2" x14ac:dyDescent="0.25">
      <c r="A3727"/>
      <c r="B3727"/>
    </row>
    <row r="3728" spans="1:2" x14ac:dyDescent="0.25">
      <c r="A3728"/>
      <c r="B3728"/>
    </row>
    <row r="3729" spans="1:2" x14ac:dyDescent="0.25">
      <c r="A3729"/>
      <c r="B3729"/>
    </row>
    <row r="3730" spans="1:2" x14ac:dyDescent="0.25">
      <c r="A3730"/>
      <c r="B3730"/>
    </row>
    <row r="3731" spans="1:2" x14ac:dyDescent="0.25">
      <c r="A3731"/>
      <c r="B3731"/>
    </row>
    <row r="3732" spans="1:2" x14ac:dyDescent="0.25">
      <c r="A3732"/>
      <c r="B3732"/>
    </row>
    <row r="3733" spans="1:2" x14ac:dyDescent="0.25">
      <c r="A3733"/>
      <c r="B3733"/>
    </row>
    <row r="3734" spans="1:2" x14ac:dyDescent="0.25">
      <c r="A3734"/>
      <c r="B3734"/>
    </row>
    <row r="3735" spans="1:2" x14ac:dyDescent="0.25">
      <c r="A3735"/>
      <c r="B3735"/>
    </row>
    <row r="3736" spans="1:2" x14ac:dyDescent="0.25">
      <c r="A3736"/>
      <c r="B3736"/>
    </row>
    <row r="3737" spans="1:2" x14ac:dyDescent="0.25">
      <c r="A3737"/>
      <c r="B3737"/>
    </row>
    <row r="3738" spans="1:2" x14ac:dyDescent="0.25">
      <c r="A3738"/>
      <c r="B3738"/>
    </row>
    <row r="3739" spans="1:2" x14ac:dyDescent="0.25">
      <c r="A3739"/>
      <c r="B3739"/>
    </row>
    <row r="3740" spans="1:2" x14ac:dyDescent="0.25">
      <c r="A3740"/>
      <c r="B3740"/>
    </row>
    <row r="3741" spans="1:2" x14ac:dyDescent="0.25">
      <c r="A3741"/>
      <c r="B3741"/>
    </row>
    <row r="3742" spans="1:2" x14ac:dyDescent="0.25">
      <c r="A3742"/>
      <c r="B3742"/>
    </row>
    <row r="3743" spans="1:2" x14ac:dyDescent="0.25">
      <c r="A3743"/>
      <c r="B3743"/>
    </row>
    <row r="3744" spans="1:2" x14ac:dyDescent="0.25">
      <c r="A3744"/>
      <c r="B3744"/>
    </row>
    <row r="3745" spans="1:2" x14ac:dyDescent="0.25">
      <c r="A3745"/>
      <c r="B3745"/>
    </row>
    <row r="3746" spans="1:2" x14ac:dyDescent="0.25">
      <c r="A3746"/>
      <c r="B3746"/>
    </row>
    <row r="3747" spans="1:2" x14ac:dyDescent="0.25">
      <c r="A3747"/>
      <c r="B3747"/>
    </row>
    <row r="3748" spans="1:2" x14ac:dyDescent="0.25">
      <c r="A3748"/>
      <c r="B3748"/>
    </row>
    <row r="3749" spans="1:2" x14ac:dyDescent="0.25">
      <c r="A3749"/>
      <c r="B3749"/>
    </row>
    <row r="3750" spans="1:2" x14ac:dyDescent="0.25">
      <c r="A3750"/>
      <c r="B3750"/>
    </row>
    <row r="3751" spans="1:2" x14ac:dyDescent="0.25">
      <c r="A3751"/>
      <c r="B3751"/>
    </row>
    <row r="3752" spans="1:2" x14ac:dyDescent="0.25">
      <c r="A3752"/>
      <c r="B3752"/>
    </row>
    <row r="3753" spans="1:2" x14ac:dyDescent="0.25">
      <c r="A3753"/>
      <c r="B3753"/>
    </row>
    <row r="3754" spans="1:2" x14ac:dyDescent="0.25">
      <c r="A3754"/>
      <c r="B3754"/>
    </row>
    <row r="3755" spans="1:2" x14ac:dyDescent="0.25">
      <c r="A3755"/>
      <c r="B3755"/>
    </row>
    <row r="3756" spans="1:2" x14ac:dyDescent="0.25">
      <c r="A3756"/>
      <c r="B3756"/>
    </row>
    <row r="3757" spans="1:2" x14ac:dyDescent="0.25">
      <c r="A3757"/>
      <c r="B3757"/>
    </row>
    <row r="3758" spans="1:2" x14ac:dyDescent="0.25">
      <c r="A3758"/>
      <c r="B3758"/>
    </row>
    <row r="3759" spans="1:2" x14ac:dyDescent="0.25">
      <c r="A3759"/>
      <c r="B3759"/>
    </row>
    <row r="3760" spans="1:2" x14ac:dyDescent="0.25">
      <c r="A3760"/>
      <c r="B3760"/>
    </row>
    <row r="3761" spans="1:2" x14ac:dyDescent="0.25">
      <c r="A3761"/>
      <c r="B3761"/>
    </row>
    <row r="3762" spans="1:2" x14ac:dyDescent="0.25">
      <c r="A3762"/>
      <c r="B3762"/>
    </row>
    <row r="3763" spans="1:2" x14ac:dyDescent="0.25">
      <c r="A3763"/>
      <c r="B3763"/>
    </row>
    <row r="3764" spans="1:2" x14ac:dyDescent="0.25">
      <c r="A3764"/>
      <c r="B3764"/>
    </row>
    <row r="3765" spans="1:2" x14ac:dyDescent="0.25">
      <c r="A3765"/>
      <c r="B3765"/>
    </row>
    <row r="3766" spans="1:2" x14ac:dyDescent="0.25">
      <c r="A3766"/>
      <c r="B3766"/>
    </row>
    <row r="3767" spans="1:2" x14ac:dyDescent="0.25">
      <c r="A3767"/>
      <c r="B3767"/>
    </row>
    <row r="3768" spans="1:2" x14ac:dyDescent="0.25">
      <c r="A3768"/>
      <c r="B3768"/>
    </row>
    <row r="3769" spans="1:2" x14ac:dyDescent="0.25">
      <c r="A3769"/>
      <c r="B3769"/>
    </row>
    <row r="3770" spans="1:2" x14ac:dyDescent="0.25">
      <c r="A3770"/>
      <c r="B3770"/>
    </row>
    <row r="3771" spans="1:2" x14ac:dyDescent="0.25">
      <c r="A3771"/>
      <c r="B3771"/>
    </row>
    <row r="3772" spans="1:2" x14ac:dyDescent="0.25">
      <c r="A3772"/>
      <c r="B3772"/>
    </row>
    <row r="3773" spans="1:2" x14ac:dyDescent="0.25">
      <c r="A3773"/>
      <c r="B3773"/>
    </row>
    <row r="3774" spans="1:2" x14ac:dyDescent="0.25">
      <c r="A3774"/>
      <c r="B3774"/>
    </row>
    <row r="3775" spans="1:2" x14ac:dyDescent="0.25">
      <c r="A3775"/>
      <c r="B3775"/>
    </row>
    <row r="3776" spans="1:2" x14ac:dyDescent="0.25">
      <c r="A3776"/>
      <c r="B3776"/>
    </row>
    <row r="3777" spans="1:2" x14ac:dyDescent="0.25">
      <c r="A3777"/>
      <c r="B3777"/>
    </row>
    <row r="3778" spans="1:2" x14ac:dyDescent="0.25">
      <c r="A3778"/>
      <c r="B3778"/>
    </row>
    <row r="3779" spans="1:2" x14ac:dyDescent="0.25">
      <c r="A3779"/>
      <c r="B3779"/>
    </row>
    <row r="3780" spans="1:2" x14ac:dyDescent="0.25">
      <c r="A3780"/>
      <c r="B3780"/>
    </row>
    <row r="3781" spans="1:2" x14ac:dyDescent="0.25">
      <c r="A3781"/>
      <c r="B3781"/>
    </row>
    <row r="3782" spans="1:2" x14ac:dyDescent="0.25">
      <c r="A3782"/>
      <c r="B3782"/>
    </row>
    <row r="3783" spans="1:2" x14ac:dyDescent="0.25">
      <c r="A3783"/>
      <c r="B3783"/>
    </row>
    <row r="3784" spans="1:2" x14ac:dyDescent="0.25">
      <c r="A3784"/>
      <c r="B3784"/>
    </row>
    <row r="3785" spans="1:2" x14ac:dyDescent="0.25">
      <c r="A3785"/>
      <c r="B3785"/>
    </row>
    <row r="3786" spans="1:2" x14ac:dyDescent="0.25">
      <c r="A3786"/>
      <c r="B3786"/>
    </row>
    <row r="3787" spans="1:2" x14ac:dyDescent="0.25">
      <c r="A3787"/>
      <c r="B3787"/>
    </row>
    <row r="3788" spans="1:2" x14ac:dyDescent="0.25">
      <c r="A3788"/>
      <c r="B3788"/>
    </row>
    <row r="3789" spans="1:2" x14ac:dyDescent="0.25">
      <c r="A3789"/>
      <c r="B3789"/>
    </row>
    <row r="3790" spans="1:2" x14ac:dyDescent="0.25">
      <c r="A3790"/>
      <c r="B3790"/>
    </row>
    <row r="3791" spans="1:2" x14ac:dyDescent="0.25">
      <c r="A3791"/>
      <c r="B3791"/>
    </row>
    <row r="3792" spans="1:2" x14ac:dyDescent="0.25">
      <c r="A3792"/>
      <c r="B3792"/>
    </row>
    <row r="3793" spans="1:2" x14ac:dyDescent="0.25">
      <c r="A3793"/>
      <c r="B3793"/>
    </row>
    <row r="3794" spans="1:2" x14ac:dyDescent="0.25">
      <c r="A3794"/>
      <c r="B3794"/>
    </row>
    <row r="3795" spans="1:2" x14ac:dyDescent="0.25">
      <c r="A3795"/>
      <c r="B3795"/>
    </row>
    <row r="3796" spans="1:2" x14ac:dyDescent="0.25">
      <c r="A3796"/>
      <c r="B3796"/>
    </row>
    <row r="3797" spans="1:2" x14ac:dyDescent="0.25">
      <c r="A3797"/>
      <c r="B3797"/>
    </row>
    <row r="3798" spans="1:2" x14ac:dyDescent="0.25">
      <c r="A3798"/>
      <c r="B3798"/>
    </row>
    <row r="3799" spans="1:2" x14ac:dyDescent="0.25">
      <c r="A3799"/>
      <c r="B3799"/>
    </row>
    <row r="3800" spans="1:2" x14ac:dyDescent="0.25">
      <c r="A3800"/>
      <c r="B3800"/>
    </row>
    <row r="3801" spans="1:2" x14ac:dyDescent="0.25">
      <c r="A3801"/>
      <c r="B3801"/>
    </row>
    <row r="3802" spans="1:2" x14ac:dyDescent="0.25">
      <c r="A3802"/>
      <c r="B3802"/>
    </row>
    <row r="3803" spans="1:2" x14ac:dyDescent="0.25">
      <c r="A3803"/>
      <c r="B3803"/>
    </row>
    <row r="3804" spans="1:2" x14ac:dyDescent="0.25">
      <c r="A3804"/>
      <c r="B3804"/>
    </row>
    <row r="3805" spans="1:2" x14ac:dyDescent="0.25">
      <c r="A3805"/>
      <c r="B3805"/>
    </row>
    <row r="3806" spans="1:2" x14ac:dyDescent="0.25">
      <c r="A3806"/>
      <c r="B3806"/>
    </row>
    <row r="3807" spans="1:2" x14ac:dyDescent="0.25">
      <c r="A3807"/>
      <c r="B3807"/>
    </row>
    <row r="3808" spans="1:2" x14ac:dyDescent="0.25">
      <c r="A3808"/>
      <c r="B3808"/>
    </row>
    <row r="3809" spans="1:2" x14ac:dyDescent="0.25">
      <c r="A3809"/>
      <c r="B3809"/>
    </row>
    <row r="3810" spans="1:2" x14ac:dyDescent="0.25">
      <c r="A3810"/>
      <c r="B3810"/>
    </row>
    <row r="3811" spans="1:2" x14ac:dyDescent="0.25">
      <c r="A3811"/>
      <c r="B3811"/>
    </row>
    <row r="3812" spans="1:2" x14ac:dyDescent="0.25">
      <c r="A3812"/>
      <c r="B3812"/>
    </row>
    <row r="3813" spans="1:2" x14ac:dyDescent="0.25">
      <c r="A3813"/>
      <c r="B3813"/>
    </row>
    <row r="3814" spans="1:2" x14ac:dyDescent="0.25">
      <c r="A3814"/>
      <c r="B3814"/>
    </row>
    <row r="3815" spans="1:2" x14ac:dyDescent="0.25">
      <c r="A3815"/>
      <c r="B3815"/>
    </row>
    <row r="3816" spans="1:2" x14ac:dyDescent="0.25">
      <c r="A3816"/>
      <c r="B3816"/>
    </row>
    <row r="3817" spans="1:2" x14ac:dyDescent="0.25">
      <c r="A3817"/>
      <c r="B3817"/>
    </row>
    <row r="3818" spans="1:2" x14ac:dyDescent="0.25">
      <c r="A3818"/>
      <c r="B3818"/>
    </row>
    <row r="3819" spans="1:2" x14ac:dyDescent="0.25">
      <c r="A3819"/>
      <c r="B3819"/>
    </row>
    <row r="3820" spans="1:2" x14ac:dyDescent="0.25">
      <c r="A3820"/>
      <c r="B3820"/>
    </row>
    <row r="3821" spans="1:2" x14ac:dyDescent="0.25">
      <c r="A3821"/>
      <c r="B3821"/>
    </row>
    <row r="3822" spans="1:2" x14ac:dyDescent="0.25">
      <c r="A3822"/>
      <c r="B3822"/>
    </row>
    <row r="3823" spans="1:2" x14ac:dyDescent="0.25">
      <c r="A3823"/>
      <c r="B3823"/>
    </row>
    <row r="3824" spans="1:2" x14ac:dyDescent="0.25">
      <c r="A3824"/>
      <c r="B3824"/>
    </row>
    <row r="3825" spans="1:2" x14ac:dyDescent="0.25">
      <c r="A3825"/>
      <c r="B3825"/>
    </row>
    <row r="3826" spans="1:2" x14ac:dyDescent="0.25">
      <c r="A3826"/>
      <c r="B3826"/>
    </row>
    <row r="3827" spans="1:2" x14ac:dyDescent="0.25">
      <c r="A3827"/>
      <c r="B3827"/>
    </row>
    <row r="3828" spans="1:2" x14ac:dyDescent="0.25">
      <c r="A3828"/>
      <c r="B3828"/>
    </row>
    <row r="3829" spans="1:2" x14ac:dyDescent="0.25">
      <c r="A3829"/>
      <c r="B3829"/>
    </row>
    <row r="3830" spans="1:2" x14ac:dyDescent="0.25">
      <c r="A3830"/>
      <c r="B3830"/>
    </row>
    <row r="3831" spans="1:2" x14ac:dyDescent="0.25">
      <c r="A3831"/>
      <c r="B3831"/>
    </row>
    <row r="3832" spans="1:2" x14ac:dyDescent="0.25">
      <c r="A3832"/>
      <c r="B3832"/>
    </row>
    <row r="3833" spans="1:2" x14ac:dyDescent="0.25">
      <c r="A3833"/>
      <c r="B3833"/>
    </row>
    <row r="3834" spans="1:2" x14ac:dyDescent="0.25">
      <c r="A3834"/>
      <c r="B3834"/>
    </row>
    <row r="3835" spans="1:2" x14ac:dyDescent="0.25">
      <c r="A3835"/>
      <c r="B3835"/>
    </row>
    <row r="3836" spans="1:2" x14ac:dyDescent="0.25">
      <c r="A3836"/>
      <c r="B3836"/>
    </row>
    <row r="3837" spans="1:2" x14ac:dyDescent="0.25">
      <c r="A3837"/>
      <c r="B3837"/>
    </row>
    <row r="3838" spans="1:2" x14ac:dyDescent="0.25">
      <c r="A3838"/>
      <c r="B3838"/>
    </row>
    <row r="3839" spans="1:2" x14ac:dyDescent="0.25">
      <c r="A3839"/>
      <c r="B3839"/>
    </row>
    <row r="3840" spans="1:2" x14ac:dyDescent="0.25">
      <c r="A3840"/>
      <c r="B3840"/>
    </row>
    <row r="3841" spans="1:2" x14ac:dyDescent="0.25">
      <c r="A3841"/>
      <c r="B3841"/>
    </row>
    <row r="3842" spans="1:2" x14ac:dyDescent="0.25">
      <c r="A3842"/>
      <c r="B3842"/>
    </row>
    <row r="3843" spans="1:2" x14ac:dyDescent="0.25">
      <c r="A3843"/>
      <c r="B3843"/>
    </row>
    <row r="3844" spans="1:2" x14ac:dyDescent="0.25">
      <c r="A3844"/>
      <c r="B3844"/>
    </row>
    <row r="3845" spans="1:2" x14ac:dyDescent="0.25">
      <c r="A3845"/>
      <c r="B3845"/>
    </row>
    <row r="3846" spans="1:2" x14ac:dyDescent="0.25">
      <c r="A3846"/>
      <c r="B3846"/>
    </row>
    <row r="3847" spans="1:2" x14ac:dyDescent="0.25">
      <c r="A3847"/>
      <c r="B3847"/>
    </row>
    <row r="3848" spans="1:2" x14ac:dyDescent="0.25">
      <c r="A3848"/>
      <c r="B3848"/>
    </row>
    <row r="3849" spans="1:2" x14ac:dyDescent="0.25">
      <c r="A3849"/>
      <c r="B3849"/>
    </row>
    <row r="3850" spans="1:2" x14ac:dyDescent="0.25">
      <c r="A3850"/>
      <c r="B3850"/>
    </row>
    <row r="3851" spans="1:2" x14ac:dyDescent="0.25">
      <c r="A3851"/>
      <c r="B3851"/>
    </row>
    <row r="3852" spans="1:2" x14ac:dyDescent="0.25">
      <c r="A3852"/>
      <c r="B3852"/>
    </row>
    <row r="3853" spans="1:2" x14ac:dyDescent="0.25">
      <c r="A3853"/>
      <c r="B3853"/>
    </row>
    <row r="3854" spans="1:2" x14ac:dyDescent="0.25">
      <c r="A3854"/>
      <c r="B3854"/>
    </row>
    <row r="3855" spans="1:2" x14ac:dyDescent="0.25">
      <c r="A3855"/>
      <c r="B3855"/>
    </row>
    <row r="3856" spans="1:2" x14ac:dyDescent="0.25">
      <c r="A3856"/>
      <c r="B3856"/>
    </row>
    <row r="3857" spans="1:2" x14ac:dyDescent="0.25">
      <c r="A3857"/>
      <c r="B3857"/>
    </row>
    <row r="3858" spans="1:2" x14ac:dyDescent="0.25">
      <c r="A3858"/>
      <c r="B3858"/>
    </row>
    <row r="3859" spans="1:2" x14ac:dyDescent="0.25">
      <c r="A3859"/>
      <c r="B3859"/>
    </row>
    <row r="3860" spans="1:2" x14ac:dyDescent="0.25">
      <c r="A3860"/>
      <c r="B3860"/>
    </row>
    <row r="3861" spans="1:2" x14ac:dyDescent="0.25">
      <c r="A3861"/>
      <c r="B3861"/>
    </row>
    <row r="3862" spans="1:2" x14ac:dyDescent="0.25">
      <c r="A3862"/>
      <c r="B3862"/>
    </row>
    <row r="3863" spans="1:2" x14ac:dyDescent="0.25">
      <c r="A3863"/>
      <c r="B3863"/>
    </row>
    <row r="3864" spans="1:2" x14ac:dyDescent="0.25">
      <c r="A3864"/>
      <c r="B3864"/>
    </row>
    <row r="3865" spans="1:2" x14ac:dyDescent="0.25">
      <c r="A3865"/>
      <c r="B3865"/>
    </row>
    <row r="3866" spans="1:2" x14ac:dyDescent="0.25">
      <c r="A3866"/>
      <c r="B3866"/>
    </row>
    <row r="3867" spans="1:2" x14ac:dyDescent="0.25">
      <c r="A3867"/>
      <c r="B3867"/>
    </row>
    <row r="3868" spans="1:2" x14ac:dyDescent="0.25">
      <c r="A3868"/>
      <c r="B3868"/>
    </row>
    <row r="3869" spans="1:2" x14ac:dyDescent="0.25">
      <c r="A3869"/>
      <c r="B3869"/>
    </row>
    <row r="3870" spans="1:2" x14ac:dyDescent="0.25">
      <c r="A3870"/>
      <c r="B3870"/>
    </row>
    <row r="3871" spans="1:2" x14ac:dyDescent="0.25">
      <c r="A3871"/>
      <c r="B3871"/>
    </row>
    <row r="3872" spans="1:2" x14ac:dyDescent="0.25">
      <c r="A3872"/>
      <c r="B3872"/>
    </row>
    <row r="3873" spans="1:2" x14ac:dyDescent="0.25">
      <c r="A3873"/>
      <c r="B3873"/>
    </row>
    <row r="3874" spans="1:2" x14ac:dyDescent="0.25">
      <c r="A3874"/>
      <c r="B3874"/>
    </row>
    <row r="3875" spans="1:2" x14ac:dyDescent="0.25">
      <c r="A3875"/>
      <c r="B3875"/>
    </row>
    <row r="3876" spans="1:2" x14ac:dyDescent="0.25">
      <c r="A3876"/>
      <c r="B3876"/>
    </row>
    <row r="3877" spans="1:2" x14ac:dyDescent="0.25">
      <c r="A3877"/>
      <c r="B3877"/>
    </row>
    <row r="3878" spans="1:2" x14ac:dyDescent="0.25">
      <c r="A3878"/>
      <c r="B3878"/>
    </row>
    <row r="3879" spans="1:2" x14ac:dyDescent="0.25">
      <c r="A3879"/>
      <c r="B3879"/>
    </row>
    <row r="3880" spans="1:2" x14ac:dyDescent="0.25">
      <c r="A3880"/>
      <c r="B3880"/>
    </row>
    <row r="3881" spans="1:2" x14ac:dyDescent="0.25">
      <c r="A3881"/>
      <c r="B3881"/>
    </row>
    <row r="3882" spans="1:2" x14ac:dyDescent="0.25">
      <c r="A3882"/>
      <c r="B3882"/>
    </row>
    <row r="3883" spans="1:2" x14ac:dyDescent="0.25">
      <c r="A3883"/>
      <c r="B3883"/>
    </row>
    <row r="3884" spans="1:2" x14ac:dyDescent="0.25">
      <c r="A3884"/>
      <c r="B3884"/>
    </row>
    <row r="3885" spans="1:2" x14ac:dyDescent="0.25">
      <c r="A3885"/>
      <c r="B3885"/>
    </row>
    <row r="3886" spans="1:2" x14ac:dyDescent="0.25">
      <c r="A3886"/>
      <c r="B3886"/>
    </row>
    <row r="3887" spans="1:2" x14ac:dyDescent="0.25">
      <c r="A3887"/>
      <c r="B3887"/>
    </row>
    <row r="3888" spans="1:2" x14ac:dyDescent="0.25">
      <c r="A3888"/>
      <c r="B3888"/>
    </row>
    <row r="3889" spans="1:2" x14ac:dyDescent="0.25">
      <c r="A3889"/>
      <c r="B3889"/>
    </row>
    <row r="3890" spans="1:2" x14ac:dyDescent="0.25">
      <c r="A3890"/>
      <c r="B3890"/>
    </row>
    <row r="3891" spans="1:2" x14ac:dyDescent="0.25">
      <c r="A3891"/>
      <c r="B3891"/>
    </row>
    <row r="3892" spans="1:2" x14ac:dyDescent="0.25">
      <c r="A3892"/>
      <c r="B3892"/>
    </row>
    <row r="3893" spans="1:2" x14ac:dyDescent="0.25">
      <c r="A3893"/>
      <c r="B3893"/>
    </row>
    <row r="3894" spans="1:2" x14ac:dyDescent="0.25">
      <c r="A3894"/>
      <c r="B3894"/>
    </row>
    <row r="3895" spans="1:2" x14ac:dyDescent="0.25">
      <c r="A3895"/>
      <c r="B3895"/>
    </row>
    <row r="3896" spans="1:2" x14ac:dyDescent="0.25">
      <c r="A3896"/>
      <c r="B3896"/>
    </row>
    <row r="3897" spans="1:2" x14ac:dyDescent="0.25">
      <c r="A3897"/>
      <c r="B3897"/>
    </row>
    <row r="3898" spans="1:2" x14ac:dyDescent="0.25">
      <c r="A3898"/>
      <c r="B3898"/>
    </row>
    <row r="3899" spans="1:2" x14ac:dyDescent="0.25">
      <c r="A3899"/>
      <c r="B3899"/>
    </row>
    <row r="3900" spans="1:2" x14ac:dyDescent="0.25">
      <c r="A3900"/>
      <c r="B3900"/>
    </row>
    <row r="3901" spans="1:2" x14ac:dyDescent="0.25">
      <c r="A3901"/>
      <c r="B3901"/>
    </row>
    <row r="3902" spans="1:2" x14ac:dyDescent="0.25">
      <c r="A3902"/>
      <c r="B3902"/>
    </row>
    <row r="3903" spans="1:2" x14ac:dyDescent="0.25">
      <c r="A3903"/>
      <c r="B3903"/>
    </row>
    <row r="3904" spans="1:2" x14ac:dyDescent="0.25">
      <c r="A3904"/>
      <c r="B3904"/>
    </row>
    <row r="3905" spans="1:2" x14ac:dyDescent="0.25">
      <c r="A3905"/>
      <c r="B3905"/>
    </row>
    <row r="3906" spans="1:2" x14ac:dyDescent="0.25">
      <c r="A3906"/>
      <c r="B3906"/>
    </row>
    <row r="3907" spans="1:2" x14ac:dyDescent="0.25">
      <c r="A3907"/>
      <c r="B3907"/>
    </row>
    <row r="3908" spans="1:2" x14ac:dyDescent="0.25">
      <c r="A3908"/>
      <c r="B3908"/>
    </row>
    <row r="3909" spans="1:2" x14ac:dyDescent="0.25">
      <c r="A3909"/>
      <c r="B3909"/>
    </row>
    <row r="3910" spans="1:2" x14ac:dyDescent="0.25">
      <c r="A3910"/>
      <c r="B3910"/>
    </row>
    <row r="3911" spans="1:2" x14ac:dyDescent="0.25">
      <c r="A3911"/>
      <c r="B3911"/>
    </row>
    <row r="3912" spans="1:2" x14ac:dyDescent="0.25">
      <c r="A3912"/>
      <c r="B3912"/>
    </row>
    <row r="3913" spans="1:2" x14ac:dyDescent="0.25">
      <c r="A3913"/>
      <c r="B3913"/>
    </row>
    <row r="3914" spans="1:2" x14ac:dyDescent="0.25">
      <c r="A3914"/>
      <c r="B3914"/>
    </row>
    <row r="3915" spans="1:2" x14ac:dyDescent="0.25">
      <c r="A3915"/>
      <c r="B3915"/>
    </row>
    <row r="3916" spans="1:2" x14ac:dyDescent="0.25">
      <c r="A3916"/>
      <c r="B3916"/>
    </row>
    <row r="3917" spans="1:2" x14ac:dyDescent="0.25">
      <c r="A3917"/>
      <c r="B3917"/>
    </row>
    <row r="3918" spans="1:2" x14ac:dyDescent="0.25">
      <c r="A3918"/>
      <c r="B3918"/>
    </row>
    <row r="3919" spans="1:2" x14ac:dyDescent="0.25">
      <c r="A3919"/>
      <c r="B3919"/>
    </row>
    <row r="3920" spans="1:2" x14ac:dyDescent="0.25">
      <c r="A3920"/>
      <c r="B3920"/>
    </row>
    <row r="3921" spans="1:2" x14ac:dyDescent="0.25">
      <c r="A3921"/>
      <c r="B3921"/>
    </row>
    <row r="3922" spans="1:2" x14ac:dyDescent="0.25">
      <c r="A3922"/>
      <c r="B3922"/>
    </row>
    <row r="3923" spans="1:2" x14ac:dyDescent="0.25">
      <c r="A3923"/>
      <c r="B3923"/>
    </row>
    <row r="3924" spans="1:2" x14ac:dyDescent="0.25">
      <c r="A3924"/>
      <c r="B3924"/>
    </row>
    <row r="3925" spans="1:2" x14ac:dyDescent="0.25">
      <c r="A3925"/>
      <c r="B3925"/>
    </row>
    <row r="3926" spans="1:2" x14ac:dyDescent="0.25">
      <c r="A3926"/>
      <c r="B3926"/>
    </row>
    <row r="3927" spans="1:2" x14ac:dyDescent="0.25">
      <c r="A3927"/>
      <c r="B3927"/>
    </row>
    <row r="3928" spans="1:2" x14ac:dyDescent="0.25">
      <c r="A3928"/>
      <c r="B3928"/>
    </row>
    <row r="3929" spans="1:2" x14ac:dyDescent="0.25">
      <c r="A3929"/>
      <c r="B3929"/>
    </row>
    <row r="3930" spans="1:2" x14ac:dyDescent="0.25">
      <c r="A3930"/>
      <c r="B3930"/>
    </row>
    <row r="3931" spans="1:2" x14ac:dyDescent="0.25">
      <c r="A3931"/>
      <c r="B3931"/>
    </row>
    <row r="3932" spans="1:2" x14ac:dyDescent="0.25">
      <c r="A3932"/>
      <c r="B3932"/>
    </row>
    <row r="3933" spans="1:2" x14ac:dyDescent="0.25">
      <c r="A3933"/>
      <c r="B3933"/>
    </row>
    <row r="3934" spans="1:2" x14ac:dyDescent="0.25">
      <c r="A3934"/>
      <c r="B3934"/>
    </row>
    <row r="3935" spans="1:2" x14ac:dyDescent="0.25">
      <c r="A3935"/>
      <c r="B3935"/>
    </row>
    <row r="3936" spans="1:2" x14ac:dyDescent="0.25">
      <c r="A3936"/>
      <c r="B3936"/>
    </row>
    <row r="3937" spans="1:2" x14ac:dyDescent="0.25">
      <c r="A3937"/>
      <c r="B3937"/>
    </row>
    <row r="3938" spans="1:2" x14ac:dyDescent="0.25">
      <c r="A3938"/>
      <c r="B3938"/>
    </row>
    <row r="3939" spans="1:2" x14ac:dyDescent="0.25">
      <c r="A3939"/>
      <c r="B3939"/>
    </row>
    <row r="3940" spans="1:2" x14ac:dyDescent="0.25">
      <c r="A3940"/>
      <c r="B3940"/>
    </row>
    <row r="3941" spans="1:2" x14ac:dyDescent="0.25">
      <c r="A3941"/>
      <c r="B3941"/>
    </row>
    <row r="3942" spans="1:2" x14ac:dyDescent="0.25">
      <c r="A3942"/>
      <c r="B3942"/>
    </row>
    <row r="3943" spans="1:2" x14ac:dyDescent="0.25">
      <c r="A3943"/>
      <c r="B3943"/>
    </row>
    <row r="3944" spans="1:2" x14ac:dyDescent="0.25">
      <c r="A3944"/>
      <c r="B3944"/>
    </row>
    <row r="3945" spans="1:2" x14ac:dyDescent="0.25">
      <c r="A3945"/>
      <c r="B3945"/>
    </row>
    <row r="3946" spans="1:2" x14ac:dyDescent="0.25">
      <c r="A3946"/>
      <c r="B3946"/>
    </row>
    <row r="3947" spans="1:2" x14ac:dyDescent="0.25">
      <c r="A3947"/>
      <c r="B3947"/>
    </row>
    <row r="3948" spans="1:2" x14ac:dyDescent="0.25">
      <c r="A3948"/>
      <c r="B3948"/>
    </row>
    <row r="3949" spans="1:2" x14ac:dyDescent="0.25">
      <c r="A3949"/>
      <c r="B3949"/>
    </row>
    <row r="3950" spans="1:2" x14ac:dyDescent="0.25">
      <c r="A3950"/>
      <c r="B3950"/>
    </row>
    <row r="3951" spans="1:2" x14ac:dyDescent="0.25">
      <c r="A3951"/>
      <c r="B3951"/>
    </row>
    <row r="3952" spans="1:2" x14ac:dyDescent="0.25">
      <c r="A3952"/>
      <c r="B3952"/>
    </row>
    <row r="3953" spans="1:2" x14ac:dyDescent="0.25">
      <c r="A3953"/>
      <c r="B3953"/>
    </row>
    <row r="3954" spans="1:2" x14ac:dyDescent="0.25">
      <c r="A3954"/>
      <c r="B3954"/>
    </row>
    <row r="3955" spans="1:2" x14ac:dyDescent="0.25">
      <c r="A3955"/>
      <c r="B3955"/>
    </row>
    <row r="3956" spans="1:2" x14ac:dyDescent="0.25">
      <c r="A3956"/>
      <c r="B3956"/>
    </row>
    <row r="3957" spans="1:2" x14ac:dyDescent="0.25">
      <c r="A3957"/>
      <c r="B3957"/>
    </row>
    <row r="3958" spans="1:2" x14ac:dyDescent="0.25">
      <c r="A3958"/>
      <c r="B3958"/>
    </row>
    <row r="3959" spans="1:2" x14ac:dyDescent="0.25">
      <c r="A3959"/>
      <c r="B3959"/>
    </row>
    <row r="3960" spans="1:2" x14ac:dyDescent="0.25">
      <c r="A3960"/>
      <c r="B3960"/>
    </row>
    <row r="3961" spans="1:2" x14ac:dyDescent="0.25">
      <c r="A3961"/>
      <c r="B3961"/>
    </row>
    <row r="3962" spans="1:2" x14ac:dyDescent="0.25">
      <c r="A3962"/>
      <c r="B3962"/>
    </row>
    <row r="3963" spans="1:2" x14ac:dyDescent="0.25">
      <c r="A3963"/>
      <c r="B3963"/>
    </row>
    <row r="3964" spans="1:2" x14ac:dyDescent="0.25">
      <c r="A3964"/>
      <c r="B3964"/>
    </row>
    <row r="3965" spans="1:2" x14ac:dyDescent="0.25">
      <c r="A3965"/>
      <c r="B3965"/>
    </row>
    <row r="3966" spans="1:2" x14ac:dyDescent="0.25">
      <c r="A3966"/>
      <c r="B3966"/>
    </row>
    <row r="3967" spans="1:2" x14ac:dyDescent="0.25">
      <c r="A3967"/>
      <c r="B3967"/>
    </row>
    <row r="3968" spans="1:2" x14ac:dyDescent="0.25">
      <c r="A3968"/>
      <c r="B3968"/>
    </row>
    <row r="3969" spans="1:2" x14ac:dyDescent="0.25">
      <c r="A3969"/>
      <c r="B3969"/>
    </row>
    <row r="3970" spans="1:2" x14ac:dyDescent="0.25">
      <c r="A3970"/>
      <c r="B3970"/>
    </row>
    <row r="3971" spans="1:2" x14ac:dyDescent="0.25">
      <c r="A3971"/>
      <c r="B3971"/>
    </row>
    <row r="3972" spans="1:2" x14ac:dyDescent="0.25">
      <c r="A3972"/>
      <c r="B3972"/>
    </row>
    <row r="3973" spans="1:2" x14ac:dyDescent="0.25">
      <c r="A3973"/>
      <c r="B3973"/>
    </row>
    <row r="3974" spans="1:2" x14ac:dyDescent="0.25">
      <c r="A3974"/>
      <c r="B3974"/>
    </row>
    <row r="3975" spans="1:2" x14ac:dyDescent="0.25">
      <c r="A3975"/>
      <c r="B3975"/>
    </row>
    <row r="3976" spans="1:2" x14ac:dyDescent="0.25">
      <c r="A3976"/>
      <c r="B3976"/>
    </row>
    <row r="3977" spans="1:2" x14ac:dyDescent="0.25">
      <c r="A3977"/>
      <c r="B3977"/>
    </row>
    <row r="3978" spans="1:2" x14ac:dyDescent="0.25">
      <c r="A3978"/>
      <c r="B3978"/>
    </row>
    <row r="3979" spans="1:2" x14ac:dyDescent="0.25">
      <c r="A3979"/>
      <c r="B3979"/>
    </row>
    <row r="3980" spans="1:2" x14ac:dyDescent="0.25">
      <c r="A3980"/>
      <c r="B3980"/>
    </row>
    <row r="3981" spans="1:2" x14ac:dyDescent="0.25">
      <c r="A3981"/>
      <c r="B3981"/>
    </row>
    <row r="3982" spans="1:2" x14ac:dyDescent="0.25">
      <c r="A3982"/>
      <c r="B3982"/>
    </row>
    <row r="3983" spans="1:2" x14ac:dyDescent="0.25">
      <c r="A3983"/>
      <c r="B3983"/>
    </row>
    <row r="3984" spans="1:2" x14ac:dyDescent="0.25">
      <c r="A3984"/>
      <c r="B3984"/>
    </row>
    <row r="3985" spans="1:2" x14ac:dyDescent="0.25">
      <c r="A3985"/>
      <c r="B3985"/>
    </row>
    <row r="3986" spans="1:2" x14ac:dyDescent="0.25">
      <c r="A3986"/>
      <c r="B3986"/>
    </row>
    <row r="3987" spans="1:2" x14ac:dyDescent="0.25">
      <c r="A3987"/>
      <c r="B3987"/>
    </row>
    <row r="3988" spans="1:2" x14ac:dyDescent="0.25">
      <c r="A3988"/>
      <c r="B3988"/>
    </row>
    <row r="3989" spans="1:2" x14ac:dyDescent="0.25">
      <c r="A3989"/>
      <c r="B3989"/>
    </row>
    <row r="3990" spans="1:2" x14ac:dyDescent="0.25">
      <c r="A3990"/>
      <c r="B3990"/>
    </row>
    <row r="3991" spans="1:2" x14ac:dyDescent="0.25">
      <c r="A3991"/>
      <c r="B3991"/>
    </row>
    <row r="3992" spans="1:2" x14ac:dyDescent="0.25">
      <c r="A3992"/>
      <c r="B3992"/>
    </row>
    <row r="3993" spans="1:2" x14ac:dyDescent="0.25">
      <c r="A3993"/>
      <c r="B3993"/>
    </row>
    <row r="3994" spans="1:2" x14ac:dyDescent="0.25">
      <c r="A3994"/>
      <c r="B3994"/>
    </row>
    <row r="3995" spans="1:2" x14ac:dyDescent="0.25">
      <c r="A3995"/>
      <c r="B3995"/>
    </row>
    <row r="3996" spans="1:2" x14ac:dyDescent="0.25">
      <c r="A3996"/>
      <c r="B3996"/>
    </row>
    <row r="3997" spans="1:2" x14ac:dyDescent="0.25">
      <c r="A3997"/>
      <c r="B3997"/>
    </row>
    <row r="3998" spans="1:2" x14ac:dyDescent="0.25">
      <c r="A3998"/>
      <c r="B3998"/>
    </row>
    <row r="3999" spans="1:2" x14ac:dyDescent="0.25">
      <c r="A3999"/>
      <c r="B3999"/>
    </row>
    <row r="4000" spans="1:2" x14ac:dyDescent="0.25">
      <c r="A4000"/>
      <c r="B4000"/>
    </row>
    <row r="4001" spans="1:2" x14ac:dyDescent="0.25">
      <c r="A4001"/>
      <c r="B4001"/>
    </row>
    <row r="4002" spans="1:2" x14ac:dyDescent="0.25">
      <c r="A4002"/>
      <c r="B4002"/>
    </row>
    <row r="4003" spans="1:2" x14ac:dyDescent="0.25">
      <c r="A4003"/>
      <c r="B4003"/>
    </row>
    <row r="4004" spans="1:2" x14ac:dyDescent="0.25">
      <c r="A4004"/>
      <c r="B4004"/>
    </row>
    <row r="4005" spans="1:2" x14ac:dyDescent="0.25">
      <c r="A4005"/>
      <c r="B4005"/>
    </row>
    <row r="4006" spans="1:2" x14ac:dyDescent="0.25">
      <c r="A4006"/>
      <c r="B4006"/>
    </row>
    <row r="4007" spans="1:2" x14ac:dyDescent="0.25">
      <c r="A4007"/>
      <c r="B4007"/>
    </row>
    <row r="4008" spans="1:2" x14ac:dyDescent="0.25">
      <c r="A4008"/>
      <c r="B4008"/>
    </row>
    <row r="4009" spans="1:2" x14ac:dyDescent="0.25">
      <c r="A4009"/>
      <c r="B4009"/>
    </row>
    <row r="4010" spans="1:2" x14ac:dyDescent="0.25">
      <c r="A4010"/>
      <c r="B4010"/>
    </row>
    <row r="4011" spans="1:2" x14ac:dyDescent="0.25">
      <c r="A4011"/>
      <c r="B4011"/>
    </row>
    <row r="4012" spans="1:2" x14ac:dyDescent="0.25">
      <c r="A4012"/>
      <c r="B4012"/>
    </row>
    <row r="4013" spans="1:2" x14ac:dyDescent="0.25">
      <c r="A4013"/>
      <c r="B4013"/>
    </row>
    <row r="4014" spans="1:2" x14ac:dyDescent="0.25">
      <c r="A4014"/>
      <c r="B4014"/>
    </row>
    <row r="4015" spans="1:2" x14ac:dyDescent="0.25">
      <c r="A4015"/>
      <c r="B4015"/>
    </row>
    <row r="4016" spans="1:2" x14ac:dyDescent="0.25">
      <c r="A4016"/>
      <c r="B4016"/>
    </row>
    <row r="4017" spans="1:2" x14ac:dyDescent="0.25">
      <c r="A4017"/>
      <c r="B4017"/>
    </row>
    <row r="4018" spans="1:2" x14ac:dyDescent="0.25">
      <c r="A4018"/>
      <c r="B4018"/>
    </row>
    <row r="4019" spans="1:2" x14ac:dyDescent="0.25">
      <c r="A4019"/>
      <c r="B4019"/>
    </row>
    <row r="4020" spans="1:2" x14ac:dyDescent="0.25">
      <c r="A4020"/>
      <c r="B4020"/>
    </row>
    <row r="4021" spans="1:2" x14ac:dyDescent="0.25">
      <c r="A4021"/>
      <c r="B4021"/>
    </row>
    <row r="4022" spans="1:2" x14ac:dyDescent="0.25">
      <c r="A4022"/>
      <c r="B4022"/>
    </row>
    <row r="4023" spans="1:2" x14ac:dyDescent="0.25">
      <c r="A4023"/>
      <c r="B4023"/>
    </row>
    <row r="4024" spans="1:2" x14ac:dyDescent="0.25">
      <c r="A4024"/>
      <c r="B4024"/>
    </row>
    <row r="4025" spans="1:2" x14ac:dyDescent="0.25">
      <c r="A4025"/>
      <c r="B4025"/>
    </row>
    <row r="4026" spans="1:2" x14ac:dyDescent="0.25">
      <c r="A4026"/>
      <c r="B4026"/>
    </row>
    <row r="4027" spans="1:2" x14ac:dyDescent="0.25">
      <c r="A4027"/>
      <c r="B4027"/>
    </row>
    <row r="4028" spans="1:2" x14ac:dyDescent="0.25">
      <c r="A4028"/>
      <c r="B4028"/>
    </row>
    <row r="4029" spans="1:2" x14ac:dyDescent="0.25">
      <c r="A4029"/>
      <c r="B4029"/>
    </row>
    <row r="4030" spans="1:2" x14ac:dyDescent="0.25">
      <c r="A4030"/>
      <c r="B4030"/>
    </row>
    <row r="4031" spans="1:2" x14ac:dyDescent="0.25">
      <c r="A4031"/>
      <c r="B4031"/>
    </row>
    <row r="4032" spans="1:2" x14ac:dyDescent="0.25">
      <c r="A4032"/>
      <c r="B4032"/>
    </row>
    <row r="4033" spans="1:2" x14ac:dyDescent="0.25">
      <c r="A4033"/>
      <c r="B4033"/>
    </row>
    <row r="4034" spans="1:2" x14ac:dyDescent="0.25">
      <c r="A4034"/>
      <c r="B4034"/>
    </row>
    <row r="4035" spans="1:2" x14ac:dyDescent="0.25">
      <c r="A4035"/>
      <c r="B4035"/>
    </row>
    <row r="4036" spans="1:2" x14ac:dyDescent="0.25">
      <c r="A4036"/>
      <c r="B4036"/>
    </row>
    <row r="4037" spans="1:2" x14ac:dyDescent="0.25">
      <c r="A4037"/>
      <c r="B4037"/>
    </row>
    <row r="4038" spans="1:2" x14ac:dyDescent="0.25">
      <c r="A4038"/>
      <c r="B4038"/>
    </row>
    <row r="4039" spans="1:2" x14ac:dyDescent="0.25">
      <c r="A4039"/>
      <c r="B4039"/>
    </row>
    <row r="4040" spans="1:2" x14ac:dyDescent="0.25">
      <c r="A4040"/>
      <c r="B4040"/>
    </row>
    <row r="4041" spans="1:2" x14ac:dyDescent="0.25">
      <c r="A4041"/>
      <c r="B4041"/>
    </row>
    <row r="4042" spans="1:2" x14ac:dyDescent="0.25">
      <c r="A4042"/>
      <c r="B4042"/>
    </row>
    <row r="4043" spans="1:2" x14ac:dyDescent="0.25">
      <c r="A4043"/>
      <c r="B4043"/>
    </row>
    <row r="4044" spans="1:2" x14ac:dyDescent="0.25">
      <c r="A4044"/>
      <c r="B4044"/>
    </row>
    <row r="4045" spans="1:2" x14ac:dyDescent="0.25">
      <c r="A4045"/>
      <c r="B4045"/>
    </row>
    <row r="4046" spans="1:2" x14ac:dyDescent="0.25">
      <c r="A4046"/>
      <c r="B4046"/>
    </row>
    <row r="4047" spans="1:2" x14ac:dyDescent="0.25">
      <c r="A4047"/>
      <c r="B4047"/>
    </row>
    <row r="4048" spans="1:2" x14ac:dyDescent="0.25">
      <c r="A4048"/>
      <c r="B4048"/>
    </row>
    <row r="4049" spans="1:2" x14ac:dyDescent="0.25">
      <c r="A4049"/>
      <c r="B4049"/>
    </row>
    <row r="4050" spans="1:2" x14ac:dyDescent="0.25">
      <c r="A4050"/>
      <c r="B4050"/>
    </row>
    <row r="4051" spans="1:2" x14ac:dyDescent="0.25">
      <c r="A4051"/>
      <c r="B4051"/>
    </row>
    <row r="4052" spans="1:2" x14ac:dyDescent="0.25">
      <c r="A4052"/>
      <c r="B4052"/>
    </row>
    <row r="4053" spans="1:2" x14ac:dyDescent="0.25">
      <c r="A4053"/>
      <c r="B4053"/>
    </row>
    <row r="4054" spans="1:2" x14ac:dyDescent="0.25">
      <c r="A4054"/>
      <c r="B4054"/>
    </row>
    <row r="4055" spans="1:2" x14ac:dyDescent="0.25">
      <c r="A4055"/>
      <c r="B4055"/>
    </row>
    <row r="4056" spans="1:2" x14ac:dyDescent="0.25">
      <c r="A4056"/>
      <c r="B4056"/>
    </row>
    <row r="4057" spans="1:2" x14ac:dyDescent="0.25">
      <c r="A4057"/>
      <c r="B4057"/>
    </row>
    <row r="4058" spans="1:2" x14ac:dyDescent="0.25">
      <c r="A4058"/>
      <c r="B4058"/>
    </row>
    <row r="4059" spans="1:2" x14ac:dyDescent="0.25">
      <c r="A4059"/>
      <c r="B4059"/>
    </row>
    <row r="4060" spans="1:2" x14ac:dyDescent="0.25">
      <c r="A4060"/>
      <c r="B4060"/>
    </row>
    <row r="4061" spans="1:2" x14ac:dyDescent="0.25">
      <c r="A4061"/>
      <c r="B4061"/>
    </row>
    <row r="4062" spans="1:2" x14ac:dyDescent="0.25">
      <c r="A4062"/>
      <c r="B4062"/>
    </row>
    <row r="4063" spans="1:2" x14ac:dyDescent="0.25">
      <c r="A4063"/>
      <c r="B4063"/>
    </row>
    <row r="4064" spans="1:2" x14ac:dyDescent="0.25">
      <c r="A4064"/>
      <c r="B4064"/>
    </row>
    <row r="4065" spans="1:2" x14ac:dyDescent="0.25">
      <c r="A4065"/>
      <c r="B4065"/>
    </row>
    <row r="4066" spans="1:2" x14ac:dyDescent="0.25">
      <c r="A4066"/>
      <c r="B4066"/>
    </row>
    <row r="4067" spans="1:2" x14ac:dyDescent="0.25">
      <c r="A4067"/>
      <c r="B4067"/>
    </row>
    <row r="4068" spans="1:2" x14ac:dyDescent="0.25">
      <c r="A4068"/>
      <c r="B4068"/>
    </row>
    <row r="4069" spans="1:2" x14ac:dyDescent="0.25">
      <c r="A4069"/>
      <c r="B4069"/>
    </row>
    <row r="4070" spans="1:2" x14ac:dyDescent="0.25">
      <c r="A4070"/>
      <c r="B4070"/>
    </row>
    <row r="4071" spans="1:2" x14ac:dyDescent="0.25">
      <c r="A4071"/>
      <c r="B4071"/>
    </row>
    <row r="4072" spans="1:2" x14ac:dyDescent="0.25">
      <c r="A4072"/>
      <c r="B4072"/>
    </row>
    <row r="4073" spans="1:2" x14ac:dyDescent="0.25">
      <c r="A4073"/>
      <c r="B4073"/>
    </row>
    <row r="4074" spans="1:2" x14ac:dyDescent="0.25">
      <c r="A4074"/>
      <c r="B4074"/>
    </row>
    <row r="4075" spans="1:2" x14ac:dyDescent="0.25">
      <c r="A4075"/>
      <c r="B4075"/>
    </row>
    <row r="4076" spans="1:2" x14ac:dyDescent="0.25">
      <c r="A4076"/>
      <c r="B4076"/>
    </row>
    <row r="4077" spans="1:2" x14ac:dyDescent="0.25">
      <c r="A4077"/>
      <c r="B4077"/>
    </row>
    <row r="4078" spans="1:2" x14ac:dyDescent="0.25">
      <c r="A4078"/>
      <c r="B4078"/>
    </row>
    <row r="4079" spans="1:2" x14ac:dyDescent="0.25">
      <c r="A4079"/>
      <c r="B4079"/>
    </row>
    <row r="4080" spans="1:2" x14ac:dyDescent="0.25">
      <c r="A4080"/>
      <c r="B4080"/>
    </row>
    <row r="4081" spans="1:2" x14ac:dyDescent="0.25">
      <c r="A4081"/>
      <c r="B4081"/>
    </row>
    <row r="4082" spans="1:2" x14ac:dyDescent="0.25">
      <c r="A4082"/>
      <c r="B4082"/>
    </row>
    <row r="4083" spans="1:2" x14ac:dyDescent="0.25">
      <c r="A4083"/>
      <c r="B4083"/>
    </row>
    <row r="4084" spans="1:2" x14ac:dyDescent="0.25">
      <c r="A4084"/>
      <c r="B4084"/>
    </row>
    <row r="4085" spans="1:2" x14ac:dyDescent="0.25">
      <c r="A4085"/>
      <c r="B4085"/>
    </row>
    <row r="4086" spans="1:2" x14ac:dyDescent="0.25">
      <c r="A4086"/>
      <c r="B4086"/>
    </row>
    <row r="4087" spans="1:2" x14ac:dyDescent="0.25">
      <c r="A4087"/>
      <c r="B4087"/>
    </row>
    <row r="4088" spans="1:2" x14ac:dyDescent="0.25">
      <c r="A4088"/>
      <c r="B4088"/>
    </row>
    <row r="4089" spans="1:2" x14ac:dyDescent="0.25">
      <c r="A4089"/>
      <c r="B4089"/>
    </row>
    <row r="4090" spans="1:2" x14ac:dyDescent="0.25">
      <c r="A4090"/>
      <c r="B4090"/>
    </row>
    <row r="4091" spans="1:2" x14ac:dyDescent="0.25">
      <c r="A4091"/>
      <c r="B4091"/>
    </row>
    <row r="4092" spans="1:2" x14ac:dyDescent="0.25">
      <c r="A4092"/>
      <c r="B4092"/>
    </row>
    <row r="4093" spans="1:2" x14ac:dyDescent="0.25">
      <c r="A4093"/>
      <c r="B4093"/>
    </row>
    <row r="4094" spans="1:2" x14ac:dyDescent="0.25">
      <c r="A4094"/>
      <c r="B4094"/>
    </row>
    <row r="4095" spans="1:2" x14ac:dyDescent="0.25">
      <c r="A4095"/>
      <c r="B4095"/>
    </row>
    <row r="4096" spans="1:2" x14ac:dyDescent="0.25">
      <c r="A4096"/>
      <c r="B4096"/>
    </row>
    <row r="4097" spans="1:2" x14ac:dyDescent="0.25">
      <c r="A4097"/>
      <c r="B4097"/>
    </row>
    <row r="4098" spans="1:2" x14ac:dyDescent="0.25">
      <c r="A4098"/>
      <c r="B4098"/>
    </row>
    <row r="4099" spans="1:2" x14ac:dyDescent="0.25">
      <c r="A4099"/>
      <c r="B4099"/>
    </row>
    <row r="4100" spans="1:2" x14ac:dyDescent="0.25">
      <c r="A4100"/>
      <c r="B4100"/>
    </row>
    <row r="4101" spans="1:2" x14ac:dyDescent="0.25">
      <c r="A4101"/>
      <c r="B4101"/>
    </row>
    <row r="4102" spans="1:2" x14ac:dyDescent="0.25">
      <c r="A4102"/>
      <c r="B4102"/>
    </row>
    <row r="4103" spans="1:2" x14ac:dyDescent="0.25">
      <c r="A4103"/>
      <c r="B4103"/>
    </row>
    <row r="4104" spans="1:2" x14ac:dyDescent="0.25">
      <c r="A4104"/>
      <c r="B4104"/>
    </row>
    <row r="4105" spans="1:2" x14ac:dyDescent="0.25">
      <c r="A4105"/>
      <c r="B4105"/>
    </row>
    <row r="4106" spans="1:2" x14ac:dyDescent="0.25">
      <c r="A4106"/>
      <c r="B4106"/>
    </row>
    <row r="4107" spans="1:2" x14ac:dyDescent="0.25">
      <c r="A4107"/>
      <c r="B4107"/>
    </row>
    <row r="4108" spans="1:2" x14ac:dyDescent="0.25">
      <c r="A4108"/>
      <c r="B4108"/>
    </row>
    <row r="4109" spans="1:2" x14ac:dyDescent="0.25">
      <c r="A4109"/>
      <c r="B4109"/>
    </row>
    <row r="4110" spans="1:2" x14ac:dyDescent="0.25">
      <c r="A4110"/>
      <c r="B4110"/>
    </row>
    <row r="4111" spans="1:2" x14ac:dyDescent="0.25">
      <c r="A4111"/>
      <c r="B4111"/>
    </row>
    <row r="4112" spans="1:2" x14ac:dyDescent="0.25">
      <c r="A4112"/>
      <c r="B4112"/>
    </row>
    <row r="4113" spans="1:2" x14ac:dyDescent="0.25">
      <c r="A4113"/>
      <c r="B4113"/>
    </row>
    <row r="4114" spans="1:2" x14ac:dyDescent="0.25">
      <c r="A4114"/>
      <c r="B4114"/>
    </row>
    <row r="4115" spans="1:2" x14ac:dyDescent="0.25">
      <c r="A4115"/>
      <c r="B4115"/>
    </row>
    <row r="4116" spans="1:2" x14ac:dyDescent="0.25">
      <c r="A4116"/>
      <c r="B4116"/>
    </row>
    <row r="4117" spans="1:2" x14ac:dyDescent="0.25">
      <c r="A4117"/>
      <c r="B4117"/>
    </row>
    <row r="4118" spans="1:2" x14ac:dyDescent="0.25">
      <c r="A4118"/>
      <c r="B4118"/>
    </row>
    <row r="4119" spans="1:2" x14ac:dyDescent="0.25">
      <c r="A4119"/>
      <c r="B4119"/>
    </row>
    <row r="4120" spans="1:2" x14ac:dyDescent="0.25">
      <c r="A4120"/>
      <c r="B4120"/>
    </row>
    <row r="4121" spans="1:2" x14ac:dyDescent="0.25">
      <c r="A4121"/>
      <c r="B4121"/>
    </row>
    <row r="4122" spans="1:2" x14ac:dyDescent="0.25">
      <c r="A4122"/>
      <c r="B4122"/>
    </row>
    <row r="4123" spans="1:2" x14ac:dyDescent="0.25">
      <c r="A4123"/>
      <c r="B4123"/>
    </row>
    <row r="4124" spans="1:2" x14ac:dyDescent="0.25">
      <c r="A4124"/>
      <c r="B4124"/>
    </row>
    <row r="4125" spans="1:2" x14ac:dyDescent="0.25">
      <c r="A4125"/>
      <c r="B4125"/>
    </row>
    <row r="4126" spans="1:2" x14ac:dyDescent="0.25">
      <c r="A4126"/>
      <c r="B4126"/>
    </row>
    <row r="4127" spans="1:2" x14ac:dyDescent="0.25">
      <c r="A4127"/>
      <c r="B4127"/>
    </row>
    <row r="4128" spans="1:2" x14ac:dyDescent="0.25">
      <c r="A4128"/>
      <c r="B4128"/>
    </row>
    <row r="4129" spans="1:2" x14ac:dyDescent="0.25">
      <c r="A4129"/>
      <c r="B4129"/>
    </row>
    <row r="4130" spans="1:2" x14ac:dyDescent="0.25">
      <c r="A4130"/>
      <c r="B4130"/>
    </row>
    <row r="4131" spans="1:2" x14ac:dyDescent="0.25">
      <c r="A4131"/>
      <c r="B4131"/>
    </row>
    <row r="4132" spans="1:2" x14ac:dyDescent="0.25">
      <c r="A4132"/>
      <c r="B4132"/>
    </row>
    <row r="4133" spans="1:2" x14ac:dyDescent="0.25">
      <c r="A4133"/>
      <c r="B4133"/>
    </row>
    <row r="4134" spans="1:2" x14ac:dyDescent="0.25">
      <c r="A4134"/>
      <c r="B4134"/>
    </row>
    <row r="4135" spans="1:2" x14ac:dyDescent="0.25">
      <c r="A4135"/>
      <c r="B4135"/>
    </row>
    <row r="4136" spans="1:2" x14ac:dyDescent="0.25">
      <c r="A4136"/>
      <c r="B4136"/>
    </row>
    <row r="4137" spans="1:2" x14ac:dyDescent="0.25">
      <c r="A4137"/>
      <c r="B4137"/>
    </row>
    <row r="4138" spans="1:2" x14ac:dyDescent="0.25">
      <c r="A4138"/>
      <c r="B4138"/>
    </row>
    <row r="4139" spans="1:2" x14ac:dyDescent="0.25">
      <c r="A4139"/>
      <c r="B4139"/>
    </row>
    <row r="4140" spans="1:2" x14ac:dyDescent="0.25">
      <c r="A4140"/>
      <c r="B4140"/>
    </row>
    <row r="4141" spans="1:2" x14ac:dyDescent="0.25">
      <c r="A4141"/>
      <c r="B4141"/>
    </row>
    <row r="4142" spans="1:2" x14ac:dyDescent="0.25">
      <c r="A4142"/>
      <c r="B4142"/>
    </row>
    <row r="4143" spans="1:2" x14ac:dyDescent="0.25">
      <c r="A4143"/>
      <c r="B4143"/>
    </row>
    <row r="4144" spans="1:2" x14ac:dyDescent="0.25">
      <c r="A4144"/>
      <c r="B4144"/>
    </row>
    <row r="4145" spans="1:2" x14ac:dyDescent="0.25">
      <c r="A4145"/>
      <c r="B4145"/>
    </row>
    <row r="4146" spans="1:2" x14ac:dyDescent="0.25">
      <c r="A4146"/>
      <c r="B4146"/>
    </row>
    <row r="4147" spans="1:2" x14ac:dyDescent="0.25">
      <c r="A4147"/>
      <c r="B4147"/>
    </row>
    <row r="4148" spans="1:2" x14ac:dyDescent="0.25">
      <c r="A4148"/>
      <c r="B4148"/>
    </row>
    <row r="4149" spans="1:2" x14ac:dyDescent="0.25">
      <c r="A4149"/>
      <c r="B4149"/>
    </row>
    <row r="4150" spans="1:2" x14ac:dyDescent="0.25">
      <c r="A4150"/>
      <c r="B4150"/>
    </row>
    <row r="4151" spans="1:2" x14ac:dyDescent="0.25">
      <c r="A4151"/>
      <c r="B4151"/>
    </row>
    <row r="4152" spans="1:2" x14ac:dyDescent="0.25">
      <c r="A4152"/>
      <c r="B4152"/>
    </row>
    <row r="4153" spans="1:2" x14ac:dyDescent="0.25">
      <c r="A4153"/>
      <c r="B4153"/>
    </row>
    <row r="4154" spans="1:2" x14ac:dyDescent="0.25">
      <c r="A4154"/>
      <c r="B4154"/>
    </row>
    <row r="4155" spans="1:2" x14ac:dyDescent="0.25">
      <c r="A4155"/>
      <c r="B4155"/>
    </row>
    <row r="4156" spans="1:2" x14ac:dyDescent="0.25">
      <c r="A4156"/>
      <c r="B4156"/>
    </row>
    <row r="4157" spans="1:2" x14ac:dyDescent="0.25">
      <c r="A4157"/>
      <c r="B4157"/>
    </row>
    <row r="4158" spans="1:2" x14ac:dyDescent="0.25">
      <c r="A4158"/>
      <c r="B4158"/>
    </row>
    <row r="4159" spans="1:2" x14ac:dyDescent="0.25">
      <c r="A4159"/>
      <c r="B4159"/>
    </row>
    <row r="4160" spans="1:2" x14ac:dyDescent="0.25">
      <c r="A4160"/>
      <c r="B4160"/>
    </row>
    <row r="4161" spans="1:2" x14ac:dyDescent="0.25">
      <c r="A4161"/>
      <c r="B4161"/>
    </row>
    <row r="4162" spans="1:2" x14ac:dyDescent="0.25">
      <c r="A4162"/>
      <c r="B4162"/>
    </row>
    <row r="4163" spans="1:2" x14ac:dyDescent="0.25">
      <c r="A4163"/>
      <c r="B4163"/>
    </row>
    <row r="4164" spans="1:2" x14ac:dyDescent="0.25">
      <c r="A4164"/>
      <c r="B4164"/>
    </row>
    <row r="4165" spans="1:2" x14ac:dyDescent="0.25">
      <c r="A4165"/>
      <c r="B4165"/>
    </row>
    <row r="4166" spans="1:2" x14ac:dyDescent="0.25">
      <c r="A4166"/>
      <c r="B4166"/>
    </row>
    <row r="4167" spans="1:2" x14ac:dyDescent="0.25">
      <c r="A4167"/>
      <c r="B4167"/>
    </row>
    <row r="4168" spans="1:2" x14ac:dyDescent="0.25">
      <c r="A4168"/>
      <c r="B4168"/>
    </row>
    <row r="4169" spans="1:2" x14ac:dyDescent="0.25">
      <c r="A4169"/>
      <c r="B4169"/>
    </row>
    <row r="4170" spans="1:2" x14ac:dyDescent="0.25">
      <c r="A4170"/>
      <c r="B4170"/>
    </row>
    <row r="4171" spans="1:2" x14ac:dyDescent="0.25">
      <c r="A4171"/>
      <c r="B4171"/>
    </row>
    <row r="4172" spans="1:2" x14ac:dyDescent="0.25">
      <c r="A4172"/>
      <c r="B4172"/>
    </row>
    <row r="4173" spans="1:2" x14ac:dyDescent="0.25">
      <c r="A4173"/>
      <c r="B4173"/>
    </row>
    <row r="4174" spans="1:2" x14ac:dyDescent="0.25">
      <c r="A4174"/>
      <c r="B4174"/>
    </row>
    <row r="4175" spans="1:2" x14ac:dyDescent="0.25">
      <c r="A4175"/>
      <c r="B4175"/>
    </row>
    <row r="4176" spans="1:2" x14ac:dyDescent="0.25">
      <c r="A4176"/>
      <c r="B4176"/>
    </row>
    <row r="4177" spans="1:2" x14ac:dyDescent="0.25">
      <c r="A4177"/>
      <c r="B4177"/>
    </row>
    <row r="4178" spans="1:2" x14ac:dyDescent="0.25">
      <c r="A4178"/>
      <c r="B4178"/>
    </row>
    <row r="4179" spans="1:2" x14ac:dyDescent="0.25">
      <c r="A4179"/>
      <c r="B4179"/>
    </row>
    <row r="4180" spans="1:2" x14ac:dyDescent="0.25">
      <c r="A4180"/>
      <c r="B4180"/>
    </row>
    <row r="4181" spans="1:2" x14ac:dyDescent="0.25">
      <c r="A4181"/>
      <c r="B4181"/>
    </row>
    <row r="4182" spans="1:2" x14ac:dyDescent="0.25">
      <c r="A4182"/>
      <c r="B4182"/>
    </row>
    <row r="4183" spans="1:2" x14ac:dyDescent="0.25">
      <c r="A4183"/>
      <c r="B4183"/>
    </row>
    <row r="4184" spans="1:2" x14ac:dyDescent="0.25">
      <c r="A4184"/>
      <c r="B4184"/>
    </row>
    <row r="4185" spans="1:2" x14ac:dyDescent="0.25">
      <c r="A4185"/>
      <c r="B4185"/>
    </row>
    <row r="4186" spans="1:2" x14ac:dyDescent="0.25">
      <c r="A4186"/>
      <c r="B4186"/>
    </row>
    <row r="4187" spans="1:2" x14ac:dyDescent="0.25">
      <c r="A4187"/>
      <c r="B4187"/>
    </row>
    <row r="4188" spans="1:2" x14ac:dyDescent="0.25">
      <c r="A4188"/>
      <c r="B4188"/>
    </row>
    <row r="4189" spans="1:2" x14ac:dyDescent="0.25">
      <c r="A4189"/>
      <c r="B4189"/>
    </row>
    <row r="4190" spans="1:2" x14ac:dyDescent="0.25">
      <c r="A4190"/>
      <c r="B4190"/>
    </row>
    <row r="4191" spans="1:2" x14ac:dyDescent="0.25">
      <c r="A4191"/>
      <c r="B4191"/>
    </row>
    <row r="4192" spans="1:2" x14ac:dyDescent="0.25">
      <c r="A4192"/>
      <c r="B4192"/>
    </row>
    <row r="4193" spans="1:2" x14ac:dyDescent="0.25">
      <c r="A4193"/>
      <c r="B4193"/>
    </row>
    <row r="4194" spans="1:2" x14ac:dyDescent="0.25">
      <c r="A4194"/>
      <c r="B4194"/>
    </row>
    <row r="4195" spans="1:2" x14ac:dyDescent="0.25">
      <c r="A4195"/>
      <c r="B4195"/>
    </row>
    <row r="4196" spans="1:2" x14ac:dyDescent="0.25">
      <c r="A4196"/>
      <c r="B4196"/>
    </row>
    <row r="4197" spans="1:2" x14ac:dyDescent="0.25">
      <c r="A4197"/>
      <c r="B4197"/>
    </row>
    <row r="4198" spans="1:2" x14ac:dyDescent="0.25">
      <c r="A4198"/>
      <c r="B4198"/>
    </row>
    <row r="4199" spans="1:2" x14ac:dyDescent="0.25">
      <c r="A4199"/>
      <c r="B4199"/>
    </row>
    <row r="4200" spans="1:2" x14ac:dyDescent="0.25">
      <c r="A4200"/>
      <c r="B4200"/>
    </row>
    <row r="4201" spans="1:2" x14ac:dyDescent="0.25">
      <c r="A4201"/>
      <c r="B4201"/>
    </row>
    <row r="4202" spans="1:2" x14ac:dyDescent="0.25">
      <c r="A4202"/>
      <c r="B4202"/>
    </row>
    <row r="4203" spans="1:2" x14ac:dyDescent="0.25">
      <c r="A4203"/>
      <c r="B4203"/>
    </row>
    <row r="4204" spans="1:2" x14ac:dyDescent="0.25">
      <c r="A4204"/>
      <c r="B4204"/>
    </row>
    <row r="4205" spans="1:2" x14ac:dyDescent="0.25">
      <c r="A4205"/>
      <c r="B4205"/>
    </row>
    <row r="4206" spans="1:2" x14ac:dyDescent="0.25">
      <c r="A4206"/>
      <c r="B4206"/>
    </row>
    <row r="4207" spans="1:2" x14ac:dyDescent="0.25">
      <c r="A4207"/>
      <c r="B4207"/>
    </row>
    <row r="4208" spans="1:2" x14ac:dyDescent="0.25">
      <c r="A4208"/>
      <c r="B4208"/>
    </row>
    <row r="4209" spans="1:2" x14ac:dyDescent="0.25">
      <c r="A4209"/>
      <c r="B4209"/>
    </row>
    <row r="4210" spans="1:2" x14ac:dyDescent="0.25">
      <c r="A4210"/>
      <c r="B4210"/>
    </row>
    <row r="4211" spans="1:2" x14ac:dyDescent="0.25">
      <c r="A4211"/>
      <c r="B4211"/>
    </row>
    <row r="4212" spans="1:2" x14ac:dyDescent="0.25">
      <c r="A4212"/>
      <c r="B4212"/>
    </row>
    <row r="4213" spans="1:2" x14ac:dyDescent="0.25">
      <c r="A4213"/>
      <c r="B4213"/>
    </row>
    <row r="4214" spans="1:2" x14ac:dyDescent="0.25">
      <c r="A4214"/>
      <c r="B4214"/>
    </row>
    <row r="4215" spans="1:2" x14ac:dyDescent="0.25">
      <c r="A4215"/>
      <c r="B4215"/>
    </row>
    <row r="4216" spans="1:2" x14ac:dyDescent="0.25">
      <c r="A4216"/>
      <c r="B4216"/>
    </row>
    <row r="4217" spans="1:2" x14ac:dyDescent="0.25">
      <c r="A4217"/>
      <c r="B4217"/>
    </row>
    <row r="4218" spans="1:2" x14ac:dyDescent="0.25">
      <c r="A4218"/>
      <c r="B4218"/>
    </row>
    <row r="4219" spans="1:2" x14ac:dyDescent="0.25">
      <c r="A4219"/>
      <c r="B4219"/>
    </row>
    <row r="4220" spans="1:2" x14ac:dyDescent="0.25">
      <c r="A4220"/>
      <c r="B4220"/>
    </row>
    <row r="4221" spans="1:2" x14ac:dyDescent="0.25">
      <c r="A4221"/>
      <c r="B4221"/>
    </row>
    <row r="4222" spans="1:2" x14ac:dyDescent="0.25">
      <c r="A4222"/>
      <c r="B4222"/>
    </row>
    <row r="4223" spans="1:2" x14ac:dyDescent="0.25">
      <c r="A4223"/>
      <c r="B4223"/>
    </row>
    <row r="4224" spans="1:2" x14ac:dyDescent="0.25">
      <c r="A4224"/>
      <c r="B4224"/>
    </row>
    <row r="4225" spans="1:2" x14ac:dyDescent="0.25">
      <c r="A4225"/>
      <c r="B4225"/>
    </row>
    <row r="4226" spans="1:2" x14ac:dyDescent="0.25">
      <c r="A4226"/>
      <c r="B4226"/>
    </row>
    <row r="4227" spans="1:2" x14ac:dyDescent="0.25">
      <c r="A4227"/>
      <c r="B4227"/>
    </row>
    <row r="4228" spans="1:2" x14ac:dyDescent="0.25">
      <c r="A4228"/>
      <c r="B4228"/>
    </row>
    <row r="4229" spans="1:2" x14ac:dyDescent="0.25">
      <c r="A4229"/>
      <c r="B4229"/>
    </row>
    <row r="4230" spans="1:2" x14ac:dyDescent="0.25">
      <c r="A4230"/>
      <c r="B4230"/>
    </row>
    <row r="4231" spans="1:2" x14ac:dyDescent="0.25">
      <c r="A4231"/>
      <c r="B4231"/>
    </row>
    <row r="4232" spans="1:2" x14ac:dyDescent="0.25">
      <c r="A4232"/>
      <c r="B4232"/>
    </row>
    <row r="4233" spans="1:2" x14ac:dyDescent="0.25">
      <c r="A4233"/>
      <c r="B4233"/>
    </row>
    <row r="4234" spans="1:2" x14ac:dyDescent="0.25">
      <c r="A4234"/>
      <c r="B4234"/>
    </row>
    <row r="4235" spans="1:2" x14ac:dyDescent="0.25">
      <c r="A4235"/>
      <c r="B4235"/>
    </row>
    <row r="4236" spans="1:2" x14ac:dyDescent="0.25">
      <c r="A4236"/>
      <c r="B4236"/>
    </row>
    <row r="4237" spans="1:2" x14ac:dyDescent="0.25">
      <c r="A4237"/>
      <c r="B4237"/>
    </row>
    <row r="4238" spans="1:2" x14ac:dyDescent="0.25">
      <c r="A4238"/>
      <c r="B4238"/>
    </row>
    <row r="4239" spans="1:2" x14ac:dyDescent="0.25">
      <c r="A4239"/>
      <c r="B4239"/>
    </row>
    <row r="4240" spans="1:2" x14ac:dyDescent="0.25">
      <c r="A4240"/>
      <c r="B4240"/>
    </row>
    <row r="4241" spans="1:2" x14ac:dyDescent="0.25">
      <c r="A4241"/>
      <c r="B4241"/>
    </row>
    <row r="4242" spans="1:2" x14ac:dyDescent="0.25">
      <c r="A4242"/>
      <c r="B4242"/>
    </row>
    <row r="4243" spans="1:2" x14ac:dyDescent="0.25">
      <c r="A4243"/>
      <c r="B4243"/>
    </row>
    <row r="4244" spans="1:2" x14ac:dyDescent="0.25">
      <c r="A4244"/>
      <c r="B4244"/>
    </row>
    <row r="4245" spans="1:2" x14ac:dyDescent="0.25">
      <c r="A4245"/>
      <c r="B4245"/>
    </row>
    <row r="4246" spans="1:2" x14ac:dyDescent="0.25">
      <c r="A4246"/>
      <c r="B4246"/>
    </row>
    <row r="4247" spans="1:2" x14ac:dyDescent="0.25">
      <c r="A4247"/>
      <c r="B4247"/>
    </row>
    <row r="4248" spans="1:2" x14ac:dyDescent="0.25">
      <c r="A4248"/>
      <c r="B4248"/>
    </row>
    <row r="4249" spans="1:2" x14ac:dyDescent="0.25">
      <c r="A4249"/>
      <c r="B4249"/>
    </row>
    <row r="4250" spans="1:2" x14ac:dyDescent="0.25">
      <c r="A4250"/>
      <c r="B4250"/>
    </row>
    <row r="4251" spans="1:2" x14ac:dyDescent="0.25">
      <c r="A4251"/>
      <c r="B4251"/>
    </row>
    <row r="4252" spans="1:2" x14ac:dyDescent="0.25">
      <c r="A4252"/>
      <c r="B4252"/>
    </row>
    <row r="4253" spans="1:2" x14ac:dyDescent="0.25">
      <c r="A4253"/>
      <c r="B4253"/>
    </row>
    <row r="4254" spans="1:2" x14ac:dyDescent="0.25">
      <c r="A4254"/>
      <c r="B4254"/>
    </row>
    <row r="4255" spans="1:2" x14ac:dyDescent="0.25">
      <c r="A4255"/>
      <c r="B4255"/>
    </row>
    <row r="4256" spans="1:2" x14ac:dyDescent="0.25">
      <c r="A4256"/>
      <c r="B4256"/>
    </row>
    <row r="4257" spans="1:2" x14ac:dyDescent="0.25">
      <c r="A4257"/>
      <c r="B4257"/>
    </row>
    <row r="4258" spans="1:2" x14ac:dyDescent="0.25">
      <c r="A4258"/>
      <c r="B4258"/>
    </row>
    <row r="4259" spans="1:2" x14ac:dyDescent="0.25">
      <c r="A4259"/>
      <c r="B4259"/>
    </row>
    <row r="4260" spans="1:2" x14ac:dyDescent="0.25">
      <c r="A4260"/>
      <c r="B4260"/>
    </row>
    <row r="4261" spans="1:2" x14ac:dyDescent="0.25">
      <c r="A4261"/>
      <c r="B4261"/>
    </row>
    <row r="4262" spans="1:2" x14ac:dyDescent="0.25">
      <c r="A4262"/>
      <c r="B4262"/>
    </row>
    <row r="4263" spans="1:2" x14ac:dyDescent="0.25">
      <c r="A4263"/>
      <c r="B4263"/>
    </row>
    <row r="4264" spans="1:2" x14ac:dyDescent="0.25">
      <c r="A4264"/>
      <c r="B4264"/>
    </row>
    <row r="4265" spans="1:2" x14ac:dyDescent="0.25">
      <c r="A4265"/>
      <c r="B4265"/>
    </row>
    <row r="4266" spans="1:2" x14ac:dyDescent="0.25">
      <c r="A4266"/>
      <c r="B4266"/>
    </row>
    <row r="4267" spans="1:2" x14ac:dyDescent="0.25">
      <c r="A4267"/>
      <c r="B4267"/>
    </row>
    <row r="4268" spans="1:2" x14ac:dyDescent="0.25">
      <c r="A4268"/>
      <c r="B4268"/>
    </row>
    <row r="4269" spans="1:2" x14ac:dyDescent="0.25">
      <c r="A4269"/>
      <c r="B4269"/>
    </row>
    <row r="4270" spans="1:2" x14ac:dyDescent="0.25">
      <c r="A4270"/>
      <c r="B4270"/>
    </row>
    <row r="4271" spans="1:2" x14ac:dyDescent="0.25">
      <c r="A4271"/>
      <c r="B4271"/>
    </row>
    <row r="4272" spans="1:2" x14ac:dyDescent="0.25">
      <c r="A4272"/>
      <c r="B4272"/>
    </row>
    <row r="4273" spans="1:2" x14ac:dyDescent="0.25">
      <c r="A4273"/>
      <c r="B4273"/>
    </row>
    <row r="4274" spans="1:2" x14ac:dyDescent="0.25">
      <c r="A4274"/>
      <c r="B4274"/>
    </row>
    <row r="4275" spans="1:2" x14ac:dyDescent="0.25">
      <c r="A4275"/>
      <c r="B4275"/>
    </row>
    <row r="4276" spans="1:2" x14ac:dyDescent="0.25">
      <c r="A4276"/>
      <c r="B4276"/>
    </row>
    <row r="4277" spans="1:2" x14ac:dyDescent="0.25">
      <c r="A4277"/>
      <c r="B4277"/>
    </row>
    <row r="4278" spans="1:2" x14ac:dyDescent="0.25">
      <c r="A4278"/>
      <c r="B4278"/>
    </row>
    <row r="4279" spans="1:2" x14ac:dyDescent="0.25">
      <c r="A4279"/>
      <c r="B4279"/>
    </row>
    <row r="4280" spans="1:2" x14ac:dyDescent="0.25">
      <c r="A4280"/>
      <c r="B4280"/>
    </row>
    <row r="4281" spans="1:2" x14ac:dyDescent="0.25">
      <c r="A4281"/>
      <c r="B4281"/>
    </row>
    <row r="4282" spans="1:2" x14ac:dyDescent="0.25">
      <c r="A4282"/>
      <c r="B4282"/>
    </row>
    <row r="4283" spans="1:2" x14ac:dyDescent="0.25">
      <c r="A4283"/>
      <c r="B4283"/>
    </row>
    <row r="4284" spans="1:2" x14ac:dyDescent="0.25">
      <c r="A4284"/>
      <c r="B4284"/>
    </row>
    <row r="4285" spans="1:2" x14ac:dyDescent="0.25">
      <c r="A4285"/>
      <c r="B4285"/>
    </row>
    <row r="4286" spans="1:2" x14ac:dyDescent="0.25">
      <c r="A4286"/>
      <c r="B4286"/>
    </row>
    <row r="4287" spans="1:2" x14ac:dyDescent="0.25">
      <c r="A4287"/>
      <c r="B4287"/>
    </row>
    <row r="4288" spans="1:2" x14ac:dyDescent="0.25">
      <c r="A4288"/>
      <c r="B4288"/>
    </row>
    <row r="4289" spans="1:2" x14ac:dyDescent="0.25">
      <c r="A4289"/>
      <c r="B4289"/>
    </row>
    <row r="4290" spans="1:2" x14ac:dyDescent="0.25">
      <c r="A4290"/>
      <c r="B4290"/>
    </row>
    <row r="4291" spans="1:2" x14ac:dyDescent="0.25">
      <c r="A4291"/>
      <c r="B4291"/>
    </row>
    <row r="4292" spans="1:2" x14ac:dyDescent="0.25">
      <c r="A4292"/>
      <c r="B4292"/>
    </row>
    <row r="4293" spans="1:2" x14ac:dyDescent="0.25">
      <c r="A4293"/>
      <c r="B4293"/>
    </row>
    <row r="4294" spans="1:2" x14ac:dyDescent="0.25">
      <c r="A4294"/>
      <c r="B4294"/>
    </row>
    <row r="4295" spans="1:2" x14ac:dyDescent="0.25">
      <c r="A4295"/>
      <c r="B4295"/>
    </row>
    <row r="4296" spans="1:2" x14ac:dyDescent="0.25">
      <c r="A4296"/>
      <c r="B4296"/>
    </row>
    <row r="4297" spans="1:2" x14ac:dyDescent="0.25">
      <c r="A4297"/>
      <c r="B4297"/>
    </row>
    <row r="4298" spans="1:2" x14ac:dyDescent="0.25">
      <c r="A4298"/>
      <c r="B4298"/>
    </row>
    <row r="4299" spans="1:2" x14ac:dyDescent="0.25">
      <c r="A4299"/>
      <c r="B4299"/>
    </row>
    <row r="4300" spans="1:2" x14ac:dyDescent="0.25">
      <c r="A4300"/>
      <c r="B4300"/>
    </row>
    <row r="4301" spans="1:2" x14ac:dyDescent="0.25">
      <c r="A4301"/>
      <c r="B4301"/>
    </row>
    <row r="4302" spans="1:2" x14ac:dyDescent="0.25">
      <c r="A4302"/>
      <c r="B4302"/>
    </row>
    <row r="4303" spans="1:2" x14ac:dyDescent="0.25">
      <c r="A4303"/>
      <c r="B4303"/>
    </row>
    <row r="4304" spans="1:2" x14ac:dyDescent="0.25">
      <c r="A4304"/>
      <c r="B4304"/>
    </row>
    <row r="4305" spans="1:2" x14ac:dyDescent="0.25">
      <c r="A4305"/>
      <c r="B4305"/>
    </row>
    <row r="4306" spans="1:2" x14ac:dyDescent="0.25">
      <c r="A4306"/>
      <c r="B4306"/>
    </row>
    <row r="4307" spans="1:2" x14ac:dyDescent="0.25">
      <c r="A4307"/>
      <c r="B4307"/>
    </row>
    <row r="4308" spans="1:2" x14ac:dyDescent="0.25">
      <c r="A4308"/>
      <c r="B4308"/>
    </row>
    <row r="4309" spans="1:2" x14ac:dyDescent="0.25">
      <c r="A4309"/>
      <c r="B4309"/>
    </row>
    <row r="4310" spans="1:2" x14ac:dyDescent="0.25">
      <c r="A4310"/>
      <c r="B4310"/>
    </row>
    <row r="4311" spans="1:2" x14ac:dyDescent="0.25">
      <c r="A4311"/>
      <c r="B4311"/>
    </row>
    <row r="4312" spans="1:2" x14ac:dyDescent="0.25">
      <c r="A4312"/>
      <c r="B4312"/>
    </row>
    <row r="4313" spans="1:2" x14ac:dyDescent="0.25">
      <c r="A4313"/>
      <c r="B4313"/>
    </row>
    <row r="4314" spans="1:2" x14ac:dyDescent="0.25">
      <c r="A4314"/>
      <c r="B4314"/>
    </row>
    <row r="4315" spans="1:2" x14ac:dyDescent="0.25">
      <c r="A4315"/>
      <c r="B4315"/>
    </row>
    <row r="4316" spans="1:2" x14ac:dyDescent="0.25">
      <c r="A4316"/>
      <c r="B4316"/>
    </row>
    <row r="4317" spans="1:2" x14ac:dyDescent="0.25">
      <c r="A4317"/>
      <c r="B4317"/>
    </row>
    <row r="4318" spans="1:2" x14ac:dyDescent="0.25">
      <c r="A4318"/>
      <c r="B4318"/>
    </row>
    <row r="4319" spans="1:2" x14ac:dyDescent="0.25">
      <c r="A4319"/>
      <c r="B4319"/>
    </row>
    <row r="4320" spans="1:2" x14ac:dyDescent="0.25">
      <c r="A4320"/>
      <c r="B4320"/>
    </row>
    <row r="4321" spans="1:2" x14ac:dyDescent="0.25">
      <c r="A4321"/>
      <c r="B4321"/>
    </row>
    <row r="4322" spans="1:2" x14ac:dyDescent="0.25">
      <c r="A4322"/>
      <c r="B4322"/>
    </row>
    <row r="4323" spans="1:2" x14ac:dyDescent="0.25">
      <c r="A4323"/>
      <c r="B4323"/>
    </row>
    <row r="4324" spans="1:2" x14ac:dyDescent="0.25">
      <c r="A4324"/>
      <c r="B4324"/>
    </row>
    <row r="4325" spans="1:2" x14ac:dyDescent="0.25">
      <c r="A4325"/>
      <c r="B4325"/>
    </row>
    <row r="4326" spans="1:2" x14ac:dyDescent="0.25">
      <c r="A4326"/>
      <c r="B4326"/>
    </row>
    <row r="4327" spans="1:2" x14ac:dyDescent="0.25">
      <c r="A4327"/>
      <c r="B4327"/>
    </row>
    <row r="4328" spans="1:2" x14ac:dyDescent="0.25">
      <c r="A4328"/>
      <c r="B4328"/>
    </row>
    <row r="4329" spans="1:2" x14ac:dyDescent="0.25">
      <c r="A4329"/>
      <c r="B4329"/>
    </row>
    <row r="4330" spans="1:2" x14ac:dyDescent="0.25">
      <c r="A4330"/>
      <c r="B4330"/>
    </row>
    <row r="4331" spans="1:2" x14ac:dyDescent="0.25">
      <c r="A4331"/>
      <c r="B4331"/>
    </row>
    <row r="4332" spans="1:2" x14ac:dyDescent="0.25">
      <c r="A4332"/>
      <c r="B4332"/>
    </row>
    <row r="4333" spans="1:2" x14ac:dyDescent="0.25">
      <c r="A4333"/>
      <c r="B4333"/>
    </row>
    <row r="4334" spans="1:2" x14ac:dyDescent="0.25">
      <c r="A4334"/>
      <c r="B4334"/>
    </row>
    <row r="4335" spans="1:2" x14ac:dyDescent="0.25">
      <c r="A4335"/>
      <c r="B4335"/>
    </row>
    <row r="4336" spans="1:2" x14ac:dyDescent="0.25">
      <c r="A4336"/>
      <c r="B4336"/>
    </row>
    <row r="4337" spans="1:2" x14ac:dyDescent="0.25">
      <c r="A4337"/>
      <c r="B4337"/>
    </row>
    <row r="4338" spans="1:2" x14ac:dyDescent="0.25">
      <c r="A4338"/>
      <c r="B4338"/>
    </row>
    <row r="4339" spans="1:2" x14ac:dyDescent="0.25">
      <c r="A4339"/>
      <c r="B4339"/>
    </row>
    <row r="4340" spans="1:2" x14ac:dyDescent="0.25">
      <c r="A4340"/>
      <c r="B4340"/>
    </row>
    <row r="4341" spans="1:2" x14ac:dyDescent="0.25">
      <c r="A4341"/>
      <c r="B4341"/>
    </row>
    <row r="4342" spans="1:2" x14ac:dyDescent="0.25">
      <c r="A4342"/>
      <c r="B4342"/>
    </row>
    <row r="4343" spans="1:2" x14ac:dyDescent="0.25">
      <c r="A4343"/>
      <c r="B4343"/>
    </row>
    <row r="4344" spans="1:2" x14ac:dyDescent="0.25">
      <c r="A4344"/>
      <c r="B4344"/>
    </row>
    <row r="4345" spans="1:2" x14ac:dyDescent="0.25">
      <c r="A4345"/>
      <c r="B4345"/>
    </row>
    <row r="4346" spans="1:2" x14ac:dyDescent="0.25">
      <c r="A4346"/>
      <c r="B4346"/>
    </row>
    <row r="4347" spans="1:2" x14ac:dyDescent="0.25">
      <c r="A4347"/>
      <c r="B4347"/>
    </row>
    <row r="4348" spans="1:2" x14ac:dyDescent="0.25">
      <c r="A4348"/>
      <c r="B4348"/>
    </row>
    <row r="4349" spans="1:2" x14ac:dyDescent="0.25">
      <c r="A4349"/>
      <c r="B4349"/>
    </row>
    <row r="4350" spans="1:2" x14ac:dyDescent="0.25">
      <c r="A4350"/>
      <c r="B4350"/>
    </row>
    <row r="4351" spans="1:2" x14ac:dyDescent="0.25">
      <c r="A4351"/>
      <c r="B4351"/>
    </row>
    <row r="4352" spans="1:2" x14ac:dyDescent="0.25">
      <c r="A4352"/>
      <c r="B4352"/>
    </row>
    <row r="4353" spans="1:2" x14ac:dyDescent="0.25">
      <c r="A4353"/>
      <c r="B4353"/>
    </row>
    <row r="4354" spans="1:2" x14ac:dyDescent="0.25">
      <c r="A4354"/>
      <c r="B4354"/>
    </row>
    <row r="4355" spans="1:2" x14ac:dyDescent="0.25">
      <c r="A4355"/>
      <c r="B4355"/>
    </row>
    <row r="4356" spans="1:2" x14ac:dyDescent="0.25">
      <c r="A4356"/>
      <c r="B4356"/>
    </row>
    <row r="4357" spans="1:2" x14ac:dyDescent="0.25">
      <c r="A4357"/>
      <c r="B4357"/>
    </row>
    <row r="4358" spans="1:2" x14ac:dyDescent="0.25">
      <c r="A4358"/>
      <c r="B4358"/>
    </row>
    <row r="4359" spans="1:2" x14ac:dyDescent="0.25">
      <c r="A4359"/>
      <c r="B4359"/>
    </row>
    <row r="4360" spans="1:2" x14ac:dyDescent="0.25">
      <c r="A4360"/>
      <c r="B4360"/>
    </row>
    <row r="4361" spans="1:2" x14ac:dyDescent="0.25">
      <c r="A4361"/>
      <c r="B4361"/>
    </row>
    <row r="4362" spans="1:2" x14ac:dyDescent="0.25">
      <c r="A4362"/>
      <c r="B4362"/>
    </row>
    <row r="4363" spans="1:2" x14ac:dyDescent="0.25">
      <c r="A4363"/>
      <c r="B4363"/>
    </row>
    <row r="4364" spans="1:2" x14ac:dyDescent="0.25">
      <c r="A4364"/>
      <c r="B4364"/>
    </row>
    <row r="4365" spans="1:2" x14ac:dyDescent="0.25">
      <c r="A4365"/>
      <c r="B4365"/>
    </row>
    <row r="4366" spans="1:2" x14ac:dyDescent="0.25">
      <c r="A4366"/>
      <c r="B4366"/>
    </row>
    <row r="4367" spans="1:2" x14ac:dyDescent="0.25">
      <c r="A4367"/>
      <c r="B4367"/>
    </row>
    <row r="4368" spans="1:2" x14ac:dyDescent="0.25">
      <c r="A4368"/>
      <c r="B4368"/>
    </row>
    <row r="4369" spans="1:2" x14ac:dyDescent="0.25">
      <c r="A4369"/>
      <c r="B4369"/>
    </row>
    <row r="4370" spans="1:2" x14ac:dyDescent="0.25">
      <c r="A4370"/>
      <c r="B4370"/>
    </row>
    <row r="4371" spans="1:2" x14ac:dyDescent="0.25">
      <c r="A4371"/>
      <c r="B4371"/>
    </row>
    <row r="4372" spans="1:2" x14ac:dyDescent="0.25">
      <c r="A4372"/>
      <c r="B4372"/>
    </row>
    <row r="4373" spans="1:2" x14ac:dyDescent="0.25">
      <c r="A4373"/>
      <c r="B4373"/>
    </row>
    <row r="4374" spans="1:2" x14ac:dyDescent="0.25">
      <c r="A4374"/>
      <c r="B4374"/>
    </row>
    <row r="4375" spans="1:2" x14ac:dyDescent="0.25">
      <c r="A4375"/>
      <c r="B4375"/>
    </row>
    <row r="4376" spans="1:2" x14ac:dyDescent="0.25">
      <c r="A4376"/>
      <c r="B4376"/>
    </row>
    <row r="4377" spans="1:2" x14ac:dyDescent="0.25">
      <c r="A4377"/>
      <c r="B4377"/>
    </row>
    <row r="4378" spans="1:2" x14ac:dyDescent="0.25">
      <c r="A4378"/>
      <c r="B4378"/>
    </row>
    <row r="4379" spans="1:2" x14ac:dyDescent="0.25">
      <c r="A4379"/>
      <c r="B4379"/>
    </row>
    <row r="4380" spans="1:2" x14ac:dyDescent="0.25">
      <c r="A4380"/>
      <c r="B4380"/>
    </row>
    <row r="4381" spans="1:2" x14ac:dyDescent="0.25">
      <c r="A4381"/>
      <c r="B4381"/>
    </row>
    <row r="4382" spans="1:2" x14ac:dyDescent="0.25">
      <c r="A4382"/>
      <c r="B4382"/>
    </row>
    <row r="4383" spans="1:2" x14ac:dyDescent="0.25">
      <c r="A4383"/>
      <c r="B4383"/>
    </row>
    <row r="4384" spans="1:2" x14ac:dyDescent="0.25">
      <c r="A4384"/>
      <c r="B4384"/>
    </row>
    <row r="4385" spans="1:2" x14ac:dyDescent="0.25">
      <c r="A4385"/>
      <c r="B4385"/>
    </row>
    <row r="4386" spans="1:2" x14ac:dyDescent="0.25">
      <c r="A4386"/>
      <c r="B4386"/>
    </row>
    <row r="4387" spans="1:2" x14ac:dyDescent="0.25">
      <c r="A4387"/>
      <c r="B4387"/>
    </row>
    <row r="4388" spans="1:2" x14ac:dyDescent="0.25">
      <c r="A4388"/>
      <c r="B4388"/>
    </row>
    <row r="4389" spans="1:2" x14ac:dyDescent="0.25">
      <c r="A4389"/>
      <c r="B4389"/>
    </row>
    <row r="4390" spans="1:2" x14ac:dyDescent="0.25">
      <c r="A4390"/>
      <c r="B4390"/>
    </row>
    <row r="4391" spans="1:2" x14ac:dyDescent="0.25">
      <c r="A4391"/>
      <c r="B4391"/>
    </row>
    <row r="4392" spans="1:2" x14ac:dyDescent="0.25">
      <c r="A4392"/>
      <c r="B4392"/>
    </row>
    <row r="4393" spans="1:2" x14ac:dyDescent="0.25">
      <c r="A4393"/>
      <c r="B4393"/>
    </row>
    <row r="4394" spans="1:2" x14ac:dyDescent="0.25">
      <c r="A4394"/>
      <c r="B4394"/>
    </row>
    <row r="4395" spans="1:2" x14ac:dyDescent="0.25">
      <c r="A4395"/>
      <c r="B4395"/>
    </row>
    <row r="4396" spans="1:2" x14ac:dyDescent="0.25">
      <c r="A4396"/>
      <c r="B4396"/>
    </row>
    <row r="4397" spans="1:2" x14ac:dyDescent="0.25">
      <c r="A4397"/>
      <c r="B4397"/>
    </row>
    <row r="4398" spans="1:2" x14ac:dyDescent="0.25">
      <c r="A4398"/>
      <c r="B4398"/>
    </row>
    <row r="4399" spans="1:2" x14ac:dyDescent="0.25">
      <c r="A4399"/>
      <c r="B4399"/>
    </row>
    <row r="4400" spans="1:2" x14ac:dyDescent="0.25">
      <c r="A4400"/>
      <c r="B4400"/>
    </row>
    <row r="4401" spans="1:2" x14ac:dyDescent="0.25">
      <c r="A4401"/>
      <c r="B4401"/>
    </row>
    <row r="4402" spans="1:2" x14ac:dyDescent="0.25">
      <c r="A4402"/>
      <c r="B4402"/>
    </row>
    <row r="4403" spans="1:2" x14ac:dyDescent="0.25">
      <c r="A4403"/>
      <c r="B4403"/>
    </row>
    <row r="4404" spans="1:2" x14ac:dyDescent="0.25">
      <c r="A4404"/>
      <c r="B4404"/>
    </row>
    <row r="4405" spans="1:2" x14ac:dyDescent="0.25">
      <c r="A4405"/>
      <c r="B4405"/>
    </row>
    <row r="4406" spans="1:2" x14ac:dyDescent="0.25">
      <c r="A4406"/>
      <c r="B4406"/>
    </row>
    <row r="4407" spans="1:2" x14ac:dyDescent="0.25">
      <c r="A4407"/>
      <c r="B4407"/>
    </row>
    <row r="4408" spans="1:2" x14ac:dyDescent="0.25">
      <c r="A4408"/>
      <c r="B4408"/>
    </row>
    <row r="4409" spans="1:2" x14ac:dyDescent="0.25">
      <c r="A4409"/>
      <c r="B4409"/>
    </row>
    <row r="4410" spans="1:2" x14ac:dyDescent="0.25">
      <c r="A4410"/>
      <c r="B4410"/>
    </row>
    <row r="4411" spans="1:2" x14ac:dyDescent="0.25">
      <c r="A4411"/>
      <c r="B4411"/>
    </row>
    <row r="4412" spans="1:2" x14ac:dyDescent="0.25">
      <c r="A4412"/>
      <c r="B4412"/>
    </row>
    <row r="4413" spans="1:2" x14ac:dyDescent="0.25">
      <c r="A4413"/>
      <c r="B4413"/>
    </row>
    <row r="4414" spans="1:2" x14ac:dyDescent="0.25">
      <c r="A4414"/>
      <c r="B4414"/>
    </row>
    <row r="4415" spans="1:2" x14ac:dyDescent="0.25">
      <c r="A4415"/>
      <c r="B4415"/>
    </row>
    <row r="4416" spans="1:2" x14ac:dyDescent="0.25">
      <c r="A4416"/>
      <c r="B4416"/>
    </row>
    <row r="4417" spans="1:2" x14ac:dyDescent="0.25">
      <c r="A4417"/>
      <c r="B4417"/>
    </row>
    <row r="4418" spans="1:2" x14ac:dyDescent="0.25">
      <c r="A4418"/>
      <c r="B4418"/>
    </row>
    <row r="4419" spans="1:2" x14ac:dyDescent="0.25">
      <c r="A4419"/>
      <c r="B4419"/>
    </row>
    <row r="4420" spans="1:2" x14ac:dyDescent="0.25">
      <c r="A4420"/>
      <c r="B4420"/>
    </row>
    <row r="4421" spans="1:2" x14ac:dyDescent="0.25">
      <c r="A4421"/>
      <c r="B4421"/>
    </row>
    <row r="4422" spans="1:2" x14ac:dyDescent="0.25">
      <c r="A4422"/>
      <c r="B4422"/>
    </row>
    <row r="4423" spans="1:2" x14ac:dyDescent="0.25">
      <c r="A4423"/>
      <c r="B4423"/>
    </row>
    <row r="4424" spans="1:2" x14ac:dyDescent="0.25">
      <c r="A4424"/>
      <c r="B4424"/>
    </row>
    <row r="4425" spans="1:2" x14ac:dyDescent="0.25">
      <c r="A4425"/>
      <c r="B4425"/>
    </row>
    <row r="4426" spans="1:2" x14ac:dyDescent="0.25">
      <c r="A4426"/>
      <c r="B4426"/>
    </row>
    <row r="4427" spans="1:2" x14ac:dyDescent="0.25">
      <c r="A4427"/>
      <c r="B4427"/>
    </row>
    <row r="4428" spans="1:2" x14ac:dyDescent="0.25">
      <c r="A4428"/>
      <c r="B4428"/>
    </row>
    <row r="4429" spans="1:2" x14ac:dyDescent="0.25">
      <c r="A4429"/>
      <c r="B4429"/>
    </row>
    <row r="4430" spans="1:2" x14ac:dyDescent="0.25">
      <c r="A4430"/>
      <c r="B4430"/>
    </row>
    <row r="4431" spans="1:2" x14ac:dyDescent="0.25">
      <c r="A4431"/>
      <c r="B4431"/>
    </row>
    <row r="4432" spans="1:2" x14ac:dyDescent="0.25">
      <c r="A4432"/>
      <c r="B4432"/>
    </row>
    <row r="4433" spans="1:2" x14ac:dyDescent="0.25">
      <c r="A4433"/>
      <c r="B4433"/>
    </row>
    <row r="4434" spans="1:2" x14ac:dyDescent="0.25">
      <c r="A4434"/>
      <c r="B4434"/>
    </row>
    <row r="4435" spans="1:2" x14ac:dyDescent="0.25">
      <c r="A4435"/>
      <c r="B4435"/>
    </row>
    <row r="4436" spans="1:2" x14ac:dyDescent="0.25">
      <c r="A4436"/>
      <c r="B4436"/>
    </row>
    <row r="4437" spans="1:2" x14ac:dyDescent="0.25">
      <c r="A4437"/>
      <c r="B4437"/>
    </row>
    <row r="4438" spans="1:2" x14ac:dyDescent="0.25">
      <c r="A4438"/>
      <c r="B4438"/>
    </row>
    <row r="4439" spans="1:2" x14ac:dyDescent="0.25">
      <c r="A4439"/>
      <c r="B4439"/>
    </row>
    <row r="4440" spans="1:2" x14ac:dyDescent="0.25">
      <c r="A4440"/>
      <c r="B4440"/>
    </row>
    <row r="4441" spans="1:2" x14ac:dyDescent="0.25">
      <c r="A4441"/>
      <c r="B4441"/>
    </row>
    <row r="4442" spans="1:2" x14ac:dyDescent="0.25">
      <c r="A4442"/>
      <c r="B4442"/>
    </row>
    <row r="4443" spans="1:2" x14ac:dyDescent="0.25">
      <c r="A4443"/>
      <c r="B4443"/>
    </row>
    <row r="4444" spans="1:2" x14ac:dyDescent="0.25">
      <c r="A4444"/>
      <c r="B4444"/>
    </row>
    <row r="4445" spans="1:2" x14ac:dyDescent="0.25">
      <c r="A4445"/>
      <c r="B4445"/>
    </row>
    <row r="4446" spans="1:2" x14ac:dyDescent="0.25">
      <c r="A4446"/>
      <c r="B4446"/>
    </row>
    <row r="4447" spans="1:2" x14ac:dyDescent="0.25">
      <c r="A4447"/>
      <c r="B4447"/>
    </row>
    <row r="4448" spans="1:2" x14ac:dyDescent="0.25">
      <c r="A4448"/>
      <c r="B4448"/>
    </row>
    <row r="4449" spans="1:2" x14ac:dyDescent="0.25">
      <c r="A4449"/>
      <c r="B4449"/>
    </row>
    <row r="4450" spans="1:2" x14ac:dyDescent="0.25">
      <c r="A4450"/>
      <c r="B4450"/>
    </row>
    <row r="4451" spans="1:2" x14ac:dyDescent="0.25">
      <c r="A4451"/>
      <c r="B4451"/>
    </row>
    <row r="4452" spans="1:2" x14ac:dyDescent="0.25">
      <c r="A4452"/>
      <c r="B4452"/>
    </row>
    <row r="4453" spans="1:2" x14ac:dyDescent="0.25">
      <c r="A4453"/>
      <c r="B4453"/>
    </row>
    <row r="4454" spans="1:2" x14ac:dyDescent="0.25">
      <c r="A4454"/>
      <c r="B4454"/>
    </row>
    <row r="4455" spans="1:2" x14ac:dyDescent="0.25">
      <c r="A4455"/>
      <c r="B4455"/>
    </row>
    <row r="4456" spans="1:2" x14ac:dyDescent="0.25">
      <c r="A4456"/>
      <c r="B4456"/>
    </row>
    <row r="4457" spans="1:2" x14ac:dyDescent="0.25">
      <c r="A4457"/>
      <c r="B4457"/>
    </row>
    <row r="4458" spans="1:2" x14ac:dyDescent="0.25">
      <c r="A4458"/>
      <c r="B4458"/>
    </row>
    <row r="4459" spans="1:2" x14ac:dyDescent="0.25">
      <c r="A4459"/>
      <c r="B4459"/>
    </row>
    <row r="4460" spans="1:2" x14ac:dyDescent="0.25">
      <c r="A4460"/>
      <c r="B4460"/>
    </row>
    <row r="4461" spans="1:2" x14ac:dyDescent="0.25">
      <c r="A4461"/>
      <c r="B4461"/>
    </row>
    <row r="4462" spans="1:2" x14ac:dyDescent="0.25">
      <c r="A4462"/>
      <c r="B4462"/>
    </row>
    <row r="4463" spans="1:2" x14ac:dyDescent="0.25">
      <c r="A4463"/>
      <c r="B4463"/>
    </row>
    <row r="4464" spans="1:2" x14ac:dyDescent="0.25">
      <c r="A4464"/>
      <c r="B4464"/>
    </row>
    <row r="4465" spans="1:2" x14ac:dyDescent="0.25">
      <c r="A4465"/>
      <c r="B4465"/>
    </row>
    <row r="4466" spans="1:2" x14ac:dyDescent="0.25">
      <c r="A4466"/>
      <c r="B4466"/>
    </row>
    <row r="4467" spans="1:2" x14ac:dyDescent="0.25">
      <c r="A4467"/>
      <c r="B4467"/>
    </row>
    <row r="4468" spans="1:2" x14ac:dyDescent="0.25">
      <c r="A4468"/>
      <c r="B4468"/>
    </row>
    <row r="4469" spans="1:2" x14ac:dyDescent="0.25">
      <c r="A4469"/>
      <c r="B4469"/>
    </row>
    <row r="4470" spans="1:2" x14ac:dyDescent="0.25">
      <c r="A4470"/>
      <c r="B4470"/>
    </row>
    <row r="4471" spans="1:2" x14ac:dyDescent="0.25">
      <c r="A4471"/>
      <c r="B4471"/>
    </row>
    <row r="4472" spans="1:2" x14ac:dyDescent="0.25">
      <c r="A4472"/>
      <c r="B4472"/>
    </row>
    <row r="4473" spans="1:2" x14ac:dyDescent="0.25">
      <c r="A4473"/>
      <c r="B4473"/>
    </row>
    <row r="4474" spans="1:2" x14ac:dyDescent="0.25">
      <c r="A4474"/>
      <c r="B4474"/>
    </row>
    <row r="4475" spans="1:2" x14ac:dyDescent="0.25">
      <c r="A4475"/>
      <c r="B4475"/>
    </row>
    <row r="4476" spans="1:2" x14ac:dyDescent="0.25">
      <c r="A4476"/>
      <c r="B4476"/>
    </row>
    <row r="4477" spans="1:2" x14ac:dyDescent="0.25">
      <c r="A4477"/>
      <c r="B4477"/>
    </row>
    <row r="4478" spans="1:2" x14ac:dyDescent="0.25">
      <c r="A4478"/>
      <c r="B4478"/>
    </row>
    <row r="4479" spans="1:2" x14ac:dyDescent="0.25">
      <c r="A4479"/>
      <c r="B4479"/>
    </row>
    <row r="4480" spans="1:2" x14ac:dyDescent="0.25">
      <c r="A4480"/>
      <c r="B4480"/>
    </row>
    <row r="4481" spans="1:2" x14ac:dyDescent="0.25">
      <c r="A4481"/>
      <c r="B4481"/>
    </row>
    <row r="4482" spans="1:2" x14ac:dyDescent="0.25">
      <c r="A4482"/>
      <c r="B4482"/>
    </row>
    <row r="4483" spans="1:2" x14ac:dyDescent="0.25">
      <c r="A4483"/>
      <c r="B4483"/>
    </row>
    <row r="4484" spans="1:2" x14ac:dyDescent="0.25">
      <c r="A4484"/>
      <c r="B4484"/>
    </row>
    <row r="4485" spans="1:2" x14ac:dyDescent="0.25">
      <c r="A4485"/>
      <c r="B4485"/>
    </row>
    <row r="4486" spans="1:2" x14ac:dyDescent="0.25">
      <c r="A4486"/>
      <c r="B4486"/>
    </row>
    <row r="4487" spans="1:2" x14ac:dyDescent="0.25">
      <c r="A4487"/>
      <c r="B4487"/>
    </row>
    <row r="4488" spans="1:2" x14ac:dyDescent="0.25">
      <c r="A4488"/>
      <c r="B4488"/>
    </row>
    <row r="4489" spans="1:2" x14ac:dyDescent="0.25">
      <c r="A4489"/>
      <c r="B4489"/>
    </row>
    <row r="4490" spans="1:2" x14ac:dyDescent="0.25">
      <c r="A4490"/>
      <c r="B4490"/>
    </row>
    <row r="4491" spans="1:2" x14ac:dyDescent="0.25">
      <c r="A4491"/>
      <c r="B4491"/>
    </row>
    <row r="4492" spans="1:2" x14ac:dyDescent="0.25">
      <c r="A4492"/>
      <c r="B4492"/>
    </row>
    <row r="4493" spans="1:2" x14ac:dyDescent="0.25">
      <c r="A4493"/>
      <c r="B4493"/>
    </row>
    <row r="4494" spans="1:2" x14ac:dyDescent="0.25">
      <c r="A4494"/>
      <c r="B4494"/>
    </row>
    <row r="4495" spans="1:2" x14ac:dyDescent="0.25">
      <c r="A4495"/>
      <c r="B4495"/>
    </row>
    <row r="4496" spans="1:2" x14ac:dyDescent="0.25">
      <c r="A4496"/>
      <c r="B4496"/>
    </row>
    <row r="4497" spans="1:2" x14ac:dyDescent="0.25">
      <c r="A4497"/>
      <c r="B4497"/>
    </row>
    <row r="4498" spans="1:2" x14ac:dyDescent="0.25">
      <c r="A4498"/>
      <c r="B4498"/>
    </row>
    <row r="4499" spans="1:2" x14ac:dyDescent="0.25">
      <c r="A4499"/>
      <c r="B4499"/>
    </row>
    <row r="4500" spans="1:2" x14ac:dyDescent="0.25">
      <c r="A4500"/>
      <c r="B4500"/>
    </row>
    <row r="4501" spans="1:2" x14ac:dyDescent="0.25">
      <c r="A4501"/>
      <c r="B4501"/>
    </row>
    <row r="4502" spans="1:2" x14ac:dyDescent="0.25">
      <c r="A4502"/>
      <c r="B4502"/>
    </row>
    <row r="4503" spans="1:2" x14ac:dyDescent="0.25">
      <c r="A4503"/>
      <c r="B4503"/>
    </row>
    <row r="4504" spans="1:2" x14ac:dyDescent="0.25">
      <c r="A4504"/>
      <c r="B4504"/>
    </row>
    <row r="4505" spans="1:2" x14ac:dyDescent="0.25">
      <c r="A4505"/>
      <c r="B4505"/>
    </row>
    <row r="4506" spans="1:2" x14ac:dyDescent="0.25">
      <c r="A4506"/>
      <c r="B4506"/>
    </row>
    <row r="4507" spans="1:2" x14ac:dyDescent="0.25">
      <c r="A4507"/>
      <c r="B4507"/>
    </row>
    <row r="4508" spans="1:2" x14ac:dyDescent="0.25">
      <c r="A4508"/>
      <c r="B4508"/>
    </row>
    <row r="4509" spans="1:2" x14ac:dyDescent="0.25">
      <c r="A4509"/>
      <c r="B4509"/>
    </row>
    <row r="4510" spans="1:2" x14ac:dyDescent="0.25">
      <c r="A4510"/>
      <c r="B4510"/>
    </row>
    <row r="4511" spans="1:2" x14ac:dyDescent="0.25">
      <c r="A4511"/>
      <c r="B4511"/>
    </row>
    <row r="4512" spans="1:2" x14ac:dyDescent="0.25">
      <c r="A4512"/>
      <c r="B4512"/>
    </row>
    <row r="4513" spans="1:2" x14ac:dyDescent="0.25">
      <c r="A4513"/>
      <c r="B4513"/>
    </row>
    <row r="4514" spans="1:2" x14ac:dyDescent="0.25">
      <c r="A4514"/>
      <c r="B4514"/>
    </row>
    <row r="4515" spans="1:2" x14ac:dyDescent="0.25">
      <c r="A4515"/>
      <c r="B4515"/>
    </row>
    <row r="4516" spans="1:2" x14ac:dyDescent="0.25">
      <c r="A4516"/>
      <c r="B4516"/>
    </row>
    <row r="4517" spans="1:2" x14ac:dyDescent="0.25">
      <c r="A4517"/>
      <c r="B4517"/>
    </row>
    <row r="4518" spans="1:2" x14ac:dyDescent="0.25">
      <c r="A4518"/>
      <c r="B4518"/>
    </row>
    <row r="4519" spans="1:2" x14ac:dyDescent="0.25">
      <c r="A4519"/>
      <c r="B4519"/>
    </row>
    <row r="4520" spans="1:2" x14ac:dyDescent="0.25">
      <c r="A4520"/>
      <c r="B4520"/>
    </row>
    <row r="4521" spans="1:2" x14ac:dyDescent="0.25">
      <c r="A4521"/>
      <c r="B4521"/>
    </row>
    <row r="4522" spans="1:2" x14ac:dyDescent="0.25">
      <c r="A4522"/>
      <c r="B4522"/>
    </row>
    <row r="4523" spans="1:2" x14ac:dyDescent="0.25">
      <c r="A4523"/>
      <c r="B4523"/>
    </row>
    <row r="4524" spans="1:2" x14ac:dyDescent="0.25">
      <c r="A4524"/>
      <c r="B4524"/>
    </row>
    <row r="4525" spans="1:2" x14ac:dyDescent="0.25">
      <c r="A4525"/>
      <c r="B4525"/>
    </row>
    <row r="4526" spans="1:2" x14ac:dyDescent="0.25">
      <c r="A4526"/>
      <c r="B4526"/>
    </row>
    <row r="4527" spans="1:2" x14ac:dyDescent="0.25">
      <c r="A4527"/>
      <c r="B4527"/>
    </row>
    <row r="4528" spans="1:2" x14ac:dyDescent="0.25">
      <c r="A4528"/>
      <c r="B4528"/>
    </row>
    <row r="4529" spans="1:2" x14ac:dyDescent="0.25">
      <c r="A4529"/>
      <c r="B4529"/>
    </row>
    <row r="4530" spans="1:2" x14ac:dyDescent="0.25">
      <c r="A4530"/>
      <c r="B4530"/>
    </row>
    <row r="4531" spans="1:2" x14ac:dyDescent="0.25">
      <c r="A4531"/>
      <c r="B4531"/>
    </row>
    <row r="4532" spans="1:2" x14ac:dyDescent="0.25">
      <c r="A4532"/>
      <c r="B4532"/>
    </row>
    <row r="4533" spans="1:2" x14ac:dyDescent="0.25">
      <c r="A4533"/>
      <c r="B4533"/>
    </row>
    <row r="4534" spans="1:2" x14ac:dyDescent="0.25">
      <c r="A4534"/>
      <c r="B4534"/>
    </row>
    <row r="4535" spans="1:2" x14ac:dyDescent="0.25">
      <c r="A4535"/>
      <c r="B4535"/>
    </row>
    <row r="4536" spans="1:2" x14ac:dyDescent="0.25">
      <c r="A4536"/>
      <c r="B4536"/>
    </row>
    <row r="4537" spans="1:2" x14ac:dyDescent="0.25">
      <c r="A4537"/>
      <c r="B4537"/>
    </row>
    <row r="4538" spans="1:2" x14ac:dyDescent="0.25">
      <c r="A4538"/>
      <c r="B4538"/>
    </row>
    <row r="4539" spans="1:2" x14ac:dyDescent="0.25">
      <c r="A4539"/>
      <c r="B4539"/>
    </row>
    <row r="4540" spans="1:2" x14ac:dyDescent="0.25">
      <c r="A4540"/>
      <c r="B4540"/>
    </row>
    <row r="4541" spans="1:2" x14ac:dyDescent="0.25">
      <c r="A4541"/>
      <c r="B4541"/>
    </row>
    <row r="4542" spans="1:2" x14ac:dyDescent="0.25">
      <c r="A4542"/>
      <c r="B4542"/>
    </row>
    <row r="4543" spans="1:2" x14ac:dyDescent="0.25">
      <c r="A4543"/>
      <c r="B4543"/>
    </row>
    <row r="4544" spans="1:2" x14ac:dyDescent="0.25">
      <c r="A4544"/>
      <c r="B4544"/>
    </row>
    <row r="4545" spans="1:2" x14ac:dyDescent="0.25">
      <c r="A4545"/>
      <c r="B4545"/>
    </row>
    <row r="4546" spans="1:2" x14ac:dyDescent="0.25">
      <c r="A4546"/>
      <c r="B4546"/>
    </row>
    <row r="4547" spans="1:2" x14ac:dyDescent="0.25">
      <c r="A4547"/>
      <c r="B4547"/>
    </row>
    <row r="4548" spans="1:2" x14ac:dyDescent="0.25">
      <c r="A4548"/>
      <c r="B4548"/>
    </row>
    <row r="4549" spans="1:2" x14ac:dyDescent="0.25">
      <c r="A4549"/>
      <c r="B4549"/>
    </row>
    <row r="4550" spans="1:2" x14ac:dyDescent="0.25">
      <c r="A4550"/>
      <c r="B4550"/>
    </row>
    <row r="4551" spans="1:2" x14ac:dyDescent="0.25">
      <c r="A4551"/>
      <c r="B4551"/>
    </row>
    <row r="4552" spans="1:2" x14ac:dyDescent="0.25">
      <c r="A4552"/>
      <c r="B4552"/>
    </row>
    <row r="4553" spans="1:2" x14ac:dyDescent="0.25">
      <c r="A4553"/>
      <c r="B4553"/>
    </row>
    <row r="4554" spans="1:2" x14ac:dyDescent="0.25">
      <c r="A4554"/>
      <c r="B4554"/>
    </row>
    <row r="4555" spans="1:2" x14ac:dyDescent="0.25">
      <c r="A4555"/>
      <c r="B4555"/>
    </row>
    <row r="4556" spans="1:2" x14ac:dyDescent="0.25">
      <c r="A4556"/>
      <c r="B4556"/>
    </row>
    <row r="4557" spans="1:2" x14ac:dyDescent="0.25">
      <c r="A4557"/>
      <c r="B4557"/>
    </row>
    <row r="4558" spans="1:2" x14ac:dyDescent="0.25">
      <c r="A4558"/>
      <c r="B4558"/>
    </row>
    <row r="4559" spans="1:2" x14ac:dyDescent="0.25">
      <c r="A4559"/>
      <c r="B4559"/>
    </row>
    <row r="4560" spans="1:2" x14ac:dyDescent="0.25">
      <c r="A4560"/>
      <c r="B4560"/>
    </row>
    <row r="4561" spans="1:2" x14ac:dyDescent="0.25">
      <c r="A4561"/>
      <c r="B4561"/>
    </row>
    <row r="4562" spans="1:2" x14ac:dyDescent="0.25">
      <c r="A4562"/>
      <c r="B4562"/>
    </row>
    <row r="4563" spans="1:2" x14ac:dyDescent="0.25">
      <c r="A4563"/>
      <c r="B4563"/>
    </row>
    <row r="4564" spans="1:2" x14ac:dyDescent="0.25">
      <c r="A4564"/>
      <c r="B4564"/>
    </row>
    <row r="4565" spans="1:2" x14ac:dyDescent="0.25">
      <c r="A4565"/>
      <c r="B4565"/>
    </row>
    <row r="4566" spans="1:2" x14ac:dyDescent="0.25">
      <c r="A4566"/>
      <c r="B4566"/>
    </row>
    <row r="4567" spans="1:2" x14ac:dyDescent="0.25">
      <c r="A4567"/>
      <c r="B4567"/>
    </row>
    <row r="4568" spans="1:2" x14ac:dyDescent="0.25">
      <c r="A4568"/>
      <c r="B4568"/>
    </row>
    <row r="4569" spans="1:2" x14ac:dyDescent="0.25">
      <c r="A4569"/>
      <c r="B4569"/>
    </row>
    <row r="4570" spans="1:2" x14ac:dyDescent="0.25">
      <c r="A4570"/>
      <c r="B4570"/>
    </row>
    <row r="4571" spans="1:2" x14ac:dyDescent="0.25">
      <c r="A4571"/>
      <c r="B4571"/>
    </row>
    <row r="4572" spans="1:2" x14ac:dyDescent="0.25">
      <c r="A4572"/>
      <c r="B4572"/>
    </row>
    <row r="4573" spans="1:2" x14ac:dyDescent="0.25">
      <c r="A4573"/>
      <c r="B4573"/>
    </row>
    <row r="4574" spans="1:2" x14ac:dyDescent="0.25">
      <c r="A4574"/>
      <c r="B4574"/>
    </row>
    <row r="4575" spans="1:2" x14ac:dyDescent="0.25">
      <c r="A4575"/>
      <c r="B4575"/>
    </row>
    <row r="4576" spans="1:2" x14ac:dyDescent="0.25">
      <c r="A4576"/>
      <c r="B4576"/>
    </row>
    <row r="4577" spans="1:2" x14ac:dyDescent="0.25">
      <c r="A4577"/>
      <c r="B4577"/>
    </row>
    <row r="4578" spans="1:2" x14ac:dyDescent="0.25">
      <c r="A4578"/>
      <c r="B4578"/>
    </row>
    <row r="4579" spans="1:2" x14ac:dyDescent="0.25">
      <c r="A4579"/>
      <c r="B4579"/>
    </row>
    <row r="4580" spans="1:2" x14ac:dyDescent="0.25">
      <c r="A4580"/>
      <c r="B4580"/>
    </row>
    <row r="4581" spans="1:2" x14ac:dyDescent="0.25">
      <c r="A4581"/>
      <c r="B4581"/>
    </row>
    <row r="4582" spans="1:2" x14ac:dyDescent="0.25">
      <c r="A4582"/>
      <c r="B4582"/>
    </row>
    <row r="4583" spans="1:2" x14ac:dyDescent="0.25">
      <c r="A4583"/>
      <c r="B4583"/>
    </row>
    <row r="4584" spans="1:2" x14ac:dyDescent="0.25">
      <c r="A4584"/>
      <c r="B4584"/>
    </row>
    <row r="4585" spans="1:2" x14ac:dyDescent="0.25">
      <c r="A4585"/>
      <c r="B4585"/>
    </row>
    <row r="4586" spans="1:2" x14ac:dyDescent="0.25">
      <c r="A4586"/>
      <c r="B4586"/>
    </row>
    <row r="4587" spans="1:2" x14ac:dyDescent="0.25">
      <c r="A4587"/>
      <c r="B4587"/>
    </row>
    <row r="4588" spans="1:2" x14ac:dyDescent="0.25">
      <c r="A4588"/>
      <c r="B4588"/>
    </row>
    <row r="4589" spans="1:2" x14ac:dyDescent="0.25">
      <c r="A4589"/>
      <c r="B4589"/>
    </row>
    <row r="4590" spans="1:2" x14ac:dyDescent="0.25">
      <c r="A4590"/>
      <c r="B4590"/>
    </row>
    <row r="4591" spans="1:2" x14ac:dyDescent="0.25">
      <c r="A4591"/>
      <c r="B4591"/>
    </row>
    <row r="4592" spans="1:2" x14ac:dyDescent="0.25">
      <c r="A4592"/>
      <c r="B4592"/>
    </row>
    <row r="4593" spans="1:2" x14ac:dyDescent="0.25">
      <c r="A4593"/>
      <c r="B4593"/>
    </row>
    <row r="4594" spans="1:2" x14ac:dyDescent="0.25">
      <c r="A4594"/>
      <c r="B4594"/>
    </row>
    <row r="4595" spans="1:2" x14ac:dyDescent="0.25">
      <c r="A4595"/>
      <c r="B4595"/>
    </row>
    <row r="4596" spans="1:2" x14ac:dyDescent="0.25">
      <c r="A4596"/>
      <c r="B4596"/>
    </row>
    <row r="4597" spans="1:2" x14ac:dyDescent="0.25">
      <c r="A4597"/>
      <c r="B4597"/>
    </row>
    <row r="4598" spans="1:2" x14ac:dyDescent="0.25">
      <c r="A4598"/>
      <c r="B4598"/>
    </row>
    <row r="4599" spans="1:2" x14ac:dyDescent="0.25">
      <c r="A4599"/>
      <c r="B4599"/>
    </row>
    <row r="4600" spans="1:2" x14ac:dyDescent="0.25">
      <c r="A4600"/>
      <c r="B4600"/>
    </row>
    <row r="4601" spans="1:2" x14ac:dyDescent="0.25">
      <c r="A4601"/>
      <c r="B4601"/>
    </row>
    <row r="4602" spans="1:2" x14ac:dyDescent="0.25">
      <c r="A4602"/>
      <c r="B4602"/>
    </row>
    <row r="4603" spans="1:2" x14ac:dyDescent="0.25">
      <c r="A4603"/>
      <c r="B4603"/>
    </row>
    <row r="4604" spans="1:2" x14ac:dyDescent="0.25">
      <c r="A4604"/>
      <c r="B4604"/>
    </row>
    <row r="4605" spans="1:2" x14ac:dyDescent="0.25">
      <c r="A4605"/>
      <c r="B4605"/>
    </row>
    <row r="4606" spans="1:2" x14ac:dyDescent="0.25">
      <c r="A4606"/>
      <c r="B4606"/>
    </row>
    <row r="4607" spans="1:2" x14ac:dyDescent="0.25">
      <c r="A4607"/>
      <c r="B4607"/>
    </row>
    <row r="4608" spans="1:2" x14ac:dyDescent="0.25">
      <c r="A4608"/>
      <c r="B4608"/>
    </row>
    <row r="4609" spans="1:2" x14ac:dyDescent="0.25">
      <c r="A4609"/>
      <c r="B4609"/>
    </row>
    <row r="4610" spans="1:2" x14ac:dyDescent="0.25">
      <c r="A4610"/>
      <c r="B4610"/>
    </row>
    <row r="4611" spans="1:2" x14ac:dyDescent="0.25">
      <c r="A4611"/>
      <c r="B4611"/>
    </row>
    <row r="4612" spans="1:2" x14ac:dyDescent="0.25">
      <c r="A4612"/>
      <c r="B4612"/>
    </row>
    <row r="4613" spans="1:2" x14ac:dyDescent="0.25">
      <c r="A4613"/>
      <c r="B4613"/>
    </row>
    <row r="4614" spans="1:2" x14ac:dyDescent="0.25">
      <c r="A4614"/>
      <c r="B4614"/>
    </row>
    <row r="4615" spans="1:2" x14ac:dyDescent="0.25">
      <c r="A4615"/>
      <c r="B4615"/>
    </row>
    <row r="4616" spans="1:2" x14ac:dyDescent="0.25">
      <c r="A4616"/>
      <c r="B4616"/>
    </row>
    <row r="4617" spans="1:2" x14ac:dyDescent="0.25">
      <c r="A4617"/>
      <c r="B4617"/>
    </row>
    <row r="4618" spans="1:2" x14ac:dyDescent="0.25">
      <c r="A4618"/>
      <c r="B4618"/>
    </row>
    <row r="4619" spans="1:2" x14ac:dyDescent="0.25">
      <c r="A4619"/>
      <c r="B4619"/>
    </row>
    <row r="4620" spans="1:2" x14ac:dyDescent="0.25">
      <c r="A4620"/>
      <c r="B4620"/>
    </row>
    <row r="4621" spans="1:2" x14ac:dyDescent="0.25">
      <c r="A4621"/>
      <c r="B4621"/>
    </row>
    <row r="4622" spans="1:2" x14ac:dyDescent="0.25">
      <c r="A4622"/>
      <c r="B4622"/>
    </row>
    <row r="4623" spans="1:2" x14ac:dyDescent="0.25">
      <c r="A4623"/>
      <c r="B4623"/>
    </row>
    <row r="4624" spans="1:2" x14ac:dyDescent="0.25">
      <c r="A4624"/>
      <c r="B4624"/>
    </row>
    <row r="4625" spans="1:2" x14ac:dyDescent="0.25">
      <c r="A4625"/>
      <c r="B4625"/>
    </row>
    <row r="4626" spans="1:2" x14ac:dyDescent="0.25">
      <c r="A4626"/>
      <c r="B4626"/>
    </row>
    <row r="4627" spans="1:2" x14ac:dyDescent="0.25">
      <c r="A4627"/>
      <c r="B4627"/>
    </row>
    <row r="4628" spans="1:2" x14ac:dyDescent="0.25">
      <c r="A4628"/>
      <c r="B4628"/>
    </row>
    <row r="4629" spans="1:2" x14ac:dyDescent="0.25">
      <c r="A4629"/>
      <c r="B4629"/>
    </row>
    <row r="4630" spans="1:2" x14ac:dyDescent="0.25">
      <c r="A4630"/>
      <c r="B4630"/>
    </row>
    <row r="4631" spans="1:2" x14ac:dyDescent="0.25">
      <c r="A4631"/>
      <c r="B4631"/>
    </row>
    <row r="4632" spans="1:2" x14ac:dyDescent="0.25">
      <c r="A4632"/>
      <c r="B4632"/>
    </row>
    <row r="4633" spans="1:2" x14ac:dyDescent="0.25">
      <c r="A4633"/>
      <c r="B4633"/>
    </row>
    <row r="4634" spans="1:2" x14ac:dyDescent="0.25">
      <c r="A4634"/>
      <c r="B4634"/>
    </row>
    <row r="4635" spans="1:2" x14ac:dyDescent="0.25">
      <c r="A4635"/>
      <c r="B4635"/>
    </row>
    <row r="4636" spans="1:2" x14ac:dyDescent="0.25">
      <c r="A4636"/>
      <c r="B4636"/>
    </row>
    <row r="4637" spans="1:2" x14ac:dyDescent="0.25">
      <c r="A4637"/>
      <c r="B4637"/>
    </row>
    <row r="4638" spans="1:2" x14ac:dyDescent="0.25">
      <c r="A4638"/>
      <c r="B4638"/>
    </row>
    <row r="4639" spans="1:2" x14ac:dyDescent="0.25">
      <c r="A4639"/>
      <c r="B4639"/>
    </row>
    <row r="4640" spans="1:2" x14ac:dyDescent="0.25">
      <c r="A4640"/>
      <c r="B4640"/>
    </row>
    <row r="4641" spans="1:2" x14ac:dyDescent="0.25">
      <c r="A4641"/>
      <c r="B4641"/>
    </row>
    <row r="4642" spans="1:2" x14ac:dyDescent="0.25">
      <c r="A4642"/>
      <c r="B4642"/>
    </row>
    <row r="4643" spans="1:2" x14ac:dyDescent="0.25">
      <c r="A4643"/>
      <c r="B4643"/>
    </row>
    <row r="4644" spans="1:2" x14ac:dyDescent="0.25">
      <c r="A4644"/>
      <c r="B4644"/>
    </row>
    <row r="4645" spans="1:2" x14ac:dyDescent="0.25">
      <c r="A4645"/>
      <c r="B4645"/>
    </row>
    <row r="4646" spans="1:2" x14ac:dyDescent="0.25">
      <c r="A4646"/>
      <c r="B4646"/>
    </row>
    <row r="4647" spans="1:2" x14ac:dyDescent="0.25">
      <c r="A4647"/>
      <c r="B4647"/>
    </row>
    <row r="4648" spans="1:2" x14ac:dyDescent="0.25">
      <c r="A4648"/>
      <c r="B4648"/>
    </row>
    <row r="4649" spans="1:2" x14ac:dyDescent="0.25">
      <c r="A4649"/>
      <c r="B4649"/>
    </row>
    <row r="4650" spans="1:2" x14ac:dyDescent="0.25">
      <c r="A4650"/>
      <c r="B4650"/>
    </row>
    <row r="4651" spans="1:2" x14ac:dyDescent="0.25">
      <c r="A4651"/>
      <c r="B4651"/>
    </row>
    <row r="4652" spans="1:2" x14ac:dyDescent="0.25">
      <c r="A4652"/>
      <c r="B4652"/>
    </row>
    <row r="4653" spans="1:2" x14ac:dyDescent="0.25">
      <c r="A4653"/>
      <c r="B4653"/>
    </row>
    <row r="4654" spans="1:2" x14ac:dyDescent="0.25">
      <c r="A4654"/>
      <c r="B4654"/>
    </row>
    <row r="4655" spans="1:2" x14ac:dyDescent="0.25">
      <c r="A4655"/>
      <c r="B4655"/>
    </row>
    <row r="4656" spans="1:2" x14ac:dyDescent="0.25">
      <c r="A4656"/>
      <c r="B4656"/>
    </row>
    <row r="4657" spans="1:2" x14ac:dyDescent="0.25">
      <c r="A4657"/>
      <c r="B4657"/>
    </row>
    <row r="4658" spans="1:2" x14ac:dyDescent="0.25">
      <c r="A4658"/>
      <c r="B4658"/>
    </row>
    <row r="4659" spans="1:2" x14ac:dyDescent="0.25">
      <c r="A4659"/>
      <c r="B4659"/>
    </row>
    <row r="4660" spans="1:2" x14ac:dyDescent="0.25">
      <c r="A4660"/>
      <c r="B4660"/>
    </row>
    <row r="4661" spans="1:2" x14ac:dyDescent="0.25">
      <c r="A4661"/>
      <c r="B4661"/>
    </row>
    <row r="4662" spans="1:2" x14ac:dyDescent="0.25">
      <c r="A4662"/>
      <c r="B4662"/>
    </row>
    <row r="4663" spans="1:2" x14ac:dyDescent="0.25">
      <c r="A4663"/>
      <c r="B4663"/>
    </row>
    <row r="4664" spans="1:2" x14ac:dyDescent="0.25">
      <c r="A4664"/>
      <c r="B4664"/>
    </row>
    <row r="4665" spans="1:2" x14ac:dyDescent="0.25">
      <c r="A4665"/>
      <c r="B4665"/>
    </row>
    <row r="4666" spans="1:2" x14ac:dyDescent="0.25">
      <c r="A4666"/>
      <c r="B4666"/>
    </row>
    <row r="4667" spans="1:2" x14ac:dyDescent="0.25">
      <c r="A4667"/>
      <c r="B4667"/>
    </row>
    <row r="4668" spans="1:2" x14ac:dyDescent="0.25">
      <c r="A4668"/>
      <c r="B4668"/>
    </row>
    <row r="4669" spans="1:2" x14ac:dyDescent="0.25">
      <c r="A4669"/>
      <c r="B4669"/>
    </row>
    <row r="4670" spans="1:2" x14ac:dyDescent="0.25">
      <c r="A4670"/>
      <c r="B4670"/>
    </row>
    <row r="4671" spans="1:2" x14ac:dyDescent="0.25">
      <c r="A4671"/>
      <c r="B4671"/>
    </row>
    <row r="4672" spans="1:2" x14ac:dyDescent="0.25">
      <c r="A4672"/>
      <c r="B4672"/>
    </row>
    <row r="4673" spans="1:2" x14ac:dyDescent="0.25">
      <c r="A4673"/>
      <c r="B4673"/>
    </row>
    <row r="4674" spans="1:2" x14ac:dyDescent="0.25">
      <c r="A4674"/>
      <c r="B4674"/>
    </row>
    <row r="4675" spans="1:2" x14ac:dyDescent="0.25">
      <c r="A4675"/>
      <c r="B4675"/>
    </row>
    <row r="4676" spans="1:2" x14ac:dyDescent="0.25">
      <c r="A4676"/>
      <c r="B4676"/>
    </row>
    <row r="4677" spans="1:2" x14ac:dyDescent="0.25">
      <c r="A4677"/>
      <c r="B4677"/>
    </row>
    <row r="4678" spans="1:2" x14ac:dyDescent="0.25">
      <c r="A4678"/>
      <c r="B4678"/>
    </row>
    <row r="4679" spans="1:2" x14ac:dyDescent="0.25">
      <c r="A4679"/>
      <c r="B4679"/>
    </row>
    <row r="4680" spans="1:2" x14ac:dyDescent="0.25">
      <c r="A4680"/>
      <c r="B4680"/>
    </row>
    <row r="4681" spans="1:2" x14ac:dyDescent="0.25">
      <c r="A4681"/>
      <c r="B4681"/>
    </row>
    <row r="4682" spans="1:2" x14ac:dyDescent="0.25">
      <c r="A4682"/>
      <c r="B4682"/>
    </row>
    <row r="4683" spans="1:2" x14ac:dyDescent="0.25">
      <c r="A4683"/>
      <c r="B4683"/>
    </row>
    <row r="4684" spans="1:2" x14ac:dyDescent="0.25">
      <c r="A4684"/>
      <c r="B4684"/>
    </row>
    <row r="4685" spans="1:2" x14ac:dyDescent="0.25">
      <c r="A4685"/>
      <c r="B4685"/>
    </row>
    <row r="4686" spans="1:2" x14ac:dyDescent="0.25">
      <c r="A4686"/>
      <c r="B4686"/>
    </row>
    <row r="4687" spans="1:2" x14ac:dyDescent="0.25">
      <c r="A4687"/>
      <c r="B4687"/>
    </row>
    <row r="4688" spans="1:2" x14ac:dyDescent="0.25">
      <c r="A4688"/>
      <c r="B4688"/>
    </row>
    <row r="4689" spans="1:2" x14ac:dyDescent="0.25">
      <c r="A4689"/>
      <c r="B4689"/>
    </row>
    <row r="4690" spans="1:2" x14ac:dyDescent="0.25">
      <c r="A4690"/>
      <c r="B4690"/>
    </row>
    <row r="4691" spans="1:2" x14ac:dyDescent="0.25">
      <c r="A4691"/>
      <c r="B4691"/>
    </row>
    <row r="4692" spans="1:2" x14ac:dyDescent="0.25">
      <c r="A4692"/>
      <c r="B4692"/>
    </row>
    <row r="4693" spans="1:2" x14ac:dyDescent="0.25">
      <c r="A4693"/>
      <c r="B4693"/>
    </row>
    <row r="4694" spans="1:2" x14ac:dyDescent="0.25">
      <c r="A4694"/>
      <c r="B4694"/>
    </row>
    <row r="4695" spans="1:2" x14ac:dyDescent="0.25">
      <c r="A4695"/>
      <c r="B4695"/>
    </row>
    <row r="4696" spans="1:2" x14ac:dyDescent="0.25">
      <c r="A4696"/>
      <c r="B4696"/>
    </row>
    <row r="4697" spans="1:2" x14ac:dyDescent="0.25">
      <c r="A4697"/>
      <c r="B4697"/>
    </row>
    <row r="4698" spans="1:2" x14ac:dyDescent="0.25">
      <c r="A4698"/>
      <c r="B4698"/>
    </row>
    <row r="4699" spans="1:2" x14ac:dyDescent="0.25">
      <c r="A4699"/>
      <c r="B4699"/>
    </row>
    <row r="4700" spans="1:2" x14ac:dyDescent="0.25">
      <c r="A4700"/>
      <c r="B4700"/>
    </row>
    <row r="4701" spans="1:2" x14ac:dyDescent="0.25">
      <c r="A4701"/>
      <c r="B4701"/>
    </row>
    <row r="4702" spans="1:2" x14ac:dyDescent="0.25">
      <c r="A4702"/>
      <c r="B4702"/>
    </row>
    <row r="4703" spans="1:2" x14ac:dyDescent="0.25">
      <c r="A4703"/>
      <c r="B4703"/>
    </row>
    <row r="4704" spans="1:2" x14ac:dyDescent="0.25">
      <c r="A4704"/>
      <c r="B4704"/>
    </row>
    <row r="4705" spans="1:2" x14ac:dyDescent="0.25">
      <c r="A4705"/>
      <c r="B4705"/>
    </row>
    <row r="4706" spans="1:2" x14ac:dyDescent="0.25">
      <c r="A4706"/>
      <c r="B4706"/>
    </row>
    <row r="4707" spans="1:2" x14ac:dyDescent="0.25">
      <c r="A4707"/>
      <c r="B4707"/>
    </row>
    <row r="4708" spans="1:2" x14ac:dyDescent="0.25">
      <c r="A4708"/>
      <c r="B4708"/>
    </row>
    <row r="4709" spans="1:2" x14ac:dyDescent="0.25">
      <c r="A4709"/>
      <c r="B4709"/>
    </row>
    <row r="4710" spans="1:2" x14ac:dyDescent="0.25">
      <c r="A4710"/>
      <c r="B4710"/>
    </row>
    <row r="4711" spans="1:2" x14ac:dyDescent="0.25">
      <c r="A4711"/>
      <c r="B4711"/>
    </row>
    <row r="4712" spans="1:2" x14ac:dyDescent="0.25">
      <c r="A4712"/>
      <c r="B4712"/>
    </row>
    <row r="4713" spans="1:2" x14ac:dyDescent="0.25">
      <c r="A4713"/>
      <c r="B4713"/>
    </row>
    <row r="4714" spans="1:2" x14ac:dyDescent="0.25">
      <c r="A4714"/>
      <c r="B4714"/>
    </row>
    <row r="4715" spans="1:2" x14ac:dyDescent="0.25">
      <c r="A4715"/>
      <c r="B4715"/>
    </row>
    <row r="4716" spans="1:2" x14ac:dyDescent="0.25">
      <c r="A4716"/>
      <c r="B4716"/>
    </row>
    <row r="4717" spans="1:2" x14ac:dyDescent="0.25">
      <c r="A4717"/>
      <c r="B4717"/>
    </row>
    <row r="4718" spans="1:2" x14ac:dyDescent="0.25">
      <c r="A4718"/>
      <c r="B4718"/>
    </row>
    <row r="4719" spans="1:2" x14ac:dyDescent="0.25">
      <c r="A4719"/>
      <c r="B4719"/>
    </row>
    <row r="4720" spans="1:2" x14ac:dyDescent="0.25">
      <c r="A4720"/>
      <c r="B4720"/>
    </row>
    <row r="4721" spans="1:2" x14ac:dyDescent="0.25">
      <c r="A4721"/>
      <c r="B4721"/>
    </row>
    <row r="4722" spans="1:2" x14ac:dyDescent="0.25">
      <c r="A4722"/>
      <c r="B4722"/>
    </row>
    <row r="4723" spans="1:2" x14ac:dyDescent="0.25">
      <c r="A4723"/>
      <c r="B4723"/>
    </row>
    <row r="4724" spans="1:2" x14ac:dyDescent="0.25">
      <c r="A4724"/>
      <c r="B4724"/>
    </row>
    <row r="4725" spans="1:2" x14ac:dyDescent="0.25">
      <c r="A4725"/>
      <c r="B4725"/>
    </row>
    <row r="4726" spans="1:2" x14ac:dyDescent="0.25">
      <c r="A4726"/>
      <c r="B4726"/>
    </row>
    <row r="4727" spans="1:2" x14ac:dyDescent="0.25">
      <c r="A4727"/>
      <c r="B4727"/>
    </row>
    <row r="4728" spans="1:2" x14ac:dyDescent="0.25">
      <c r="A4728"/>
      <c r="B4728"/>
    </row>
    <row r="4729" spans="1:2" x14ac:dyDescent="0.25">
      <c r="A4729"/>
      <c r="B4729"/>
    </row>
    <row r="4730" spans="1:2" x14ac:dyDescent="0.25">
      <c r="A4730"/>
      <c r="B4730"/>
    </row>
    <row r="4731" spans="1:2" x14ac:dyDescent="0.25">
      <c r="A4731"/>
      <c r="B4731"/>
    </row>
    <row r="4732" spans="1:2" x14ac:dyDescent="0.25">
      <c r="A4732"/>
      <c r="B4732"/>
    </row>
    <row r="4733" spans="1:2" x14ac:dyDescent="0.25">
      <c r="A4733"/>
      <c r="B4733"/>
    </row>
    <row r="4734" spans="1:2" x14ac:dyDescent="0.25">
      <c r="A4734"/>
      <c r="B4734"/>
    </row>
    <row r="4735" spans="1:2" x14ac:dyDescent="0.25">
      <c r="A4735"/>
      <c r="B4735"/>
    </row>
    <row r="4736" spans="1:2" x14ac:dyDescent="0.25">
      <c r="A4736"/>
      <c r="B4736"/>
    </row>
    <row r="4737" spans="1:2" x14ac:dyDescent="0.25">
      <c r="A4737"/>
      <c r="B4737"/>
    </row>
    <row r="4738" spans="1:2" x14ac:dyDescent="0.25">
      <c r="A4738"/>
      <c r="B4738"/>
    </row>
    <row r="4739" spans="1:2" x14ac:dyDescent="0.25">
      <c r="A4739"/>
      <c r="B4739"/>
    </row>
    <row r="4740" spans="1:2" x14ac:dyDescent="0.25">
      <c r="A4740"/>
      <c r="B4740"/>
    </row>
    <row r="4741" spans="1:2" x14ac:dyDescent="0.25">
      <c r="A4741"/>
      <c r="B4741"/>
    </row>
    <row r="4742" spans="1:2" x14ac:dyDescent="0.25">
      <c r="A4742"/>
      <c r="B4742"/>
    </row>
    <row r="4743" spans="1:2" x14ac:dyDescent="0.25">
      <c r="A4743"/>
      <c r="B4743"/>
    </row>
    <row r="4744" spans="1:2" x14ac:dyDescent="0.25">
      <c r="A4744"/>
      <c r="B4744"/>
    </row>
    <row r="4745" spans="1:2" x14ac:dyDescent="0.25">
      <c r="A4745"/>
      <c r="B4745"/>
    </row>
    <row r="4746" spans="1:2" x14ac:dyDescent="0.25">
      <c r="A4746"/>
      <c r="B4746"/>
    </row>
    <row r="4747" spans="1:2" x14ac:dyDescent="0.25">
      <c r="A4747"/>
      <c r="B4747"/>
    </row>
    <row r="4748" spans="1:2" x14ac:dyDescent="0.25">
      <c r="A4748"/>
      <c r="B4748"/>
    </row>
    <row r="4749" spans="1:2" x14ac:dyDescent="0.25">
      <c r="A4749"/>
      <c r="B4749"/>
    </row>
    <row r="4750" spans="1:2" x14ac:dyDescent="0.25">
      <c r="A4750"/>
      <c r="B4750"/>
    </row>
    <row r="4751" spans="1:2" x14ac:dyDescent="0.25">
      <c r="A4751"/>
      <c r="B4751"/>
    </row>
    <row r="4752" spans="1:2" x14ac:dyDescent="0.25">
      <c r="A4752"/>
      <c r="B4752"/>
    </row>
    <row r="4753" spans="1:2" x14ac:dyDescent="0.25">
      <c r="A4753"/>
      <c r="B4753"/>
    </row>
    <row r="4754" spans="1:2" x14ac:dyDescent="0.25">
      <c r="A4754"/>
      <c r="B4754"/>
    </row>
    <row r="4755" spans="1:2" x14ac:dyDescent="0.25">
      <c r="A4755"/>
      <c r="B4755"/>
    </row>
    <row r="4756" spans="1:2" x14ac:dyDescent="0.25">
      <c r="A4756"/>
      <c r="B4756"/>
    </row>
    <row r="4757" spans="1:2" x14ac:dyDescent="0.25">
      <c r="A4757"/>
      <c r="B4757"/>
    </row>
    <row r="4758" spans="1:2" x14ac:dyDescent="0.25">
      <c r="A4758"/>
      <c r="B4758"/>
    </row>
    <row r="4759" spans="1:2" x14ac:dyDescent="0.25">
      <c r="A4759"/>
      <c r="B4759"/>
    </row>
    <row r="4760" spans="1:2" x14ac:dyDescent="0.25">
      <c r="A4760"/>
      <c r="B4760"/>
    </row>
    <row r="4761" spans="1:2" x14ac:dyDescent="0.25">
      <c r="A4761"/>
      <c r="B4761"/>
    </row>
    <row r="4762" spans="1:2" x14ac:dyDescent="0.25">
      <c r="A4762"/>
      <c r="B4762"/>
    </row>
    <row r="4763" spans="1:2" x14ac:dyDescent="0.25">
      <c r="A4763"/>
      <c r="B4763"/>
    </row>
    <row r="4764" spans="1:2" x14ac:dyDescent="0.25">
      <c r="A4764"/>
      <c r="B4764"/>
    </row>
    <row r="4765" spans="1:2" x14ac:dyDescent="0.25">
      <c r="A4765"/>
      <c r="B4765"/>
    </row>
    <row r="4766" spans="1:2" x14ac:dyDescent="0.25">
      <c r="A4766"/>
      <c r="B4766"/>
    </row>
    <row r="4767" spans="1:2" x14ac:dyDescent="0.25">
      <c r="A4767"/>
      <c r="B4767"/>
    </row>
    <row r="4768" spans="1:2" x14ac:dyDescent="0.25">
      <c r="A4768"/>
      <c r="B4768"/>
    </row>
    <row r="4769" spans="1:2" x14ac:dyDescent="0.25">
      <c r="A4769"/>
      <c r="B4769"/>
    </row>
    <row r="4770" spans="1:2" x14ac:dyDescent="0.25">
      <c r="A4770"/>
      <c r="B4770"/>
    </row>
    <row r="4771" spans="1:2" x14ac:dyDescent="0.25">
      <c r="A4771"/>
      <c r="B4771"/>
    </row>
    <row r="4772" spans="1:2" x14ac:dyDescent="0.25">
      <c r="A4772"/>
      <c r="B4772"/>
    </row>
    <row r="4773" spans="1:2" x14ac:dyDescent="0.25">
      <c r="A4773"/>
      <c r="B4773"/>
    </row>
    <row r="4774" spans="1:2" x14ac:dyDescent="0.25">
      <c r="A4774"/>
      <c r="B4774"/>
    </row>
    <row r="4775" spans="1:2" x14ac:dyDescent="0.25">
      <c r="A4775"/>
      <c r="B4775"/>
    </row>
    <row r="4776" spans="1:2" x14ac:dyDescent="0.25">
      <c r="A4776"/>
      <c r="B4776"/>
    </row>
    <row r="4777" spans="1:2" x14ac:dyDescent="0.25">
      <c r="A4777"/>
      <c r="B4777"/>
    </row>
    <row r="4778" spans="1:2" x14ac:dyDescent="0.25">
      <c r="A4778"/>
      <c r="B4778"/>
    </row>
    <row r="4779" spans="1:2" x14ac:dyDescent="0.25">
      <c r="A4779"/>
      <c r="B4779"/>
    </row>
    <row r="4780" spans="1:2" x14ac:dyDescent="0.25">
      <c r="A4780"/>
      <c r="B4780"/>
    </row>
    <row r="4781" spans="1:2" x14ac:dyDescent="0.25">
      <c r="A4781"/>
      <c r="B4781"/>
    </row>
    <row r="4782" spans="1:2" x14ac:dyDescent="0.25">
      <c r="A4782"/>
      <c r="B4782"/>
    </row>
    <row r="4783" spans="1:2" x14ac:dyDescent="0.25">
      <c r="A4783"/>
      <c r="B4783"/>
    </row>
    <row r="4784" spans="1:2" x14ac:dyDescent="0.25">
      <c r="A4784"/>
      <c r="B4784"/>
    </row>
    <row r="4785" spans="1:2" x14ac:dyDescent="0.25">
      <c r="A4785"/>
      <c r="B4785"/>
    </row>
    <row r="4786" spans="1:2" x14ac:dyDescent="0.25">
      <c r="A4786"/>
      <c r="B4786"/>
    </row>
    <row r="4787" spans="1:2" x14ac:dyDescent="0.25">
      <c r="A4787"/>
      <c r="B4787"/>
    </row>
    <row r="4788" spans="1:2" x14ac:dyDescent="0.25">
      <c r="A4788"/>
      <c r="B4788"/>
    </row>
    <row r="4789" spans="1:2" x14ac:dyDescent="0.25">
      <c r="A4789"/>
      <c r="B4789"/>
    </row>
    <row r="4790" spans="1:2" x14ac:dyDescent="0.25">
      <c r="A4790"/>
      <c r="B4790"/>
    </row>
    <row r="4791" spans="1:2" x14ac:dyDescent="0.25">
      <c r="A4791"/>
      <c r="B4791"/>
    </row>
    <row r="4792" spans="1:2" x14ac:dyDescent="0.25">
      <c r="A4792"/>
      <c r="B4792"/>
    </row>
    <row r="4793" spans="1:2" x14ac:dyDescent="0.25">
      <c r="A4793"/>
      <c r="B4793"/>
    </row>
    <row r="4794" spans="1:2" x14ac:dyDescent="0.25">
      <c r="A4794"/>
      <c r="B4794"/>
    </row>
    <row r="4795" spans="1:2" x14ac:dyDescent="0.25">
      <c r="A4795"/>
      <c r="B4795"/>
    </row>
    <row r="4796" spans="1:2" x14ac:dyDescent="0.25">
      <c r="A4796"/>
      <c r="B4796"/>
    </row>
    <row r="4797" spans="1:2" x14ac:dyDescent="0.25">
      <c r="A4797"/>
      <c r="B4797"/>
    </row>
    <row r="4798" spans="1:2" x14ac:dyDescent="0.25">
      <c r="A4798"/>
      <c r="B4798"/>
    </row>
    <row r="4799" spans="1:2" x14ac:dyDescent="0.25">
      <c r="A4799"/>
      <c r="B4799"/>
    </row>
    <row r="4800" spans="1:2" x14ac:dyDescent="0.25">
      <c r="A4800"/>
      <c r="B4800"/>
    </row>
    <row r="4801" spans="1:2" x14ac:dyDescent="0.25">
      <c r="A4801"/>
      <c r="B4801"/>
    </row>
    <row r="4802" spans="1:2" x14ac:dyDescent="0.25">
      <c r="A4802"/>
      <c r="B4802"/>
    </row>
    <row r="4803" spans="1:2" x14ac:dyDescent="0.25">
      <c r="A4803"/>
      <c r="B4803"/>
    </row>
    <row r="4804" spans="1:2" x14ac:dyDescent="0.25">
      <c r="A4804"/>
      <c r="B4804"/>
    </row>
    <row r="4805" spans="1:2" x14ac:dyDescent="0.25">
      <c r="A4805"/>
      <c r="B4805"/>
    </row>
    <row r="4806" spans="1:2" x14ac:dyDescent="0.25">
      <c r="A4806"/>
      <c r="B4806"/>
    </row>
    <row r="4807" spans="1:2" x14ac:dyDescent="0.25">
      <c r="A4807"/>
      <c r="B4807"/>
    </row>
    <row r="4808" spans="1:2" x14ac:dyDescent="0.25">
      <c r="A4808"/>
      <c r="B4808"/>
    </row>
    <row r="4809" spans="1:2" x14ac:dyDescent="0.25">
      <c r="A4809"/>
      <c r="B4809"/>
    </row>
    <row r="4810" spans="1:2" x14ac:dyDescent="0.25">
      <c r="A4810"/>
      <c r="B4810"/>
    </row>
    <row r="4811" spans="1:2" x14ac:dyDescent="0.25">
      <c r="A4811"/>
      <c r="B4811"/>
    </row>
    <row r="4812" spans="1:2" x14ac:dyDescent="0.25">
      <c r="A4812"/>
      <c r="B4812"/>
    </row>
    <row r="4813" spans="1:2" x14ac:dyDescent="0.25">
      <c r="A4813"/>
      <c r="B4813"/>
    </row>
    <row r="4814" spans="1:2" x14ac:dyDescent="0.25">
      <c r="A4814"/>
      <c r="B4814"/>
    </row>
    <row r="4815" spans="1:2" x14ac:dyDescent="0.25">
      <c r="A4815"/>
      <c r="B4815"/>
    </row>
    <row r="4816" spans="1:2" x14ac:dyDescent="0.25">
      <c r="A4816"/>
      <c r="B4816"/>
    </row>
    <row r="4817" spans="1:2" x14ac:dyDescent="0.25">
      <c r="A4817"/>
      <c r="B4817"/>
    </row>
    <row r="4818" spans="1:2" x14ac:dyDescent="0.25">
      <c r="A4818"/>
      <c r="B4818"/>
    </row>
    <row r="4819" spans="1:2" x14ac:dyDescent="0.25">
      <c r="A4819"/>
      <c r="B4819"/>
    </row>
    <row r="4820" spans="1:2" x14ac:dyDescent="0.25">
      <c r="A4820"/>
      <c r="B4820"/>
    </row>
    <row r="4821" spans="1:2" x14ac:dyDescent="0.25">
      <c r="A4821"/>
      <c r="B4821"/>
    </row>
    <row r="4822" spans="1:2" x14ac:dyDescent="0.25">
      <c r="A4822"/>
      <c r="B4822"/>
    </row>
    <row r="4823" spans="1:2" x14ac:dyDescent="0.25">
      <c r="A4823"/>
      <c r="B4823"/>
    </row>
    <row r="4824" spans="1:2" x14ac:dyDescent="0.25">
      <c r="A4824"/>
      <c r="B4824"/>
    </row>
    <row r="4825" spans="1:2" x14ac:dyDescent="0.25">
      <c r="A4825"/>
      <c r="B4825"/>
    </row>
    <row r="4826" spans="1:2" x14ac:dyDescent="0.25">
      <c r="A4826"/>
      <c r="B4826"/>
    </row>
    <row r="4827" spans="1:2" x14ac:dyDescent="0.25">
      <c r="A4827"/>
      <c r="B4827"/>
    </row>
    <row r="4828" spans="1:2" x14ac:dyDescent="0.25">
      <c r="A4828"/>
      <c r="B4828"/>
    </row>
    <row r="4829" spans="1:2" x14ac:dyDescent="0.25">
      <c r="A4829"/>
      <c r="B4829"/>
    </row>
    <row r="4830" spans="1:2" x14ac:dyDescent="0.25">
      <c r="A4830"/>
      <c r="B4830"/>
    </row>
    <row r="4831" spans="1:2" x14ac:dyDescent="0.25">
      <c r="A4831"/>
      <c r="B4831"/>
    </row>
    <row r="4832" spans="1:2" x14ac:dyDescent="0.25">
      <c r="A4832"/>
      <c r="B4832"/>
    </row>
    <row r="4833" spans="1:2" x14ac:dyDescent="0.25">
      <c r="A4833"/>
      <c r="B4833"/>
    </row>
    <row r="4834" spans="1:2" x14ac:dyDescent="0.25">
      <c r="A4834"/>
      <c r="B4834"/>
    </row>
    <row r="4835" spans="1:2" x14ac:dyDescent="0.25">
      <c r="A4835"/>
      <c r="B4835"/>
    </row>
    <row r="4836" spans="1:2" x14ac:dyDescent="0.25">
      <c r="A4836"/>
      <c r="B4836"/>
    </row>
    <row r="4837" spans="1:2" x14ac:dyDescent="0.25">
      <c r="A4837"/>
      <c r="B4837"/>
    </row>
    <row r="4838" spans="1:2" x14ac:dyDescent="0.25">
      <c r="A4838"/>
      <c r="B4838"/>
    </row>
    <row r="4839" spans="1:2" x14ac:dyDescent="0.25">
      <c r="A4839"/>
      <c r="B4839"/>
    </row>
    <row r="4840" spans="1:2" x14ac:dyDescent="0.25">
      <c r="A4840"/>
      <c r="B4840"/>
    </row>
    <row r="4841" spans="1:2" x14ac:dyDescent="0.25">
      <c r="A4841"/>
      <c r="B4841"/>
    </row>
    <row r="4842" spans="1:2" x14ac:dyDescent="0.25">
      <c r="A4842"/>
      <c r="B4842"/>
    </row>
    <row r="4843" spans="1:2" x14ac:dyDescent="0.25">
      <c r="A4843"/>
      <c r="B4843"/>
    </row>
    <row r="4844" spans="1:2" x14ac:dyDescent="0.25">
      <c r="A4844"/>
      <c r="B4844"/>
    </row>
    <row r="4845" spans="1:2" x14ac:dyDescent="0.25">
      <c r="A4845"/>
      <c r="B4845"/>
    </row>
    <row r="4846" spans="1:2" x14ac:dyDescent="0.25">
      <c r="A4846"/>
      <c r="B4846"/>
    </row>
    <row r="4847" spans="1:2" x14ac:dyDescent="0.25">
      <c r="A4847"/>
      <c r="B4847"/>
    </row>
    <row r="4848" spans="1:2" x14ac:dyDescent="0.25">
      <c r="A4848"/>
      <c r="B4848"/>
    </row>
    <row r="4849" spans="1:2" x14ac:dyDescent="0.25">
      <c r="A4849"/>
      <c r="B4849"/>
    </row>
    <row r="4850" spans="1:2" x14ac:dyDescent="0.25">
      <c r="A4850"/>
      <c r="B4850"/>
    </row>
    <row r="4851" spans="1:2" x14ac:dyDescent="0.25">
      <c r="A4851"/>
      <c r="B4851"/>
    </row>
    <row r="4852" spans="1:2" x14ac:dyDescent="0.25">
      <c r="A4852"/>
      <c r="B4852"/>
    </row>
    <row r="4853" spans="1:2" x14ac:dyDescent="0.25">
      <c r="A4853"/>
      <c r="B4853"/>
    </row>
    <row r="4854" spans="1:2" x14ac:dyDescent="0.25">
      <c r="A4854"/>
      <c r="B4854"/>
    </row>
    <row r="4855" spans="1:2" x14ac:dyDescent="0.25">
      <c r="A4855"/>
      <c r="B4855"/>
    </row>
    <row r="4856" spans="1:2" x14ac:dyDescent="0.25">
      <c r="A4856"/>
      <c r="B4856"/>
    </row>
    <row r="4857" spans="1:2" x14ac:dyDescent="0.25">
      <c r="A4857"/>
      <c r="B4857"/>
    </row>
    <row r="4858" spans="1:2" x14ac:dyDescent="0.25">
      <c r="A4858"/>
      <c r="B4858"/>
    </row>
    <row r="4859" spans="1:2" x14ac:dyDescent="0.25">
      <c r="A4859"/>
      <c r="B4859"/>
    </row>
    <row r="4860" spans="1:2" x14ac:dyDescent="0.25">
      <c r="A4860"/>
      <c r="B4860"/>
    </row>
    <row r="4861" spans="1:2" x14ac:dyDescent="0.25">
      <c r="A4861"/>
      <c r="B4861"/>
    </row>
    <row r="4862" spans="1:2" x14ac:dyDescent="0.25">
      <c r="A4862"/>
      <c r="B4862"/>
    </row>
    <row r="4863" spans="1:2" x14ac:dyDescent="0.25">
      <c r="A4863"/>
      <c r="B4863"/>
    </row>
    <row r="4864" spans="1:2" x14ac:dyDescent="0.25">
      <c r="A4864"/>
      <c r="B4864"/>
    </row>
    <row r="4865" spans="1:2" x14ac:dyDescent="0.25">
      <c r="A4865"/>
      <c r="B4865"/>
    </row>
    <row r="4866" spans="1:2" x14ac:dyDescent="0.25">
      <c r="A4866"/>
      <c r="B4866"/>
    </row>
    <row r="4867" spans="1:2" x14ac:dyDescent="0.25">
      <c r="A4867"/>
      <c r="B4867"/>
    </row>
    <row r="4868" spans="1:2" x14ac:dyDescent="0.25">
      <c r="A4868"/>
      <c r="B4868"/>
    </row>
    <row r="4869" spans="1:2" x14ac:dyDescent="0.25">
      <c r="A4869"/>
      <c r="B4869"/>
    </row>
    <row r="4870" spans="1:2" x14ac:dyDescent="0.25">
      <c r="A4870"/>
      <c r="B4870"/>
    </row>
    <row r="4871" spans="1:2" x14ac:dyDescent="0.25">
      <c r="A4871"/>
      <c r="B4871"/>
    </row>
    <row r="4872" spans="1:2" x14ac:dyDescent="0.25">
      <c r="A4872"/>
      <c r="B4872"/>
    </row>
    <row r="4873" spans="1:2" x14ac:dyDescent="0.25">
      <c r="A4873"/>
      <c r="B4873"/>
    </row>
    <row r="4874" spans="1:2" x14ac:dyDescent="0.25">
      <c r="A4874"/>
      <c r="B4874"/>
    </row>
    <row r="4875" spans="1:2" x14ac:dyDescent="0.25">
      <c r="A4875"/>
      <c r="B4875"/>
    </row>
    <row r="4876" spans="1:2" x14ac:dyDescent="0.25">
      <c r="A4876"/>
      <c r="B4876"/>
    </row>
    <row r="4877" spans="1:2" x14ac:dyDescent="0.25">
      <c r="A4877"/>
      <c r="B4877"/>
    </row>
    <row r="4878" spans="1:2" x14ac:dyDescent="0.25">
      <c r="A4878"/>
      <c r="B4878"/>
    </row>
    <row r="4879" spans="1:2" x14ac:dyDescent="0.25">
      <c r="A4879"/>
      <c r="B4879"/>
    </row>
    <row r="4880" spans="1:2" x14ac:dyDescent="0.25">
      <c r="A4880"/>
      <c r="B4880"/>
    </row>
    <row r="4881" spans="1:2" x14ac:dyDescent="0.25">
      <c r="A4881"/>
      <c r="B4881"/>
    </row>
    <row r="4882" spans="1:2" x14ac:dyDescent="0.25">
      <c r="A4882"/>
      <c r="B4882"/>
    </row>
    <row r="4883" spans="1:2" x14ac:dyDescent="0.25">
      <c r="A4883"/>
      <c r="B4883"/>
    </row>
    <row r="4884" spans="1:2" x14ac:dyDescent="0.25">
      <c r="A4884"/>
      <c r="B4884"/>
    </row>
    <row r="4885" spans="1:2" x14ac:dyDescent="0.25">
      <c r="A4885"/>
      <c r="B4885"/>
    </row>
    <row r="4886" spans="1:2" x14ac:dyDescent="0.25">
      <c r="A4886"/>
      <c r="B4886"/>
    </row>
    <row r="4887" spans="1:2" x14ac:dyDescent="0.25">
      <c r="A4887"/>
      <c r="B4887"/>
    </row>
    <row r="4888" spans="1:2" x14ac:dyDescent="0.25">
      <c r="A4888"/>
      <c r="B4888"/>
    </row>
    <row r="4889" spans="1:2" x14ac:dyDescent="0.25">
      <c r="A4889"/>
      <c r="B4889"/>
    </row>
    <row r="4890" spans="1:2" x14ac:dyDescent="0.25">
      <c r="A4890"/>
      <c r="B4890"/>
    </row>
    <row r="4891" spans="1:2" x14ac:dyDescent="0.25">
      <c r="A4891"/>
      <c r="B4891"/>
    </row>
    <row r="4892" spans="1:2" x14ac:dyDescent="0.25">
      <c r="A4892"/>
      <c r="B4892"/>
    </row>
    <row r="4893" spans="1:2" x14ac:dyDescent="0.25">
      <c r="A4893"/>
      <c r="B4893"/>
    </row>
    <row r="4894" spans="1:2" x14ac:dyDescent="0.25">
      <c r="A4894"/>
      <c r="B4894"/>
    </row>
    <row r="4895" spans="1:2" x14ac:dyDescent="0.25">
      <c r="A4895"/>
      <c r="B4895"/>
    </row>
    <row r="4896" spans="1:2" x14ac:dyDescent="0.25">
      <c r="A4896"/>
      <c r="B4896"/>
    </row>
    <row r="4897" spans="1:2" x14ac:dyDescent="0.25">
      <c r="A4897"/>
      <c r="B4897"/>
    </row>
    <row r="4898" spans="1:2" x14ac:dyDescent="0.25">
      <c r="A4898"/>
      <c r="B4898"/>
    </row>
    <row r="4899" spans="1:2" x14ac:dyDescent="0.25">
      <c r="A4899"/>
      <c r="B4899"/>
    </row>
    <row r="4900" spans="1:2" x14ac:dyDescent="0.25">
      <c r="A4900"/>
      <c r="B4900"/>
    </row>
    <row r="4901" spans="1:2" x14ac:dyDescent="0.25">
      <c r="A4901"/>
      <c r="B4901"/>
    </row>
    <row r="4902" spans="1:2" x14ac:dyDescent="0.25">
      <c r="A4902"/>
      <c r="B4902"/>
    </row>
    <row r="4903" spans="1:2" x14ac:dyDescent="0.25">
      <c r="A4903"/>
      <c r="B4903"/>
    </row>
    <row r="4904" spans="1:2" x14ac:dyDescent="0.25">
      <c r="A4904"/>
      <c r="B4904"/>
    </row>
    <row r="4905" spans="1:2" x14ac:dyDescent="0.25">
      <c r="A4905"/>
      <c r="B4905"/>
    </row>
    <row r="4906" spans="1:2" x14ac:dyDescent="0.25">
      <c r="A4906"/>
      <c r="B4906"/>
    </row>
    <row r="4907" spans="1:2" x14ac:dyDescent="0.25">
      <c r="A4907"/>
      <c r="B4907"/>
    </row>
    <row r="4908" spans="1:2" x14ac:dyDescent="0.25">
      <c r="A4908"/>
      <c r="B4908"/>
    </row>
    <row r="4909" spans="1:2" x14ac:dyDescent="0.25">
      <c r="A4909"/>
      <c r="B4909"/>
    </row>
    <row r="4910" spans="1:2" x14ac:dyDescent="0.25">
      <c r="A4910"/>
      <c r="B4910"/>
    </row>
    <row r="4911" spans="1:2" x14ac:dyDescent="0.25">
      <c r="A4911"/>
      <c r="B4911"/>
    </row>
    <row r="4912" spans="1:2" x14ac:dyDescent="0.25">
      <c r="A4912"/>
      <c r="B4912"/>
    </row>
    <row r="4913" spans="1:2" x14ac:dyDescent="0.25">
      <c r="A4913"/>
      <c r="B4913"/>
    </row>
    <row r="4914" spans="1:2" x14ac:dyDescent="0.25">
      <c r="A4914"/>
      <c r="B4914"/>
    </row>
    <row r="4915" spans="1:2" x14ac:dyDescent="0.25">
      <c r="A4915"/>
      <c r="B4915"/>
    </row>
    <row r="4916" spans="1:2" x14ac:dyDescent="0.25">
      <c r="A4916"/>
      <c r="B4916"/>
    </row>
    <row r="4917" spans="1:2" x14ac:dyDescent="0.25">
      <c r="A4917"/>
      <c r="B4917"/>
    </row>
    <row r="4918" spans="1:2" x14ac:dyDescent="0.25">
      <c r="A4918"/>
      <c r="B4918"/>
    </row>
    <row r="4919" spans="1:2" x14ac:dyDescent="0.25">
      <c r="A4919"/>
      <c r="B4919"/>
    </row>
    <row r="4920" spans="1:2" x14ac:dyDescent="0.25">
      <c r="A4920"/>
      <c r="B4920"/>
    </row>
    <row r="4921" spans="1:2" x14ac:dyDescent="0.25">
      <c r="A4921"/>
      <c r="B4921"/>
    </row>
    <row r="4922" spans="1:2" x14ac:dyDescent="0.25">
      <c r="A4922"/>
      <c r="B4922"/>
    </row>
    <row r="4923" spans="1:2" x14ac:dyDescent="0.25">
      <c r="A4923"/>
      <c r="B4923"/>
    </row>
    <row r="4924" spans="1:2" x14ac:dyDescent="0.25">
      <c r="A4924"/>
      <c r="B4924"/>
    </row>
    <row r="4925" spans="1:2" x14ac:dyDescent="0.25">
      <c r="A4925"/>
      <c r="B4925"/>
    </row>
    <row r="4926" spans="1:2" x14ac:dyDescent="0.25">
      <c r="A4926"/>
      <c r="B4926"/>
    </row>
    <row r="4927" spans="1:2" x14ac:dyDescent="0.25">
      <c r="A4927"/>
      <c r="B4927"/>
    </row>
    <row r="4928" spans="1:2" x14ac:dyDescent="0.25">
      <c r="A4928"/>
      <c r="B4928"/>
    </row>
    <row r="4929" spans="1:2" x14ac:dyDescent="0.25">
      <c r="A4929"/>
      <c r="B4929"/>
    </row>
    <row r="4930" spans="1:2" x14ac:dyDescent="0.25">
      <c r="A4930"/>
      <c r="B4930"/>
    </row>
    <row r="4931" spans="1:2" x14ac:dyDescent="0.25">
      <c r="A4931"/>
      <c r="B4931"/>
    </row>
    <row r="4932" spans="1:2" x14ac:dyDescent="0.25">
      <c r="A4932"/>
      <c r="B4932"/>
    </row>
    <row r="4933" spans="1:2" x14ac:dyDescent="0.25">
      <c r="A4933"/>
      <c r="B4933"/>
    </row>
    <row r="4934" spans="1:2" x14ac:dyDescent="0.25">
      <c r="A4934"/>
      <c r="B4934"/>
    </row>
    <row r="4935" spans="1:2" x14ac:dyDescent="0.25">
      <c r="A4935"/>
      <c r="B4935"/>
    </row>
    <row r="4936" spans="1:2" x14ac:dyDescent="0.25">
      <c r="A4936"/>
      <c r="B4936"/>
    </row>
    <row r="4937" spans="1:2" x14ac:dyDescent="0.25">
      <c r="A4937"/>
      <c r="B4937"/>
    </row>
    <row r="4938" spans="1:2" x14ac:dyDescent="0.25">
      <c r="A4938"/>
      <c r="B4938"/>
    </row>
    <row r="4939" spans="1:2" x14ac:dyDescent="0.25">
      <c r="A4939"/>
      <c r="B4939"/>
    </row>
    <row r="4940" spans="1:2" x14ac:dyDescent="0.25">
      <c r="A4940"/>
      <c r="B4940"/>
    </row>
    <row r="4941" spans="1:2" x14ac:dyDescent="0.25">
      <c r="A4941"/>
      <c r="B4941"/>
    </row>
    <row r="4942" spans="1:2" x14ac:dyDescent="0.25">
      <c r="A4942"/>
      <c r="B4942"/>
    </row>
    <row r="4943" spans="1:2" x14ac:dyDescent="0.25">
      <c r="A4943"/>
      <c r="B4943"/>
    </row>
    <row r="4944" spans="1:2" x14ac:dyDescent="0.25">
      <c r="A4944"/>
      <c r="B4944"/>
    </row>
    <row r="4945" spans="1:2" x14ac:dyDescent="0.25">
      <c r="A4945"/>
      <c r="B4945"/>
    </row>
    <row r="4946" spans="1:2" x14ac:dyDescent="0.25">
      <c r="A4946"/>
      <c r="B4946"/>
    </row>
    <row r="4947" spans="1:2" x14ac:dyDescent="0.25">
      <c r="A4947"/>
      <c r="B4947"/>
    </row>
    <row r="4948" spans="1:2" x14ac:dyDescent="0.25">
      <c r="A4948"/>
      <c r="B4948"/>
    </row>
    <row r="4949" spans="1:2" x14ac:dyDescent="0.25">
      <c r="A4949"/>
      <c r="B4949"/>
    </row>
    <row r="4950" spans="1:2" x14ac:dyDescent="0.25">
      <c r="A4950"/>
      <c r="B4950"/>
    </row>
    <row r="4951" spans="1:2" x14ac:dyDescent="0.25">
      <c r="A4951"/>
      <c r="B4951"/>
    </row>
    <row r="4952" spans="1:2" x14ac:dyDescent="0.25">
      <c r="A4952"/>
      <c r="B4952"/>
    </row>
    <row r="4953" spans="1:2" x14ac:dyDescent="0.25">
      <c r="A4953"/>
      <c r="B4953"/>
    </row>
    <row r="4954" spans="1:2" x14ac:dyDescent="0.25">
      <c r="A4954"/>
      <c r="B4954"/>
    </row>
    <row r="4955" spans="1:2" x14ac:dyDescent="0.25">
      <c r="A4955"/>
      <c r="B4955"/>
    </row>
    <row r="4956" spans="1:2" x14ac:dyDescent="0.25">
      <c r="A4956"/>
      <c r="B4956"/>
    </row>
    <row r="4957" spans="1:2" x14ac:dyDescent="0.25">
      <c r="A4957"/>
      <c r="B4957"/>
    </row>
    <row r="4958" spans="1:2" x14ac:dyDescent="0.25">
      <c r="A4958"/>
      <c r="B4958"/>
    </row>
    <row r="4959" spans="1:2" x14ac:dyDescent="0.25">
      <c r="A4959"/>
      <c r="B4959"/>
    </row>
    <row r="4960" spans="1:2" x14ac:dyDescent="0.25">
      <c r="A4960"/>
      <c r="B4960"/>
    </row>
    <row r="4961" spans="1:2" x14ac:dyDescent="0.25">
      <c r="A4961"/>
      <c r="B4961"/>
    </row>
    <row r="4962" spans="1:2" x14ac:dyDescent="0.25">
      <c r="A4962"/>
      <c r="B4962"/>
    </row>
    <row r="4963" spans="1:2" x14ac:dyDescent="0.25">
      <c r="A4963"/>
      <c r="B4963"/>
    </row>
    <row r="4964" spans="1:2" x14ac:dyDescent="0.25">
      <c r="A4964"/>
      <c r="B4964"/>
    </row>
    <row r="4965" spans="1:2" x14ac:dyDescent="0.25">
      <c r="A4965"/>
      <c r="B4965"/>
    </row>
    <row r="4966" spans="1:2" x14ac:dyDescent="0.25">
      <c r="A4966"/>
      <c r="B4966"/>
    </row>
    <row r="4967" spans="1:2" x14ac:dyDescent="0.25">
      <c r="A4967"/>
      <c r="B4967"/>
    </row>
    <row r="4968" spans="1:2" x14ac:dyDescent="0.25">
      <c r="A4968"/>
      <c r="B4968"/>
    </row>
    <row r="4969" spans="1:2" x14ac:dyDescent="0.25">
      <c r="A4969"/>
      <c r="B4969"/>
    </row>
    <row r="4970" spans="1:2" x14ac:dyDescent="0.25">
      <c r="A4970"/>
      <c r="B4970"/>
    </row>
    <row r="4971" spans="1:2" x14ac:dyDescent="0.25">
      <c r="A4971"/>
      <c r="B4971"/>
    </row>
    <row r="4972" spans="1:2" x14ac:dyDescent="0.25">
      <c r="A4972"/>
      <c r="B4972"/>
    </row>
    <row r="4973" spans="1:2" x14ac:dyDescent="0.25">
      <c r="A4973"/>
      <c r="B4973"/>
    </row>
    <row r="4974" spans="1:2" x14ac:dyDescent="0.25">
      <c r="A4974"/>
      <c r="B4974"/>
    </row>
    <row r="4975" spans="1:2" x14ac:dyDescent="0.25">
      <c r="A4975"/>
      <c r="B4975"/>
    </row>
    <row r="4976" spans="1:2" x14ac:dyDescent="0.25">
      <c r="A4976"/>
      <c r="B4976"/>
    </row>
    <row r="4977" spans="1:2" x14ac:dyDescent="0.25">
      <c r="A4977"/>
      <c r="B4977"/>
    </row>
    <row r="4978" spans="1:2" x14ac:dyDescent="0.25">
      <c r="A4978"/>
      <c r="B4978"/>
    </row>
    <row r="4979" spans="1:2" x14ac:dyDescent="0.25">
      <c r="A4979"/>
      <c r="B4979"/>
    </row>
    <row r="4980" spans="1:2" x14ac:dyDescent="0.25">
      <c r="A4980"/>
      <c r="B4980"/>
    </row>
    <row r="4981" spans="1:2" x14ac:dyDescent="0.25">
      <c r="A4981"/>
      <c r="B4981"/>
    </row>
    <row r="4982" spans="1:2" x14ac:dyDescent="0.25">
      <c r="A4982"/>
      <c r="B4982"/>
    </row>
    <row r="4983" spans="1:2" x14ac:dyDescent="0.25">
      <c r="A4983"/>
      <c r="B4983"/>
    </row>
    <row r="4984" spans="1:2" x14ac:dyDescent="0.25">
      <c r="A4984"/>
      <c r="B4984"/>
    </row>
    <row r="4985" spans="1:2" x14ac:dyDescent="0.25">
      <c r="A4985"/>
      <c r="B4985"/>
    </row>
    <row r="4986" spans="1:2" x14ac:dyDescent="0.25">
      <c r="A4986"/>
      <c r="B4986"/>
    </row>
    <row r="4987" spans="1:2" x14ac:dyDescent="0.25">
      <c r="A4987"/>
      <c r="B4987"/>
    </row>
    <row r="4988" spans="1:2" x14ac:dyDescent="0.25">
      <c r="A4988"/>
      <c r="B4988"/>
    </row>
    <row r="4989" spans="1:2" x14ac:dyDescent="0.25">
      <c r="A4989"/>
      <c r="B4989"/>
    </row>
    <row r="4990" spans="1:2" x14ac:dyDescent="0.25">
      <c r="A4990"/>
      <c r="B4990"/>
    </row>
    <row r="4991" spans="1:2" x14ac:dyDescent="0.25">
      <c r="A4991"/>
      <c r="B4991"/>
    </row>
    <row r="4992" spans="1:2" x14ac:dyDescent="0.25">
      <c r="A4992"/>
      <c r="B4992"/>
    </row>
    <row r="4993" spans="1:2" x14ac:dyDescent="0.25">
      <c r="A4993"/>
      <c r="B4993"/>
    </row>
    <row r="4994" spans="1:2" x14ac:dyDescent="0.25">
      <c r="A4994"/>
      <c r="B4994"/>
    </row>
    <row r="4995" spans="1:2" x14ac:dyDescent="0.25">
      <c r="A4995"/>
      <c r="B4995"/>
    </row>
    <row r="4996" spans="1:2" x14ac:dyDescent="0.25">
      <c r="A4996"/>
      <c r="B4996"/>
    </row>
    <row r="4997" spans="1:2" x14ac:dyDescent="0.25">
      <c r="A4997"/>
      <c r="B4997"/>
    </row>
    <row r="4998" spans="1:2" x14ac:dyDescent="0.25">
      <c r="A4998"/>
      <c r="B4998"/>
    </row>
    <row r="4999" spans="1:2" x14ac:dyDescent="0.25">
      <c r="A4999"/>
      <c r="B4999"/>
    </row>
    <row r="5000" spans="1:2" x14ac:dyDescent="0.25">
      <c r="A5000"/>
      <c r="B5000"/>
    </row>
    <row r="5001" spans="1:2" x14ac:dyDescent="0.25">
      <c r="A5001"/>
      <c r="B5001"/>
    </row>
    <row r="5002" spans="1:2" x14ac:dyDescent="0.25">
      <c r="A5002"/>
      <c r="B5002"/>
    </row>
    <row r="5003" spans="1:2" x14ac:dyDescent="0.25">
      <c r="A5003"/>
      <c r="B5003"/>
    </row>
    <row r="5004" spans="1:2" x14ac:dyDescent="0.25">
      <c r="A5004"/>
      <c r="B5004"/>
    </row>
    <row r="5005" spans="1:2" x14ac:dyDescent="0.25">
      <c r="A5005"/>
      <c r="B5005"/>
    </row>
    <row r="5006" spans="1:2" x14ac:dyDescent="0.25">
      <c r="A5006"/>
      <c r="B5006"/>
    </row>
    <row r="5007" spans="1:2" x14ac:dyDescent="0.25">
      <c r="A5007"/>
      <c r="B5007"/>
    </row>
    <row r="5008" spans="1:2" x14ac:dyDescent="0.25">
      <c r="A5008"/>
      <c r="B5008"/>
    </row>
    <row r="5009" spans="1:2" x14ac:dyDescent="0.25">
      <c r="A5009"/>
      <c r="B5009"/>
    </row>
    <row r="5010" spans="1:2" x14ac:dyDescent="0.25">
      <c r="A5010"/>
      <c r="B5010"/>
    </row>
    <row r="5011" spans="1:2" x14ac:dyDescent="0.25">
      <c r="A5011"/>
      <c r="B5011"/>
    </row>
    <row r="5012" spans="1:2" x14ac:dyDescent="0.25">
      <c r="A5012"/>
      <c r="B5012"/>
    </row>
    <row r="5013" spans="1:2" x14ac:dyDescent="0.25">
      <c r="A5013"/>
      <c r="B5013"/>
    </row>
    <row r="5014" spans="1:2" x14ac:dyDescent="0.25">
      <c r="A5014"/>
      <c r="B5014"/>
    </row>
    <row r="5015" spans="1:2" x14ac:dyDescent="0.25">
      <c r="A5015"/>
      <c r="B5015"/>
    </row>
    <row r="5016" spans="1:2" x14ac:dyDescent="0.25">
      <c r="A5016"/>
      <c r="B5016"/>
    </row>
    <row r="5017" spans="1:2" x14ac:dyDescent="0.25">
      <c r="A5017"/>
      <c r="B5017"/>
    </row>
    <row r="5018" spans="1:2" x14ac:dyDescent="0.25">
      <c r="A5018"/>
      <c r="B5018"/>
    </row>
    <row r="5019" spans="1:2" x14ac:dyDescent="0.25">
      <c r="A5019"/>
      <c r="B5019"/>
    </row>
    <row r="5020" spans="1:2" x14ac:dyDescent="0.25">
      <c r="A5020"/>
      <c r="B5020"/>
    </row>
    <row r="5021" spans="1:2" x14ac:dyDescent="0.25">
      <c r="A5021"/>
      <c r="B5021"/>
    </row>
    <row r="5022" spans="1:2" x14ac:dyDescent="0.25">
      <c r="A5022"/>
      <c r="B5022"/>
    </row>
    <row r="5023" spans="1:2" x14ac:dyDescent="0.25">
      <c r="A5023"/>
      <c r="B5023"/>
    </row>
    <row r="5024" spans="1:2" x14ac:dyDescent="0.25">
      <c r="A5024"/>
      <c r="B5024"/>
    </row>
    <row r="5025" spans="1:2" x14ac:dyDescent="0.25">
      <c r="A5025"/>
      <c r="B5025"/>
    </row>
    <row r="5026" spans="1:2" x14ac:dyDescent="0.25">
      <c r="A5026"/>
      <c r="B5026"/>
    </row>
    <row r="5027" spans="1:2" x14ac:dyDescent="0.25">
      <c r="A5027"/>
      <c r="B5027"/>
    </row>
    <row r="5028" spans="1:2" x14ac:dyDescent="0.25">
      <c r="A5028"/>
      <c r="B5028"/>
    </row>
    <row r="5029" spans="1:2" x14ac:dyDescent="0.25">
      <c r="A5029"/>
      <c r="B5029"/>
    </row>
    <row r="5030" spans="1:2" x14ac:dyDescent="0.25">
      <c r="A5030"/>
      <c r="B5030"/>
    </row>
    <row r="5031" spans="1:2" x14ac:dyDescent="0.25">
      <c r="A5031"/>
      <c r="B5031"/>
    </row>
    <row r="5032" spans="1:2" x14ac:dyDescent="0.25">
      <c r="A5032"/>
      <c r="B5032"/>
    </row>
    <row r="5033" spans="1:2" x14ac:dyDescent="0.25">
      <c r="A5033"/>
      <c r="B5033"/>
    </row>
    <row r="5034" spans="1:2" x14ac:dyDescent="0.25">
      <c r="A5034"/>
      <c r="B5034"/>
    </row>
    <row r="5035" spans="1:2" x14ac:dyDescent="0.25">
      <c r="A5035"/>
      <c r="B5035"/>
    </row>
    <row r="5036" spans="1:2" x14ac:dyDescent="0.25">
      <c r="A5036"/>
      <c r="B5036"/>
    </row>
    <row r="5037" spans="1:2" x14ac:dyDescent="0.25">
      <c r="A5037"/>
      <c r="B5037"/>
    </row>
    <row r="5038" spans="1:2" x14ac:dyDescent="0.25">
      <c r="A5038"/>
      <c r="B5038"/>
    </row>
    <row r="5039" spans="1:2" x14ac:dyDescent="0.25">
      <c r="A5039"/>
      <c r="B5039"/>
    </row>
    <row r="5040" spans="1:2" x14ac:dyDescent="0.25">
      <c r="A5040"/>
      <c r="B5040"/>
    </row>
    <row r="5041" spans="1:2" x14ac:dyDescent="0.25">
      <c r="A5041"/>
      <c r="B5041"/>
    </row>
    <row r="5042" spans="1:2" x14ac:dyDescent="0.25">
      <c r="A5042"/>
      <c r="B5042"/>
    </row>
    <row r="5043" spans="1:2" x14ac:dyDescent="0.25">
      <c r="A5043"/>
      <c r="B5043"/>
    </row>
    <row r="5044" spans="1:2" x14ac:dyDescent="0.25">
      <c r="A5044"/>
      <c r="B5044"/>
    </row>
    <row r="5045" spans="1:2" x14ac:dyDescent="0.25">
      <c r="A5045"/>
      <c r="B5045"/>
    </row>
    <row r="5046" spans="1:2" x14ac:dyDescent="0.25">
      <c r="A5046"/>
      <c r="B5046"/>
    </row>
    <row r="5047" spans="1:2" x14ac:dyDescent="0.25">
      <c r="A5047"/>
      <c r="B5047"/>
    </row>
    <row r="5048" spans="1:2" x14ac:dyDescent="0.25">
      <c r="A5048"/>
      <c r="B5048"/>
    </row>
    <row r="5049" spans="1:2" x14ac:dyDescent="0.25">
      <c r="A5049"/>
      <c r="B5049"/>
    </row>
    <row r="5050" spans="1:2" x14ac:dyDescent="0.25">
      <c r="A5050"/>
      <c r="B5050"/>
    </row>
    <row r="5051" spans="1:2" x14ac:dyDescent="0.25">
      <c r="A5051"/>
      <c r="B5051"/>
    </row>
    <row r="5052" spans="1:2" x14ac:dyDescent="0.25">
      <c r="A5052"/>
      <c r="B5052"/>
    </row>
    <row r="5053" spans="1:2" x14ac:dyDescent="0.25">
      <c r="A5053"/>
      <c r="B5053"/>
    </row>
    <row r="5054" spans="1:2" x14ac:dyDescent="0.25">
      <c r="A5054"/>
      <c r="B5054"/>
    </row>
    <row r="5055" spans="1:2" x14ac:dyDescent="0.25">
      <c r="A5055"/>
      <c r="B5055"/>
    </row>
    <row r="5056" spans="1:2" x14ac:dyDescent="0.25">
      <c r="A5056"/>
      <c r="B5056"/>
    </row>
    <row r="5057" spans="1:2" x14ac:dyDescent="0.25">
      <c r="A5057"/>
      <c r="B5057"/>
    </row>
    <row r="5058" spans="1:2" x14ac:dyDescent="0.25">
      <c r="A5058"/>
      <c r="B5058"/>
    </row>
    <row r="5059" spans="1:2" x14ac:dyDescent="0.25">
      <c r="A5059"/>
      <c r="B5059"/>
    </row>
    <row r="5060" spans="1:2" x14ac:dyDescent="0.25">
      <c r="A5060"/>
      <c r="B5060"/>
    </row>
    <row r="5061" spans="1:2" x14ac:dyDescent="0.25">
      <c r="A5061"/>
      <c r="B5061"/>
    </row>
    <row r="5062" spans="1:2" x14ac:dyDescent="0.25">
      <c r="A5062"/>
      <c r="B5062"/>
    </row>
    <row r="5063" spans="1:2" x14ac:dyDescent="0.25">
      <c r="A5063"/>
      <c r="B5063"/>
    </row>
    <row r="5064" spans="1:2" x14ac:dyDescent="0.25">
      <c r="A5064"/>
      <c r="B5064"/>
    </row>
    <row r="5065" spans="1:2" x14ac:dyDescent="0.25">
      <c r="A5065"/>
      <c r="B5065"/>
    </row>
    <row r="5066" spans="1:2" x14ac:dyDescent="0.25">
      <c r="A5066"/>
      <c r="B5066"/>
    </row>
    <row r="5067" spans="1:2" x14ac:dyDescent="0.25">
      <c r="A5067"/>
      <c r="B5067"/>
    </row>
    <row r="5068" spans="1:2" x14ac:dyDescent="0.25">
      <c r="A5068"/>
      <c r="B5068"/>
    </row>
    <row r="5069" spans="1:2" x14ac:dyDescent="0.25">
      <c r="A5069"/>
      <c r="B5069"/>
    </row>
    <row r="5070" spans="1:2" x14ac:dyDescent="0.25">
      <c r="A5070"/>
      <c r="B5070"/>
    </row>
    <row r="5071" spans="1:2" x14ac:dyDescent="0.25">
      <c r="A5071"/>
      <c r="B5071"/>
    </row>
    <row r="5072" spans="1:2" x14ac:dyDescent="0.25">
      <c r="A5072"/>
      <c r="B5072"/>
    </row>
    <row r="5073" spans="1:2" x14ac:dyDescent="0.25">
      <c r="A5073"/>
      <c r="B5073"/>
    </row>
    <row r="5074" spans="1:2" x14ac:dyDescent="0.25">
      <c r="A5074"/>
      <c r="B5074"/>
    </row>
    <row r="5075" spans="1:2" x14ac:dyDescent="0.25">
      <c r="A5075"/>
      <c r="B5075"/>
    </row>
    <row r="5076" spans="1:2" x14ac:dyDescent="0.25">
      <c r="A5076"/>
      <c r="B5076"/>
    </row>
    <row r="5077" spans="1:2" x14ac:dyDescent="0.25">
      <c r="A5077"/>
      <c r="B5077"/>
    </row>
    <row r="5078" spans="1:2" x14ac:dyDescent="0.25">
      <c r="A5078"/>
      <c r="B5078"/>
    </row>
    <row r="5079" spans="1:2" x14ac:dyDescent="0.25">
      <c r="A5079"/>
      <c r="B5079"/>
    </row>
    <row r="5080" spans="1:2" x14ac:dyDescent="0.25">
      <c r="A5080"/>
      <c r="B5080"/>
    </row>
    <row r="5081" spans="1:2" x14ac:dyDescent="0.25">
      <c r="A5081"/>
      <c r="B5081"/>
    </row>
    <row r="5082" spans="1:2" x14ac:dyDescent="0.25">
      <c r="A5082"/>
      <c r="B5082"/>
    </row>
    <row r="5083" spans="1:2" x14ac:dyDescent="0.25">
      <c r="A5083"/>
      <c r="B5083"/>
    </row>
    <row r="5084" spans="1:2" x14ac:dyDescent="0.25">
      <c r="A5084"/>
      <c r="B5084"/>
    </row>
    <row r="5085" spans="1:2" x14ac:dyDescent="0.25">
      <c r="A5085"/>
      <c r="B5085"/>
    </row>
    <row r="5086" spans="1:2" x14ac:dyDescent="0.25">
      <c r="A5086"/>
      <c r="B5086"/>
    </row>
    <row r="5087" spans="1:2" x14ac:dyDescent="0.25">
      <c r="A5087"/>
      <c r="B5087"/>
    </row>
    <row r="5088" spans="1:2" x14ac:dyDescent="0.25">
      <c r="A5088"/>
      <c r="B5088"/>
    </row>
    <row r="5089" spans="1:2" x14ac:dyDescent="0.25">
      <c r="A5089"/>
      <c r="B5089"/>
    </row>
    <row r="5090" spans="1:2" x14ac:dyDescent="0.25">
      <c r="A5090"/>
      <c r="B5090"/>
    </row>
    <row r="5091" spans="1:2" x14ac:dyDescent="0.25">
      <c r="A5091"/>
      <c r="B5091"/>
    </row>
    <row r="5092" spans="1:2" x14ac:dyDescent="0.25">
      <c r="A5092"/>
      <c r="B5092"/>
    </row>
    <row r="5093" spans="1:2" x14ac:dyDescent="0.25">
      <c r="A5093"/>
      <c r="B5093"/>
    </row>
    <row r="5094" spans="1:2" x14ac:dyDescent="0.25">
      <c r="A5094"/>
      <c r="B5094"/>
    </row>
    <row r="5095" spans="1:2" x14ac:dyDescent="0.25">
      <c r="A5095"/>
      <c r="B5095"/>
    </row>
    <row r="5096" spans="1:2" x14ac:dyDescent="0.25">
      <c r="A5096"/>
      <c r="B5096"/>
    </row>
    <row r="5097" spans="1:2" x14ac:dyDescent="0.25">
      <c r="A5097"/>
      <c r="B5097"/>
    </row>
    <row r="5098" spans="1:2" x14ac:dyDescent="0.25">
      <c r="A5098"/>
      <c r="B5098"/>
    </row>
    <row r="5099" spans="1:2" x14ac:dyDescent="0.25">
      <c r="A5099"/>
      <c r="B5099"/>
    </row>
    <row r="5100" spans="1:2" x14ac:dyDescent="0.25">
      <c r="A5100"/>
      <c r="B5100"/>
    </row>
    <row r="5101" spans="1:2" x14ac:dyDescent="0.25">
      <c r="A5101"/>
      <c r="B5101"/>
    </row>
    <row r="5102" spans="1:2" x14ac:dyDescent="0.25">
      <c r="A5102"/>
      <c r="B5102"/>
    </row>
    <row r="5103" spans="1:2" x14ac:dyDescent="0.25">
      <c r="A5103"/>
      <c r="B5103"/>
    </row>
    <row r="5104" spans="1:2" x14ac:dyDescent="0.25">
      <c r="A5104"/>
      <c r="B5104"/>
    </row>
    <row r="5105" spans="1:2" x14ac:dyDescent="0.25">
      <c r="A5105"/>
      <c r="B5105"/>
    </row>
    <row r="5106" spans="1:2" x14ac:dyDescent="0.25">
      <c r="A5106"/>
      <c r="B5106"/>
    </row>
    <row r="5107" spans="1:2" x14ac:dyDescent="0.25">
      <c r="A5107"/>
      <c r="B5107"/>
    </row>
    <row r="5108" spans="1:2" x14ac:dyDescent="0.25">
      <c r="A5108"/>
      <c r="B5108"/>
    </row>
    <row r="5109" spans="1:2" x14ac:dyDescent="0.25">
      <c r="A5109"/>
      <c r="B5109"/>
    </row>
    <row r="5110" spans="1:2" x14ac:dyDescent="0.25">
      <c r="A5110"/>
      <c r="B5110"/>
    </row>
    <row r="5111" spans="1:2" x14ac:dyDescent="0.25">
      <c r="A5111"/>
      <c r="B5111"/>
    </row>
    <row r="5112" spans="1:2" x14ac:dyDescent="0.25">
      <c r="A5112"/>
      <c r="B5112"/>
    </row>
    <row r="5113" spans="1:2" x14ac:dyDescent="0.25">
      <c r="A5113"/>
      <c r="B5113"/>
    </row>
    <row r="5114" spans="1:2" x14ac:dyDescent="0.25">
      <c r="A5114"/>
      <c r="B5114"/>
    </row>
    <row r="5115" spans="1:2" x14ac:dyDescent="0.25">
      <c r="A5115"/>
      <c r="B5115"/>
    </row>
    <row r="5116" spans="1:2" x14ac:dyDescent="0.25">
      <c r="A5116"/>
      <c r="B5116"/>
    </row>
    <row r="5117" spans="1:2" x14ac:dyDescent="0.25">
      <c r="A5117"/>
      <c r="B5117"/>
    </row>
    <row r="5118" spans="1:2" x14ac:dyDescent="0.25">
      <c r="A5118"/>
      <c r="B5118"/>
    </row>
    <row r="5119" spans="1:2" x14ac:dyDescent="0.25">
      <c r="A5119"/>
      <c r="B5119"/>
    </row>
    <row r="5120" spans="1:2" x14ac:dyDescent="0.25">
      <c r="A5120"/>
      <c r="B5120"/>
    </row>
    <row r="5121" spans="1:2" x14ac:dyDescent="0.25">
      <c r="A5121"/>
      <c r="B5121"/>
    </row>
    <row r="5122" spans="1:2" x14ac:dyDescent="0.25">
      <c r="A5122"/>
      <c r="B5122"/>
    </row>
    <row r="5123" spans="1:2" x14ac:dyDescent="0.25">
      <c r="A5123"/>
      <c r="B5123"/>
    </row>
    <row r="5124" spans="1:2" x14ac:dyDescent="0.25">
      <c r="A5124"/>
      <c r="B5124"/>
    </row>
    <row r="5125" spans="1:2" x14ac:dyDescent="0.25">
      <c r="A5125"/>
      <c r="B5125"/>
    </row>
    <row r="5126" spans="1:2" x14ac:dyDescent="0.25">
      <c r="A5126"/>
      <c r="B5126"/>
    </row>
    <row r="5127" spans="1:2" x14ac:dyDescent="0.25">
      <c r="A5127"/>
      <c r="B5127"/>
    </row>
    <row r="5128" spans="1:2" x14ac:dyDescent="0.25">
      <c r="A5128"/>
      <c r="B5128"/>
    </row>
    <row r="5129" spans="1:2" x14ac:dyDescent="0.25">
      <c r="A5129"/>
      <c r="B5129"/>
    </row>
    <row r="5130" spans="1:2" x14ac:dyDescent="0.25">
      <c r="A5130"/>
      <c r="B5130"/>
    </row>
    <row r="5131" spans="1:2" x14ac:dyDescent="0.25">
      <c r="A5131"/>
      <c r="B5131"/>
    </row>
    <row r="5132" spans="1:2" x14ac:dyDescent="0.25">
      <c r="A5132"/>
      <c r="B5132"/>
    </row>
    <row r="5133" spans="1:2" x14ac:dyDescent="0.25">
      <c r="A5133"/>
      <c r="B5133"/>
    </row>
    <row r="5134" spans="1:2" x14ac:dyDescent="0.25">
      <c r="A5134"/>
      <c r="B5134"/>
    </row>
    <row r="5135" spans="1:2" x14ac:dyDescent="0.25">
      <c r="A5135"/>
      <c r="B5135"/>
    </row>
    <row r="5136" spans="1:2" x14ac:dyDescent="0.25">
      <c r="A5136"/>
      <c r="B5136"/>
    </row>
    <row r="5137" spans="1:2" x14ac:dyDescent="0.25">
      <c r="A5137"/>
      <c r="B5137"/>
    </row>
    <row r="5138" spans="1:2" x14ac:dyDescent="0.25">
      <c r="A5138"/>
      <c r="B5138"/>
    </row>
    <row r="5139" spans="1:2" x14ac:dyDescent="0.25">
      <c r="A5139"/>
      <c r="B5139"/>
    </row>
    <row r="5140" spans="1:2" x14ac:dyDescent="0.25">
      <c r="A5140"/>
      <c r="B5140"/>
    </row>
    <row r="5141" spans="1:2" x14ac:dyDescent="0.25">
      <c r="A5141"/>
      <c r="B5141"/>
    </row>
    <row r="5142" spans="1:2" x14ac:dyDescent="0.25">
      <c r="A5142"/>
      <c r="B5142"/>
    </row>
    <row r="5143" spans="1:2" x14ac:dyDescent="0.25">
      <c r="A5143"/>
      <c r="B5143"/>
    </row>
    <row r="5144" spans="1:2" x14ac:dyDescent="0.25">
      <c r="A5144"/>
      <c r="B5144"/>
    </row>
    <row r="5145" spans="1:2" x14ac:dyDescent="0.25">
      <c r="A5145"/>
      <c r="B5145"/>
    </row>
    <row r="5146" spans="1:2" x14ac:dyDescent="0.25">
      <c r="A5146"/>
      <c r="B5146"/>
    </row>
    <row r="5147" spans="1:2" x14ac:dyDescent="0.25">
      <c r="A5147"/>
      <c r="B5147"/>
    </row>
    <row r="5148" spans="1:2" x14ac:dyDescent="0.25">
      <c r="A5148"/>
      <c r="B5148"/>
    </row>
    <row r="5149" spans="1:2" x14ac:dyDescent="0.25">
      <c r="A5149"/>
      <c r="B5149"/>
    </row>
    <row r="5150" spans="1:2" x14ac:dyDescent="0.25">
      <c r="A5150"/>
      <c r="B5150"/>
    </row>
    <row r="5151" spans="1:2" x14ac:dyDescent="0.25">
      <c r="A5151"/>
      <c r="B5151"/>
    </row>
    <row r="5152" spans="1:2" x14ac:dyDescent="0.25">
      <c r="A5152"/>
      <c r="B5152"/>
    </row>
    <row r="5153" spans="1:2" x14ac:dyDescent="0.25">
      <c r="A5153"/>
      <c r="B5153"/>
    </row>
    <row r="5154" spans="1:2" x14ac:dyDescent="0.25">
      <c r="A5154"/>
      <c r="B5154"/>
    </row>
    <row r="5155" spans="1:2" x14ac:dyDescent="0.25">
      <c r="A5155"/>
      <c r="B5155"/>
    </row>
    <row r="5156" spans="1:2" x14ac:dyDescent="0.25">
      <c r="A5156"/>
      <c r="B5156"/>
    </row>
    <row r="5157" spans="1:2" x14ac:dyDescent="0.25">
      <c r="A5157"/>
      <c r="B5157"/>
    </row>
    <row r="5158" spans="1:2" x14ac:dyDescent="0.25">
      <c r="A5158"/>
      <c r="B5158"/>
    </row>
    <row r="5159" spans="1:2" x14ac:dyDescent="0.25">
      <c r="A5159"/>
      <c r="B5159"/>
    </row>
    <row r="5160" spans="1:2" x14ac:dyDescent="0.25">
      <c r="A5160"/>
      <c r="B5160"/>
    </row>
    <row r="5161" spans="1:2" x14ac:dyDescent="0.25">
      <c r="A5161"/>
      <c r="B5161"/>
    </row>
    <row r="5162" spans="1:2" x14ac:dyDescent="0.25">
      <c r="A5162"/>
      <c r="B5162"/>
    </row>
    <row r="5163" spans="1:2" x14ac:dyDescent="0.25">
      <c r="A5163"/>
      <c r="B5163"/>
    </row>
    <row r="5164" spans="1:2" x14ac:dyDescent="0.25">
      <c r="A5164"/>
      <c r="B5164"/>
    </row>
    <row r="5165" spans="1:2" x14ac:dyDescent="0.25">
      <c r="A5165"/>
      <c r="B5165"/>
    </row>
    <row r="5166" spans="1:2" x14ac:dyDescent="0.25">
      <c r="A5166"/>
      <c r="B5166"/>
    </row>
    <row r="5167" spans="1:2" x14ac:dyDescent="0.25">
      <c r="A5167"/>
      <c r="B5167"/>
    </row>
    <row r="5168" spans="1:2" x14ac:dyDescent="0.25">
      <c r="A5168"/>
      <c r="B5168"/>
    </row>
    <row r="5169" spans="1:2" x14ac:dyDescent="0.25">
      <c r="A5169"/>
      <c r="B5169"/>
    </row>
    <row r="5170" spans="1:2" x14ac:dyDescent="0.25">
      <c r="A5170"/>
      <c r="B5170"/>
    </row>
    <row r="5171" spans="1:2" x14ac:dyDescent="0.25">
      <c r="A5171"/>
      <c r="B5171"/>
    </row>
    <row r="5172" spans="1:2" x14ac:dyDescent="0.25">
      <c r="A5172"/>
      <c r="B5172"/>
    </row>
    <row r="5173" spans="1:2" x14ac:dyDescent="0.25">
      <c r="A5173"/>
      <c r="B5173"/>
    </row>
    <row r="5174" spans="1:2" x14ac:dyDescent="0.25">
      <c r="A5174"/>
      <c r="B5174"/>
    </row>
    <row r="5175" spans="1:2" x14ac:dyDescent="0.25">
      <c r="A5175"/>
      <c r="B5175"/>
    </row>
    <row r="5176" spans="1:2" x14ac:dyDescent="0.25">
      <c r="A5176"/>
      <c r="B5176"/>
    </row>
    <row r="5177" spans="1:2" x14ac:dyDescent="0.25">
      <c r="A5177"/>
      <c r="B5177"/>
    </row>
    <row r="5178" spans="1:2" x14ac:dyDescent="0.25">
      <c r="A5178"/>
      <c r="B5178"/>
    </row>
    <row r="5179" spans="1:2" x14ac:dyDescent="0.25">
      <c r="A5179"/>
      <c r="B5179"/>
    </row>
    <row r="5180" spans="1:2" x14ac:dyDescent="0.25">
      <c r="A5180"/>
      <c r="B5180"/>
    </row>
    <row r="5181" spans="1:2" x14ac:dyDescent="0.25">
      <c r="A5181"/>
      <c r="B5181"/>
    </row>
    <row r="5182" spans="1:2" x14ac:dyDescent="0.25">
      <c r="A5182"/>
      <c r="B5182"/>
    </row>
    <row r="5183" spans="1:2" x14ac:dyDescent="0.25">
      <c r="A5183"/>
      <c r="B5183"/>
    </row>
    <row r="5184" spans="1:2" x14ac:dyDescent="0.25">
      <c r="A5184"/>
      <c r="B5184"/>
    </row>
    <row r="5185" spans="1:2" x14ac:dyDescent="0.25">
      <c r="A5185"/>
      <c r="B5185"/>
    </row>
    <row r="5186" spans="1:2" x14ac:dyDescent="0.25">
      <c r="A5186"/>
      <c r="B5186"/>
    </row>
    <row r="5187" spans="1:2" x14ac:dyDescent="0.25">
      <c r="A5187"/>
      <c r="B5187"/>
    </row>
    <row r="5188" spans="1:2" x14ac:dyDescent="0.25">
      <c r="A5188"/>
      <c r="B5188"/>
    </row>
    <row r="5189" spans="1:2" x14ac:dyDescent="0.25">
      <c r="A5189"/>
      <c r="B5189"/>
    </row>
    <row r="5190" spans="1:2" x14ac:dyDescent="0.25">
      <c r="A5190"/>
      <c r="B5190"/>
    </row>
    <row r="5191" spans="1:2" x14ac:dyDescent="0.25">
      <c r="A5191"/>
      <c r="B5191"/>
    </row>
    <row r="5192" spans="1:2" x14ac:dyDescent="0.25">
      <c r="A5192"/>
      <c r="B5192"/>
    </row>
    <row r="5193" spans="1:2" x14ac:dyDescent="0.25">
      <c r="A5193"/>
      <c r="B5193"/>
    </row>
    <row r="5194" spans="1:2" x14ac:dyDescent="0.25">
      <c r="A5194"/>
      <c r="B5194"/>
    </row>
    <row r="5195" spans="1:2" x14ac:dyDescent="0.25">
      <c r="A5195"/>
      <c r="B5195"/>
    </row>
    <row r="5196" spans="1:2" x14ac:dyDescent="0.25">
      <c r="A5196"/>
      <c r="B5196"/>
    </row>
    <row r="5197" spans="1:2" x14ac:dyDescent="0.25">
      <c r="A5197"/>
      <c r="B5197"/>
    </row>
    <row r="5198" spans="1:2" x14ac:dyDescent="0.25">
      <c r="A5198"/>
      <c r="B5198"/>
    </row>
    <row r="5199" spans="1:2" x14ac:dyDescent="0.25">
      <c r="A5199"/>
      <c r="B5199"/>
    </row>
    <row r="5200" spans="1:2" x14ac:dyDescent="0.25">
      <c r="A5200"/>
      <c r="B5200"/>
    </row>
    <row r="5201" spans="1:2" x14ac:dyDescent="0.25">
      <c r="A5201"/>
      <c r="B5201"/>
    </row>
    <row r="5202" spans="1:2" x14ac:dyDescent="0.25">
      <c r="A5202"/>
      <c r="B5202"/>
    </row>
    <row r="5203" spans="1:2" x14ac:dyDescent="0.25">
      <c r="A5203"/>
      <c r="B5203"/>
    </row>
    <row r="5204" spans="1:2" x14ac:dyDescent="0.25">
      <c r="A5204"/>
      <c r="B5204"/>
    </row>
    <row r="5205" spans="1:2" x14ac:dyDescent="0.25">
      <c r="A5205"/>
      <c r="B5205"/>
    </row>
    <row r="5206" spans="1:2" x14ac:dyDescent="0.25">
      <c r="A5206"/>
      <c r="B5206"/>
    </row>
    <row r="5207" spans="1:2" x14ac:dyDescent="0.25">
      <c r="A5207"/>
      <c r="B5207"/>
    </row>
    <row r="5208" spans="1:2" x14ac:dyDescent="0.25">
      <c r="A5208"/>
      <c r="B5208"/>
    </row>
    <row r="5209" spans="1:2" x14ac:dyDescent="0.25">
      <c r="A5209"/>
      <c r="B5209"/>
    </row>
    <row r="5210" spans="1:2" x14ac:dyDescent="0.25">
      <c r="A5210"/>
      <c r="B5210"/>
    </row>
    <row r="5211" spans="1:2" x14ac:dyDescent="0.25">
      <c r="A5211"/>
      <c r="B5211"/>
    </row>
    <row r="5212" spans="1:2" x14ac:dyDescent="0.25">
      <c r="A5212"/>
      <c r="B5212"/>
    </row>
    <row r="5213" spans="1:2" x14ac:dyDescent="0.25">
      <c r="A5213"/>
      <c r="B5213"/>
    </row>
    <row r="5214" spans="1:2" x14ac:dyDescent="0.25">
      <c r="A5214"/>
      <c r="B5214"/>
    </row>
    <row r="5215" spans="1:2" x14ac:dyDescent="0.25">
      <c r="A5215"/>
      <c r="B5215"/>
    </row>
    <row r="5216" spans="1:2" x14ac:dyDescent="0.25">
      <c r="A5216"/>
      <c r="B5216"/>
    </row>
    <row r="5217" spans="1:2" x14ac:dyDescent="0.25">
      <c r="A5217"/>
      <c r="B5217"/>
    </row>
    <row r="5218" spans="1:2" x14ac:dyDescent="0.25">
      <c r="A5218"/>
      <c r="B5218"/>
    </row>
    <row r="5219" spans="1:2" x14ac:dyDescent="0.25">
      <c r="A5219"/>
      <c r="B5219"/>
    </row>
    <row r="5220" spans="1:2" x14ac:dyDescent="0.25">
      <c r="A5220"/>
      <c r="B5220"/>
    </row>
    <row r="5221" spans="1:2" x14ac:dyDescent="0.25">
      <c r="A5221"/>
      <c r="B5221"/>
    </row>
    <row r="5222" spans="1:2" x14ac:dyDescent="0.25">
      <c r="A5222"/>
      <c r="B5222"/>
    </row>
    <row r="5223" spans="1:2" x14ac:dyDescent="0.25">
      <c r="A5223"/>
      <c r="B5223"/>
    </row>
    <row r="5224" spans="1:2" x14ac:dyDescent="0.25">
      <c r="A5224"/>
      <c r="B5224"/>
    </row>
    <row r="5225" spans="1:2" x14ac:dyDescent="0.25">
      <c r="A5225"/>
      <c r="B5225"/>
    </row>
    <row r="5226" spans="1:2" x14ac:dyDescent="0.25">
      <c r="A5226"/>
      <c r="B5226"/>
    </row>
    <row r="5227" spans="1:2" x14ac:dyDescent="0.25">
      <c r="A5227"/>
      <c r="B5227"/>
    </row>
    <row r="5228" spans="1:2" x14ac:dyDescent="0.25">
      <c r="A5228"/>
      <c r="B5228"/>
    </row>
    <row r="5229" spans="1:2" x14ac:dyDescent="0.25">
      <c r="A5229"/>
      <c r="B5229"/>
    </row>
    <row r="5230" spans="1:2" x14ac:dyDescent="0.25">
      <c r="A5230"/>
      <c r="B5230"/>
    </row>
    <row r="5231" spans="1:2" x14ac:dyDescent="0.25">
      <c r="A5231"/>
      <c r="B5231"/>
    </row>
    <row r="5232" spans="1:2" x14ac:dyDescent="0.25">
      <c r="A5232"/>
      <c r="B5232"/>
    </row>
    <row r="5233" spans="1:2" x14ac:dyDescent="0.25">
      <c r="A5233"/>
      <c r="B5233"/>
    </row>
    <row r="5234" spans="1:2" x14ac:dyDescent="0.25">
      <c r="A5234"/>
      <c r="B5234"/>
    </row>
    <row r="5235" spans="1:2" x14ac:dyDescent="0.25">
      <c r="A5235"/>
      <c r="B5235"/>
    </row>
    <row r="5236" spans="1:2" x14ac:dyDescent="0.25">
      <c r="A5236"/>
      <c r="B5236"/>
    </row>
    <row r="5237" spans="1:2" x14ac:dyDescent="0.25">
      <c r="A5237"/>
      <c r="B5237"/>
    </row>
    <row r="5238" spans="1:2" x14ac:dyDescent="0.25">
      <c r="A5238"/>
      <c r="B5238"/>
    </row>
    <row r="5239" spans="1:2" x14ac:dyDescent="0.25">
      <c r="A5239"/>
      <c r="B5239"/>
    </row>
    <row r="5240" spans="1:2" x14ac:dyDescent="0.25">
      <c r="A5240"/>
      <c r="B5240"/>
    </row>
    <row r="5241" spans="1:2" x14ac:dyDescent="0.25">
      <c r="A5241"/>
      <c r="B5241"/>
    </row>
    <row r="5242" spans="1:2" x14ac:dyDescent="0.25">
      <c r="A5242"/>
      <c r="B5242"/>
    </row>
    <row r="5243" spans="1:2" x14ac:dyDescent="0.25">
      <c r="A5243"/>
      <c r="B5243"/>
    </row>
    <row r="5244" spans="1:2" x14ac:dyDescent="0.25">
      <c r="A5244"/>
      <c r="B5244"/>
    </row>
    <row r="5245" spans="1:2" x14ac:dyDescent="0.25">
      <c r="A5245"/>
      <c r="B5245"/>
    </row>
    <row r="5246" spans="1:2" x14ac:dyDescent="0.25">
      <c r="A5246"/>
      <c r="B5246"/>
    </row>
    <row r="5247" spans="1:2" x14ac:dyDescent="0.25">
      <c r="A5247"/>
      <c r="B5247"/>
    </row>
    <row r="5248" spans="1:2" x14ac:dyDescent="0.25">
      <c r="A5248"/>
      <c r="B5248"/>
    </row>
    <row r="5249" spans="1:2" x14ac:dyDescent="0.25">
      <c r="A5249"/>
      <c r="B5249"/>
    </row>
    <row r="5250" spans="1:2" x14ac:dyDescent="0.25">
      <c r="A5250"/>
      <c r="B5250"/>
    </row>
    <row r="5251" spans="1:2" x14ac:dyDescent="0.25">
      <c r="A5251"/>
      <c r="B5251"/>
    </row>
    <row r="5252" spans="1:2" x14ac:dyDescent="0.25">
      <c r="A5252"/>
      <c r="B5252"/>
    </row>
    <row r="5253" spans="1:2" x14ac:dyDescent="0.25">
      <c r="A5253"/>
      <c r="B5253"/>
    </row>
    <row r="5254" spans="1:2" x14ac:dyDescent="0.25">
      <c r="A5254"/>
      <c r="B5254"/>
    </row>
    <row r="5255" spans="1:2" x14ac:dyDescent="0.25">
      <c r="A5255"/>
      <c r="B5255"/>
    </row>
    <row r="5256" spans="1:2" x14ac:dyDescent="0.25">
      <c r="A5256"/>
      <c r="B5256"/>
    </row>
    <row r="5257" spans="1:2" x14ac:dyDescent="0.25">
      <c r="A5257"/>
      <c r="B5257"/>
    </row>
    <row r="5258" spans="1:2" x14ac:dyDescent="0.25">
      <c r="A5258"/>
      <c r="B5258"/>
    </row>
    <row r="5259" spans="1:2" x14ac:dyDescent="0.25">
      <c r="A5259"/>
      <c r="B5259"/>
    </row>
    <row r="5260" spans="1:2" x14ac:dyDescent="0.25">
      <c r="A5260"/>
      <c r="B5260"/>
    </row>
    <row r="5261" spans="1:2" x14ac:dyDescent="0.25">
      <c r="A5261"/>
      <c r="B5261"/>
    </row>
    <row r="5262" spans="1:2" x14ac:dyDescent="0.25">
      <c r="A5262"/>
      <c r="B5262"/>
    </row>
    <row r="5263" spans="1:2" x14ac:dyDescent="0.25">
      <c r="A5263"/>
      <c r="B5263"/>
    </row>
    <row r="5264" spans="1:2" x14ac:dyDescent="0.25">
      <c r="A5264"/>
      <c r="B5264"/>
    </row>
    <row r="5265" spans="1:2" x14ac:dyDescent="0.25">
      <c r="A5265"/>
      <c r="B5265"/>
    </row>
    <row r="5266" spans="1:2" x14ac:dyDescent="0.25">
      <c r="A5266"/>
      <c r="B5266"/>
    </row>
    <row r="5267" spans="1:2" x14ac:dyDescent="0.25">
      <c r="A5267"/>
      <c r="B5267"/>
    </row>
    <row r="5268" spans="1:2" x14ac:dyDescent="0.25">
      <c r="A5268"/>
      <c r="B5268"/>
    </row>
    <row r="5269" spans="1:2" x14ac:dyDescent="0.25">
      <c r="A5269"/>
      <c r="B5269"/>
    </row>
    <row r="5270" spans="1:2" x14ac:dyDescent="0.25">
      <c r="A5270"/>
      <c r="B5270"/>
    </row>
    <row r="5271" spans="1:2" x14ac:dyDescent="0.25">
      <c r="A5271"/>
      <c r="B5271"/>
    </row>
    <row r="5272" spans="1:2" x14ac:dyDescent="0.25">
      <c r="A5272"/>
      <c r="B5272"/>
    </row>
    <row r="5273" spans="1:2" x14ac:dyDescent="0.25">
      <c r="A5273"/>
      <c r="B5273"/>
    </row>
    <row r="5274" spans="1:2" x14ac:dyDescent="0.25">
      <c r="A5274"/>
      <c r="B5274"/>
    </row>
    <row r="5275" spans="1:2" x14ac:dyDescent="0.25">
      <c r="A5275"/>
      <c r="B5275"/>
    </row>
    <row r="5276" spans="1:2" x14ac:dyDescent="0.25">
      <c r="A5276"/>
      <c r="B5276"/>
    </row>
    <row r="5277" spans="1:2" x14ac:dyDescent="0.25">
      <c r="A5277"/>
      <c r="B5277"/>
    </row>
    <row r="5278" spans="1:2" x14ac:dyDescent="0.25">
      <c r="A5278"/>
      <c r="B5278"/>
    </row>
    <row r="5279" spans="1:2" x14ac:dyDescent="0.25">
      <c r="A5279"/>
      <c r="B5279"/>
    </row>
    <row r="5280" spans="1:2" x14ac:dyDescent="0.25">
      <c r="A5280"/>
      <c r="B5280"/>
    </row>
    <row r="5281" spans="1:2" x14ac:dyDescent="0.25">
      <c r="A5281"/>
      <c r="B5281"/>
    </row>
    <row r="5282" spans="1:2" x14ac:dyDescent="0.25">
      <c r="A5282"/>
      <c r="B5282"/>
    </row>
    <row r="5283" spans="1:2" x14ac:dyDescent="0.25">
      <c r="A5283"/>
      <c r="B5283"/>
    </row>
    <row r="5284" spans="1:2" x14ac:dyDescent="0.25">
      <c r="A5284"/>
      <c r="B5284"/>
    </row>
    <row r="5285" spans="1:2" x14ac:dyDescent="0.25">
      <c r="A5285"/>
      <c r="B5285"/>
    </row>
    <row r="5286" spans="1:2" x14ac:dyDescent="0.25">
      <c r="A5286"/>
      <c r="B5286"/>
    </row>
    <row r="5287" spans="1:2" x14ac:dyDescent="0.25">
      <c r="A5287"/>
      <c r="B5287"/>
    </row>
    <row r="5288" spans="1:2" x14ac:dyDescent="0.25">
      <c r="A5288"/>
      <c r="B5288"/>
    </row>
    <row r="5289" spans="1:2" x14ac:dyDescent="0.25">
      <c r="A5289"/>
      <c r="B5289"/>
    </row>
    <row r="5290" spans="1:2" x14ac:dyDescent="0.25">
      <c r="A5290"/>
      <c r="B5290"/>
    </row>
    <row r="5291" spans="1:2" x14ac:dyDescent="0.25">
      <c r="A5291"/>
      <c r="B5291"/>
    </row>
    <row r="5292" spans="1:2" x14ac:dyDescent="0.25">
      <c r="A5292"/>
      <c r="B5292"/>
    </row>
    <row r="5293" spans="1:2" x14ac:dyDescent="0.25">
      <c r="A5293"/>
      <c r="B5293"/>
    </row>
    <row r="5294" spans="1:2" x14ac:dyDescent="0.25">
      <c r="A5294"/>
      <c r="B5294"/>
    </row>
    <row r="5295" spans="1:2" x14ac:dyDescent="0.25">
      <c r="A5295"/>
      <c r="B5295"/>
    </row>
    <row r="5296" spans="1:2" x14ac:dyDescent="0.25">
      <c r="A5296"/>
      <c r="B5296"/>
    </row>
    <row r="5297" spans="1:2" x14ac:dyDescent="0.25">
      <c r="A5297"/>
      <c r="B5297"/>
    </row>
    <row r="5298" spans="1:2" x14ac:dyDescent="0.25">
      <c r="A5298"/>
      <c r="B5298"/>
    </row>
    <row r="5299" spans="1:2" x14ac:dyDescent="0.25">
      <c r="A5299"/>
      <c r="B5299"/>
    </row>
    <row r="5300" spans="1:2" x14ac:dyDescent="0.25">
      <c r="A5300"/>
      <c r="B5300"/>
    </row>
    <row r="5301" spans="1:2" x14ac:dyDescent="0.25">
      <c r="A5301"/>
      <c r="B5301"/>
    </row>
    <row r="5302" spans="1:2" x14ac:dyDescent="0.25">
      <c r="A5302"/>
      <c r="B5302"/>
    </row>
    <row r="5303" spans="1:2" x14ac:dyDescent="0.25">
      <c r="A5303"/>
      <c r="B5303"/>
    </row>
    <row r="5304" spans="1:2" x14ac:dyDescent="0.25">
      <c r="A5304"/>
      <c r="B5304"/>
    </row>
    <row r="5305" spans="1:2" x14ac:dyDescent="0.25">
      <c r="A5305"/>
      <c r="B5305"/>
    </row>
    <row r="5306" spans="1:2" x14ac:dyDescent="0.25">
      <c r="A5306"/>
      <c r="B5306"/>
    </row>
    <row r="5307" spans="1:2" x14ac:dyDescent="0.25">
      <c r="A5307"/>
      <c r="B5307"/>
    </row>
    <row r="5308" spans="1:2" x14ac:dyDescent="0.25">
      <c r="A5308"/>
      <c r="B5308"/>
    </row>
    <row r="5309" spans="1:2" x14ac:dyDescent="0.25">
      <c r="A5309"/>
      <c r="B5309"/>
    </row>
    <row r="5310" spans="1:2" x14ac:dyDescent="0.25">
      <c r="A5310"/>
      <c r="B5310"/>
    </row>
    <row r="5311" spans="1:2" x14ac:dyDescent="0.25">
      <c r="A5311"/>
      <c r="B5311"/>
    </row>
    <row r="5312" spans="1:2" x14ac:dyDescent="0.25">
      <c r="A5312"/>
      <c r="B5312"/>
    </row>
    <row r="5313" spans="1:2" x14ac:dyDescent="0.25">
      <c r="A5313"/>
      <c r="B5313"/>
    </row>
    <row r="5314" spans="1:2" x14ac:dyDescent="0.25">
      <c r="A5314"/>
      <c r="B5314"/>
    </row>
    <row r="5315" spans="1:2" x14ac:dyDescent="0.25">
      <c r="A5315"/>
      <c r="B5315"/>
    </row>
    <row r="5316" spans="1:2" x14ac:dyDescent="0.25">
      <c r="A5316"/>
      <c r="B5316"/>
    </row>
    <row r="5317" spans="1:2" x14ac:dyDescent="0.25">
      <c r="A5317"/>
      <c r="B5317"/>
    </row>
    <row r="5318" spans="1:2" x14ac:dyDescent="0.25">
      <c r="A5318"/>
      <c r="B5318"/>
    </row>
    <row r="5319" spans="1:2" x14ac:dyDescent="0.25">
      <c r="A5319"/>
      <c r="B5319"/>
    </row>
    <row r="5320" spans="1:2" x14ac:dyDescent="0.25">
      <c r="A5320"/>
      <c r="B5320"/>
    </row>
    <row r="5321" spans="1:2" x14ac:dyDescent="0.25">
      <c r="A5321"/>
      <c r="B5321"/>
    </row>
    <row r="5322" spans="1:2" x14ac:dyDescent="0.25">
      <c r="A5322"/>
      <c r="B5322"/>
    </row>
    <row r="5323" spans="1:2" x14ac:dyDescent="0.25">
      <c r="A5323"/>
      <c r="B5323"/>
    </row>
    <row r="5324" spans="1:2" x14ac:dyDescent="0.25">
      <c r="A5324"/>
      <c r="B5324"/>
    </row>
    <row r="5325" spans="1:2" x14ac:dyDescent="0.25">
      <c r="A5325"/>
      <c r="B5325"/>
    </row>
    <row r="5326" spans="1:2" x14ac:dyDescent="0.25">
      <c r="A5326"/>
      <c r="B5326"/>
    </row>
    <row r="5327" spans="1:2" x14ac:dyDescent="0.25">
      <c r="A5327"/>
      <c r="B5327"/>
    </row>
    <row r="5328" spans="1:2" x14ac:dyDescent="0.25">
      <c r="A5328"/>
      <c r="B5328"/>
    </row>
    <row r="5329" spans="1:2" x14ac:dyDescent="0.25">
      <c r="A5329"/>
      <c r="B5329"/>
    </row>
    <row r="5330" spans="1:2" x14ac:dyDescent="0.25">
      <c r="A5330"/>
      <c r="B5330"/>
    </row>
    <row r="5331" spans="1:2" x14ac:dyDescent="0.25">
      <c r="A5331"/>
      <c r="B5331"/>
    </row>
    <row r="5332" spans="1:2" x14ac:dyDescent="0.25">
      <c r="A5332"/>
      <c r="B5332"/>
    </row>
    <row r="5333" spans="1:2" x14ac:dyDescent="0.25">
      <c r="A5333"/>
      <c r="B5333"/>
    </row>
    <row r="5334" spans="1:2" x14ac:dyDescent="0.25">
      <c r="A5334"/>
      <c r="B5334"/>
    </row>
    <row r="5335" spans="1:2" x14ac:dyDescent="0.25">
      <c r="A5335"/>
      <c r="B5335"/>
    </row>
    <row r="5336" spans="1:2" x14ac:dyDescent="0.25">
      <c r="A5336"/>
      <c r="B5336"/>
    </row>
    <row r="5337" spans="1:2" x14ac:dyDescent="0.25">
      <c r="A5337"/>
      <c r="B5337"/>
    </row>
    <row r="5338" spans="1:2" x14ac:dyDescent="0.25">
      <c r="A5338"/>
      <c r="B5338"/>
    </row>
    <row r="5339" spans="1:2" x14ac:dyDescent="0.25">
      <c r="A5339"/>
      <c r="B5339"/>
    </row>
    <row r="5340" spans="1:2" x14ac:dyDescent="0.25">
      <c r="A5340"/>
      <c r="B5340"/>
    </row>
    <row r="5341" spans="1:2" x14ac:dyDescent="0.25">
      <c r="A5341"/>
      <c r="B5341"/>
    </row>
    <row r="5342" spans="1:2" x14ac:dyDescent="0.25">
      <c r="A5342"/>
      <c r="B5342"/>
    </row>
    <row r="5343" spans="1:2" x14ac:dyDescent="0.25">
      <c r="A5343"/>
      <c r="B5343"/>
    </row>
    <row r="5344" spans="1:2" x14ac:dyDescent="0.25">
      <c r="A5344"/>
      <c r="B5344"/>
    </row>
    <row r="5345" spans="1:2" x14ac:dyDescent="0.25">
      <c r="A5345"/>
      <c r="B5345"/>
    </row>
    <row r="5346" spans="1:2" x14ac:dyDescent="0.25">
      <c r="A5346"/>
      <c r="B5346"/>
    </row>
    <row r="5347" spans="1:2" x14ac:dyDescent="0.25">
      <c r="A5347"/>
      <c r="B5347"/>
    </row>
    <row r="5348" spans="1:2" x14ac:dyDescent="0.25">
      <c r="A5348"/>
      <c r="B5348"/>
    </row>
    <row r="5349" spans="1:2" x14ac:dyDescent="0.25">
      <c r="A5349"/>
      <c r="B5349"/>
    </row>
    <row r="5350" spans="1:2" x14ac:dyDescent="0.25">
      <c r="A5350"/>
      <c r="B5350"/>
    </row>
    <row r="5351" spans="1:2" x14ac:dyDescent="0.25">
      <c r="A5351"/>
      <c r="B5351"/>
    </row>
    <row r="5352" spans="1:2" x14ac:dyDescent="0.25">
      <c r="A5352"/>
      <c r="B5352"/>
    </row>
    <row r="5353" spans="1:2" x14ac:dyDescent="0.25">
      <c r="A5353"/>
      <c r="B5353"/>
    </row>
    <row r="5354" spans="1:2" x14ac:dyDescent="0.25">
      <c r="A5354"/>
      <c r="B5354"/>
    </row>
    <row r="5355" spans="1:2" x14ac:dyDescent="0.25">
      <c r="A5355"/>
      <c r="B5355"/>
    </row>
    <row r="5356" spans="1:2" x14ac:dyDescent="0.25">
      <c r="A5356"/>
      <c r="B5356"/>
    </row>
    <row r="5357" spans="1:2" x14ac:dyDescent="0.25">
      <c r="A5357"/>
      <c r="B5357"/>
    </row>
    <row r="5358" spans="1:2" x14ac:dyDescent="0.25">
      <c r="A5358"/>
      <c r="B5358"/>
    </row>
    <row r="5359" spans="1:2" x14ac:dyDescent="0.25">
      <c r="A5359"/>
      <c r="B5359"/>
    </row>
    <row r="5360" spans="1:2" x14ac:dyDescent="0.25">
      <c r="A5360"/>
      <c r="B5360"/>
    </row>
    <row r="5361" spans="1:2" x14ac:dyDescent="0.25">
      <c r="A5361"/>
      <c r="B5361"/>
    </row>
    <row r="5362" spans="1:2" x14ac:dyDescent="0.25">
      <c r="A5362"/>
      <c r="B5362"/>
    </row>
    <row r="5363" spans="1:2" x14ac:dyDescent="0.25">
      <c r="A5363"/>
      <c r="B5363"/>
    </row>
    <row r="5364" spans="1:2" x14ac:dyDescent="0.25">
      <c r="A5364"/>
      <c r="B5364"/>
    </row>
    <row r="5365" spans="1:2" x14ac:dyDescent="0.25">
      <c r="A5365"/>
      <c r="B5365"/>
    </row>
    <row r="5366" spans="1:2" x14ac:dyDescent="0.25">
      <c r="A5366"/>
      <c r="B5366"/>
    </row>
    <row r="5367" spans="1:2" x14ac:dyDescent="0.25">
      <c r="A5367"/>
      <c r="B5367"/>
    </row>
    <row r="5368" spans="1:2" x14ac:dyDescent="0.25">
      <c r="A5368"/>
      <c r="B5368"/>
    </row>
    <row r="5369" spans="1:2" x14ac:dyDescent="0.25">
      <c r="A5369"/>
      <c r="B5369"/>
    </row>
    <row r="5370" spans="1:2" x14ac:dyDescent="0.25">
      <c r="A5370"/>
      <c r="B5370"/>
    </row>
    <row r="5371" spans="1:2" x14ac:dyDescent="0.25">
      <c r="A5371"/>
      <c r="B5371"/>
    </row>
    <row r="5372" spans="1:2" x14ac:dyDescent="0.25">
      <c r="A5372"/>
      <c r="B5372"/>
    </row>
    <row r="5373" spans="1:2" x14ac:dyDescent="0.25">
      <c r="A5373"/>
      <c r="B5373"/>
    </row>
    <row r="5374" spans="1:2" x14ac:dyDescent="0.25">
      <c r="A5374"/>
      <c r="B5374"/>
    </row>
    <row r="5375" spans="1:2" x14ac:dyDescent="0.25">
      <c r="A5375"/>
      <c r="B5375"/>
    </row>
    <row r="5376" spans="1:2" x14ac:dyDescent="0.25">
      <c r="A5376"/>
      <c r="B5376"/>
    </row>
    <row r="5377" spans="1:2" x14ac:dyDescent="0.25">
      <c r="A5377"/>
      <c r="B5377"/>
    </row>
    <row r="5378" spans="1:2" x14ac:dyDescent="0.25">
      <c r="A5378"/>
      <c r="B5378"/>
    </row>
    <row r="5379" spans="1:2" x14ac:dyDescent="0.25">
      <c r="A5379"/>
      <c r="B5379"/>
    </row>
    <row r="5380" spans="1:2" x14ac:dyDescent="0.25">
      <c r="A5380"/>
      <c r="B5380"/>
    </row>
    <row r="5381" spans="1:2" x14ac:dyDescent="0.25">
      <c r="A5381"/>
      <c r="B5381"/>
    </row>
    <row r="5382" spans="1:2" x14ac:dyDescent="0.25">
      <c r="A5382"/>
      <c r="B5382"/>
    </row>
    <row r="5383" spans="1:2" x14ac:dyDescent="0.25">
      <c r="A5383"/>
      <c r="B5383"/>
    </row>
    <row r="5384" spans="1:2" x14ac:dyDescent="0.25">
      <c r="A5384"/>
      <c r="B5384"/>
    </row>
    <row r="5385" spans="1:2" x14ac:dyDescent="0.25">
      <c r="A5385"/>
      <c r="B5385"/>
    </row>
    <row r="5386" spans="1:2" x14ac:dyDescent="0.25">
      <c r="A5386"/>
      <c r="B5386"/>
    </row>
    <row r="5387" spans="1:2" x14ac:dyDescent="0.25">
      <c r="A5387"/>
      <c r="B5387"/>
    </row>
    <row r="5388" spans="1:2" x14ac:dyDescent="0.25">
      <c r="A5388"/>
      <c r="B5388"/>
    </row>
    <row r="5389" spans="1:2" x14ac:dyDescent="0.25">
      <c r="A5389"/>
      <c r="B5389"/>
    </row>
    <row r="5390" spans="1:2" x14ac:dyDescent="0.25">
      <c r="A5390"/>
      <c r="B5390"/>
    </row>
    <row r="5391" spans="1:2" x14ac:dyDescent="0.25">
      <c r="A5391"/>
      <c r="B5391"/>
    </row>
    <row r="5392" spans="1:2" x14ac:dyDescent="0.25">
      <c r="A5392"/>
      <c r="B5392"/>
    </row>
    <row r="5393" spans="1:2" x14ac:dyDescent="0.25">
      <c r="A5393"/>
      <c r="B5393"/>
    </row>
    <row r="5394" spans="1:2" x14ac:dyDescent="0.25">
      <c r="A5394"/>
      <c r="B5394"/>
    </row>
    <row r="5395" spans="1:2" x14ac:dyDescent="0.25">
      <c r="A5395"/>
      <c r="B5395"/>
    </row>
    <row r="5396" spans="1:2" x14ac:dyDescent="0.25">
      <c r="A5396"/>
      <c r="B5396"/>
    </row>
    <row r="5397" spans="1:2" x14ac:dyDescent="0.25">
      <c r="A5397"/>
      <c r="B5397"/>
    </row>
    <row r="5398" spans="1:2" x14ac:dyDescent="0.25">
      <c r="A5398"/>
      <c r="B5398"/>
    </row>
    <row r="5399" spans="1:2" x14ac:dyDescent="0.25">
      <c r="A5399"/>
      <c r="B5399"/>
    </row>
    <row r="5400" spans="1:2" x14ac:dyDescent="0.25">
      <c r="A5400"/>
      <c r="B5400"/>
    </row>
    <row r="5401" spans="1:2" x14ac:dyDescent="0.25">
      <c r="A5401"/>
      <c r="B5401"/>
    </row>
    <row r="5402" spans="1:2" x14ac:dyDescent="0.25">
      <c r="A5402"/>
      <c r="B5402"/>
    </row>
    <row r="5403" spans="1:2" x14ac:dyDescent="0.25">
      <c r="A5403"/>
      <c r="B5403"/>
    </row>
    <row r="5404" spans="1:2" x14ac:dyDescent="0.25">
      <c r="A5404"/>
      <c r="B5404"/>
    </row>
    <row r="5405" spans="1:2" x14ac:dyDescent="0.25">
      <c r="A5405"/>
      <c r="B5405"/>
    </row>
    <row r="5406" spans="1:2" x14ac:dyDescent="0.25">
      <c r="A5406"/>
      <c r="B5406"/>
    </row>
    <row r="5407" spans="1:2" x14ac:dyDescent="0.25">
      <c r="A5407"/>
      <c r="B5407"/>
    </row>
    <row r="5408" spans="1:2" x14ac:dyDescent="0.25">
      <c r="A5408"/>
      <c r="B5408"/>
    </row>
    <row r="5409" spans="1:2" x14ac:dyDescent="0.25">
      <c r="A5409"/>
      <c r="B5409"/>
    </row>
    <row r="5410" spans="1:2" x14ac:dyDescent="0.25">
      <c r="A5410"/>
      <c r="B5410"/>
    </row>
    <row r="5411" spans="1:2" x14ac:dyDescent="0.25">
      <c r="A5411"/>
      <c r="B5411"/>
    </row>
    <row r="5412" spans="1:2" x14ac:dyDescent="0.25">
      <c r="A5412"/>
      <c r="B5412"/>
    </row>
    <row r="5413" spans="1:2" x14ac:dyDescent="0.25">
      <c r="A5413"/>
      <c r="B5413"/>
    </row>
    <row r="5414" spans="1:2" x14ac:dyDescent="0.25">
      <c r="A5414"/>
      <c r="B5414"/>
    </row>
    <row r="5415" spans="1:2" x14ac:dyDescent="0.25">
      <c r="A5415"/>
      <c r="B5415"/>
    </row>
    <row r="5416" spans="1:2" x14ac:dyDescent="0.25">
      <c r="A5416"/>
      <c r="B5416"/>
    </row>
    <row r="5417" spans="1:2" x14ac:dyDescent="0.25">
      <c r="A5417"/>
      <c r="B5417"/>
    </row>
    <row r="5418" spans="1:2" x14ac:dyDescent="0.25">
      <c r="A5418"/>
      <c r="B5418"/>
    </row>
    <row r="5419" spans="1:2" x14ac:dyDescent="0.25">
      <c r="A5419"/>
      <c r="B5419"/>
    </row>
    <row r="5420" spans="1:2" x14ac:dyDescent="0.25">
      <c r="A5420"/>
      <c r="B5420"/>
    </row>
    <row r="5421" spans="1:2" x14ac:dyDescent="0.25">
      <c r="A5421"/>
      <c r="B5421"/>
    </row>
    <row r="5422" spans="1:2" x14ac:dyDescent="0.25">
      <c r="A5422"/>
      <c r="B5422"/>
    </row>
    <row r="5423" spans="1:2" x14ac:dyDescent="0.25">
      <c r="A5423"/>
      <c r="B5423"/>
    </row>
    <row r="5424" spans="1:2" x14ac:dyDescent="0.25">
      <c r="A5424"/>
      <c r="B5424"/>
    </row>
    <row r="5425" spans="1:2" x14ac:dyDescent="0.25">
      <c r="A5425"/>
      <c r="B5425"/>
    </row>
    <row r="5426" spans="1:2" x14ac:dyDescent="0.25">
      <c r="A5426"/>
      <c r="B5426"/>
    </row>
    <row r="5427" spans="1:2" x14ac:dyDescent="0.25">
      <c r="A5427"/>
      <c r="B5427"/>
    </row>
    <row r="5428" spans="1:2" x14ac:dyDescent="0.25">
      <c r="A5428"/>
      <c r="B5428"/>
    </row>
    <row r="5429" spans="1:2" x14ac:dyDescent="0.25">
      <c r="A5429"/>
      <c r="B5429"/>
    </row>
    <row r="5430" spans="1:2" x14ac:dyDescent="0.25">
      <c r="A5430"/>
      <c r="B5430"/>
    </row>
    <row r="5431" spans="1:2" x14ac:dyDescent="0.25">
      <c r="A5431"/>
      <c r="B5431"/>
    </row>
    <row r="5432" spans="1:2" x14ac:dyDescent="0.25">
      <c r="A5432"/>
      <c r="B5432"/>
    </row>
    <row r="5433" spans="1:2" x14ac:dyDescent="0.25">
      <c r="A5433"/>
      <c r="B5433"/>
    </row>
    <row r="5434" spans="1:2" x14ac:dyDescent="0.25">
      <c r="A5434"/>
      <c r="B5434"/>
    </row>
    <row r="5435" spans="1:2" x14ac:dyDescent="0.25">
      <c r="A5435"/>
      <c r="B5435"/>
    </row>
    <row r="5436" spans="1:2" x14ac:dyDescent="0.25">
      <c r="A5436"/>
      <c r="B5436"/>
    </row>
    <row r="5437" spans="1:2" x14ac:dyDescent="0.25">
      <c r="A5437"/>
      <c r="B5437"/>
    </row>
    <row r="5438" spans="1:2" x14ac:dyDescent="0.25">
      <c r="A5438"/>
      <c r="B5438"/>
    </row>
    <row r="5439" spans="1:2" x14ac:dyDescent="0.25">
      <c r="A5439"/>
      <c r="B5439"/>
    </row>
    <row r="5440" spans="1:2" x14ac:dyDescent="0.25">
      <c r="A5440"/>
      <c r="B5440"/>
    </row>
    <row r="5441" spans="1:2" x14ac:dyDescent="0.25">
      <c r="A5441"/>
      <c r="B5441"/>
    </row>
    <row r="5442" spans="1:2" x14ac:dyDescent="0.25">
      <c r="A5442"/>
      <c r="B5442"/>
    </row>
    <row r="5443" spans="1:2" x14ac:dyDescent="0.25">
      <c r="A5443"/>
      <c r="B5443"/>
    </row>
    <row r="5444" spans="1:2" x14ac:dyDescent="0.25">
      <c r="A5444"/>
      <c r="B5444"/>
    </row>
    <row r="5445" spans="1:2" x14ac:dyDescent="0.25">
      <c r="A5445"/>
      <c r="B5445"/>
    </row>
    <row r="5446" spans="1:2" x14ac:dyDescent="0.25">
      <c r="A5446"/>
      <c r="B5446"/>
    </row>
    <row r="5447" spans="1:2" x14ac:dyDescent="0.25">
      <c r="A5447"/>
      <c r="B5447"/>
    </row>
    <row r="5448" spans="1:2" x14ac:dyDescent="0.25">
      <c r="A5448"/>
      <c r="B5448"/>
    </row>
    <row r="5449" spans="1:2" x14ac:dyDescent="0.25">
      <c r="A5449"/>
      <c r="B5449"/>
    </row>
    <row r="5450" spans="1:2" x14ac:dyDescent="0.25">
      <c r="A5450"/>
      <c r="B5450"/>
    </row>
    <row r="5451" spans="1:2" x14ac:dyDescent="0.25">
      <c r="A5451"/>
      <c r="B5451"/>
    </row>
    <row r="5452" spans="1:2" x14ac:dyDescent="0.25">
      <c r="A5452"/>
      <c r="B5452"/>
    </row>
    <row r="5453" spans="1:2" x14ac:dyDescent="0.25">
      <c r="A5453"/>
      <c r="B5453"/>
    </row>
    <row r="5454" spans="1:2" x14ac:dyDescent="0.25">
      <c r="A5454"/>
      <c r="B5454"/>
    </row>
    <row r="5455" spans="1:2" x14ac:dyDescent="0.25">
      <c r="A5455"/>
      <c r="B5455"/>
    </row>
    <row r="5456" spans="1:2" x14ac:dyDescent="0.25">
      <c r="A5456"/>
      <c r="B5456"/>
    </row>
    <row r="5457" spans="1:2" x14ac:dyDescent="0.25">
      <c r="A5457"/>
      <c r="B5457"/>
    </row>
    <row r="5458" spans="1:2" x14ac:dyDescent="0.25">
      <c r="A5458"/>
      <c r="B5458"/>
    </row>
    <row r="5459" spans="1:2" x14ac:dyDescent="0.25">
      <c r="A5459"/>
      <c r="B5459"/>
    </row>
    <row r="5460" spans="1:2" x14ac:dyDescent="0.25">
      <c r="A5460"/>
      <c r="B5460"/>
    </row>
    <row r="5461" spans="1:2" x14ac:dyDescent="0.25">
      <c r="A5461"/>
      <c r="B5461"/>
    </row>
    <row r="5462" spans="1:2" x14ac:dyDescent="0.25">
      <c r="A5462"/>
      <c r="B5462"/>
    </row>
    <row r="5463" spans="1:2" x14ac:dyDescent="0.25">
      <c r="A5463"/>
      <c r="B5463"/>
    </row>
    <row r="5464" spans="1:2" x14ac:dyDescent="0.25">
      <c r="A5464"/>
      <c r="B5464"/>
    </row>
    <row r="5465" spans="1:2" x14ac:dyDescent="0.25">
      <c r="A5465"/>
      <c r="B5465"/>
    </row>
    <row r="5466" spans="1:2" x14ac:dyDescent="0.25">
      <c r="A5466"/>
      <c r="B5466"/>
    </row>
    <row r="5467" spans="1:2" x14ac:dyDescent="0.25">
      <c r="A5467"/>
      <c r="B5467"/>
    </row>
    <row r="5468" spans="1:2" x14ac:dyDescent="0.25">
      <c r="A5468"/>
      <c r="B5468"/>
    </row>
    <row r="5469" spans="1:2" x14ac:dyDescent="0.25">
      <c r="A5469"/>
      <c r="B5469"/>
    </row>
    <row r="5470" spans="1:2" x14ac:dyDescent="0.25">
      <c r="A5470"/>
      <c r="B5470"/>
    </row>
    <row r="5471" spans="1:2" x14ac:dyDescent="0.25">
      <c r="A5471"/>
      <c r="B5471"/>
    </row>
    <row r="5472" spans="1:2" x14ac:dyDescent="0.25">
      <c r="A5472"/>
      <c r="B5472"/>
    </row>
    <row r="5473" spans="1:2" x14ac:dyDescent="0.25">
      <c r="A5473"/>
      <c r="B5473"/>
    </row>
    <row r="5474" spans="1:2" x14ac:dyDescent="0.25">
      <c r="A5474"/>
      <c r="B5474"/>
    </row>
    <row r="5475" spans="1:2" x14ac:dyDescent="0.25">
      <c r="A5475"/>
      <c r="B5475"/>
    </row>
    <row r="5476" spans="1:2" x14ac:dyDescent="0.25">
      <c r="A5476"/>
      <c r="B5476"/>
    </row>
    <row r="5477" spans="1:2" x14ac:dyDescent="0.25">
      <c r="A5477"/>
      <c r="B5477"/>
    </row>
    <row r="5478" spans="1:2" x14ac:dyDescent="0.25">
      <c r="A5478"/>
      <c r="B5478"/>
    </row>
    <row r="5479" spans="1:2" x14ac:dyDescent="0.25">
      <c r="A5479"/>
      <c r="B5479"/>
    </row>
    <row r="5480" spans="1:2" x14ac:dyDescent="0.25">
      <c r="A5480"/>
      <c r="B5480"/>
    </row>
    <row r="5481" spans="1:2" x14ac:dyDescent="0.25">
      <c r="A5481"/>
      <c r="B5481"/>
    </row>
    <row r="5482" spans="1:2" x14ac:dyDescent="0.25">
      <c r="A5482"/>
      <c r="B5482"/>
    </row>
    <row r="5483" spans="1:2" x14ac:dyDescent="0.25">
      <c r="A5483"/>
      <c r="B5483"/>
    </row>
    <row r="5484" spans="1:2" x14ac:dyDescent="0.25">
      <c r="A5484"/>
      <c r="B5484"/>
    </row>
    <row r="5485" spans="1:2" x14ac:dyDescent="0.25">
      <c r="A5485"/>
      <c r="B5485"/>
    </row>
    <row r="5486" spans="1:2" x14ac:dyDescent="0.25">
      <c r="A5486"/>
      <c r="B5486"/>
    </row>
    <row r="5487" spans="1:2" x14ac:dyDescent="0.25">
      <c r="A5487"/>
      <c r="B5487"/>
    </row>
    <row r="5488" spans="1:2" x14ac:dyDescent="0.25">
      <c r="A5488"/>
      <c r="B5488"/>
    </row>
    <row r="5489" spans="1:2" x14ac:dyDescent="0.25">
      <c r="A5489"/>
      <c r="B5489"/>
    </row>
    <row r="5490" spans="1:2" x14ac:dyDescent="0.25">
      <c r="A5490"/>
      <c r="B5490"/>
    </row>
    <row r="5491" spans="1:2" x14ac:dyDescent="0.25">
      <c r="A5491"/>
      <c r="B5491"/>
    </row>
    <row r="5492" spans="1:2" x14ac:dyDescent="0.25">
      <c r="A5492"/>
      <c r="B5492"/>
    </row>
    <row r="5493" spans="1:2" x14ac:dyDescent="0.25">
      <c r="A5493"/>
      <c r="B5493"/>
    </row>
    <row r="5494" spans="1:2" x14ac:dyDescent="0.25">
      <c r="A5494"/>
      <c r="B5494"/>
    </row>
    <row r="5495" spans="1:2" x14ac:dyDescent="0.25">
      <c r="A5495"/>
      <c r="B5495"/>
    </row>
    <row r="5496" spans="1:2" x14ac:dyDescent="0.25">
      <c r="A5496"/>
      <c r="B5496"/>
    </row>
    <row r="5497" spans="1:2" x14ac:dyDescent="0.25">
      <c r="A5497"/>
      <c r="B5497"/>
    </row>
    <row r="5498" spans="1:2" x14ac:dyDescent="0.25">
      <c r="A5498"/>
      <c r="B5498"/>
    </row>
    <row r="5499" spans="1:2" x14ac:dyDescent="0.25">
      <c r="A5499"/>
      <c r="B5499"/>
    </row>
    <row r="5500" spans="1:2" x14ac:dyDescent="0.25">
      <c r="A5500"/>
      <c r="B5500"/>
    </row>
    <row r="5501" spans="1:2" x14ac:dyDescent="0.25">
      <c r="A5501"/>
      <c r="B5501"/>
    </row>
    <row r="5502" spans="1:2" x14ac:dyDescent="0.25">
      <c r="A5502"/>
      <c r="B5502"/>
    </row>
    <row r="5503" spans="1:2" x14ac:dyDescent="0.25">
      <c r="A5503"/>
      <c r="B5503"/>
    </row>
    <row r="5504" spans="1:2" x14ac:dyDescent="0.25">
      <c r="A5504"/>
      <c r="B5504"/>
    </row>
    <row r="5505" spans="1:2" x14ac:dyDescent="0.25">
      <c r="A5505"/>
      <c r="B5505"/>
    </row>
    <row r="5506" spans="1:2" x14ac:dyDescent="0.25">
      <c r="A5506"/>
      <c r="B5506"/>
    </row>
    <row r="5507" spans="1:2" x14ac:dyDescent="0.25">
      <c r="A5507"/>
      <c r="B5507"/>
    </row>
    <row r="5508" spans="1:2" x14ac:dyDescent="0.25">
      <c r="A5508"/>
      <c r="B5508"/>
    </row>
    <row r="5509" spans="1:2" x14ac:dyDescent="0.25">
      <c r="A5509"/>
      <c r="B5509"/>
    </row>
    <row r="5510" spans="1:2" x14ac:dyDescent="0.25">
      <c r="A5510"/>
      <c r="B5510"/>
    </row>
    <row r="5511" spans="1:2" x14ac:dyDescent="0.25">
      <c r="A5511"/>
      <c r="B5511"/>
    </row>
    <row r="5512" spans="1:2" x14ac:dyDescent="0.25">
      <c r="A5512"/>
      <c r="B5512"/>
    </row>
    <row r="5513" spans="1:2" x14ac:dyDescent="0.25">
      <c r="A5513"/>
      <c r="B5513"/>
    </row>
    <row r="5514" spans="1:2" x14ac:dyDescent="0.25">
      <c r="A5514"/>
      <c r="B5514"/>
    </row>
    <row r="5515" spans="1:2" x14ac:dyDescent="0.25">
      <c r="A5515"/>
      <c r="B5515"/>
    </row>
    <row r="5516" spans="1:2" x14ac:dyDescent="0.25">
      <c r="A5516"/>
      <c r="B5516"/>
    </row>
    <row r="5517" spans="1:2" x14ac:dyDescent="0.25">
      <c r="A5517"/>
      <c r="B5517"/>
    </row>
    <row r="5518" spans="1:2" x14ac:dyDescent="0.25">
      <c r="A5518"/>
      <c r="B5518"/>
    </row>
    <row r="5519" spans="1:2" x14ac:dyDescent="0.25">
      <c r="A5519"/>
      <c r="B5519"/>
    </row>
    <row r="5520" spans="1:2" x14ac:dyDescent="0.25">
      <c r="A5520"/>
      <c r="B5520"/>
    </row>
    <row r="5521" spans="1:2" x14ac:dyDescent="0.25">
      <c r="A5521"/>
      <c r="B5521"/>
    </row>
    <row r="5522" spans="1:2" x14ac:dyDescent="0.25">
      <c r="A5522"/>
      <c r="B5522"/>
    </row>
    <row r="5523" spans="1:2" x14ac:dyDescent="0.25">
      <c r="A5523"/>
      <c r="B5523"/>
    </row>
    <row r="5524" spans="1:2" x14ac:dyDescent="0.25">
      <c r="A5524"/>
      <c r="B5524"/>
    </row>
    <row r="5525" spans="1:2" x14ac:dyDescent="0.25">
      <c r="A5525"/>
      <c r="B5525"/>
    </row>
    <row r="5526" spans="1:2" x14ac:dyDescent="0.25">
      <c r="A5526"/>
      <c r="B5526"/>
    </row>
    <row r="5527" spans="1:2" x14ac:dyDescent="0.25">
      <c r="A5527"/>
      <c r="B5527"/>
    </row>
    <row r="5528" spans="1:2" x14ac:dyDescent="0.25">
      <c r="A5528"/>
      <c r="B5528"/>
    </row>
    <row r="5529" spans="1:2" x14ac:dyDescent="0.25">
      <c r="A5529"/>
      <c r="B5529"/>
    </row>
    <row r="5530" spans="1:2" x14ac:dyDescent="0.25">
      <c r="A5530"/>
      <c r="B5530"/>
    </row>
    <row r="5531" spans="1:2" x14ac:dyDescent="0.25">
      <c r="A5531"/>
      <c r="B5531"/>
    </row>
    <row r="5532" spans="1:2" x14ac:dyDescent="0.25">
      <c r="A5532"/>
      <c r="B5532"/>
    </row>
    <row r="5533" spans="1:2" x14ac:dyDescent="0.25">
      <c r="A5533"/>
      <c r="B5533"/>
    </row>
    <row r="5534" spans="1:2" x14ac:dyDescent="0.25">
      <c r="A5534"/>
      <c r="B5534"/>
    </row>
    <row r="5535" spans="1:2" x14ac:dyDescent="0.25">
      <c r="A5535"/>
      <c r="B5535"/>
    </row>
    <row r="5536" spans="1:2" x14ac:dyDescent="0.25">
      <c r="A5536"/>
      <c r="B5536"/>
    </row>
    <row r="5537" spans="1:2" x14ac:dyDescent="0.25">
      <c r="A5537"/>
      <c r="B5537"/>
    </row>
    <row r="5538" spans="1:2" x14ac:dyDescent="0.25">
      <c r="A5538"/>
      <c r="B5538"/>
    </row>
    <row r="5539" spans="1:2" x14ac:dyDescent="0.25">
      <c r="A5539"/>
      <c r="B5539"/>
    </row>
    <row r="5540" spans="1:2" x14ac:dyDescent="0.25">
      <c r="A5540"/>
      <c r="B5540"/>
    </row>
    <row r="5541" spans="1:2" x14ac:dyDescent="0.25">
      <c r="A5541"/>
      <c r="B5541"/>
    </row>
    <row r="5542" spans="1:2" x14ac:dyDescent="0.25">
      <c r="A5542"/>
      <c r="B5542"/>
    </row>
    <row r="5543" spans="1:2" x14ac:dyDescent="0.25">
      <c r="A5543"/>
      <c r="B5543"/>
    </row>
    <row r="5544" spans="1:2" x14ac:dyDescent="0.25">
      <c r="A5544"/>
      <c r="B5544"/>
    </row>
    <row r="5545" spans="1:2" x14ac:dyDescent="0.25">
      <c r="A5545"/>
      <c r="B5545"/>
    </row>
    <row r="5546" spans="1:2" x14ac:dyDescent="0.25">
      <c r="A5546"/>
      <c r="B5546"/>
    </row>
    <row r="5547" spans="1:2" x14ac:dyDescent="0.25">
      <c r="A5547"/>
      <c r="B5547"/>
    </row>
    <row r="5548" spans="1:2" x14ac:dyDescent="0.25">
      <c r="A5548"/>
      <c r="B5548"/>
    </row>
    <row r="5549" spans="1:2" x14ac:dyDescent="0.25">
      <c r="A5549"/>
      <c r="B5549"/>
    </row>
    <row r="5550" spans="1:2" x14ac:dyDescent="0.25">
      <c r="A5550"/>
      <c r="B5550"/>
    </row>
    <row r="5551" spans="1:2" x14ac:dyDescent="0.25">
      <c r="A5551"/>
      <c r="B5551"/>
    </row>
    <row r="5552" spans="1:2" x14ac:dyDescent="0.25">
      <c r="A5552"/>
      <c r="B5552"/>
    </row>
    <row r="5553" spans="1:2" x14ac:dyDescent="0.25">
      <c r="A5553"/>
      <c r="B5553"/>
    </row>
    <row r="5554" spans="1:2" x14ac:dyDescent="0.25">
      <c r="A5554"/>
      <c r="B5554"/>
    </row>
    <row r="5555" spans="1:2" x14ac:dyDescent="0.25">
      <c r="A5555"/>
      <c r="B5555"/>
    </row>
    <row r="5556" spans="1:2" x14ac:dyDescent="0.25">
      <c r="A5556"/>
      <c r="B5556"/>
    </row>
    <row r="5557" spans="1:2" x14ac:dyDescent="0.25">
      <c r="A5557"/>
      <c r="B5557"/>
    </row>
    <row r="5558" spans="1:2" x14ac:dyDescent="0.25">
      <c r="A5558"/>
      <c r="B5558"/>
    </row>
    <row r="5559" spans="1:2" x14ac:dyDescent="0.25">
      <c r="A5559"/>
      <c r="B5559"/>
    </row>
    <row r="5560" spans="1:2" x14ac:dyDescent="0.25">
      <c r="A5560"/>
      <c r="B5560"/>
    </row>
    <row r="5561" spans="1:2" x14ac:dyDescent="0.25">
      <c r="A5561"/>
      <c r="B5561"/>
    </row>
    <row r="5562" spans="1:2" x14ac:dyDescent="0.25">
      <c r="A5562"/>
      <c r="B5562"/>
    </row>
    <row r="5563" spans="1:2" x14ac:dyDescent="0.25">
      <c r="A5563"/>
      <c r="B5563"/>
    </row>
    <row r="5564" spans="1:2" x14ac:dyDescent="0.25">
      <c r="A5564"/>
      <c r="B5564"/>
    </row>
    <row r="5565" spans="1:2" x14ac:dyDescent="0.25">
      <c r="A5565"/>
      <c r="B5565"/>
    </row>
    <row r="5566" spans="1:2" x14ac:dyDescent="0.25">
      <c r="A5566"/>
      <c r="B5566"/>
    </row>
    <row r="5567" spans="1:2" x14ac:dyDescent="0.25">
      <c r="A5567"/>
      <c r="B5567"/>
    </row>
    <row r="5568" spans="1:2" x14ac:dyDescent="0.25">
      <c r="A5568"/>
      <c r="B5568"/>
    </row>
    <row r="5569" spans="1:2" x14ac:dyDescent="0.25">
      <c r="A5569"/>
      <c r="B5569"/>
    </row>
    <row r="5570" spans="1:2" x14ac:dyDescent="0.25">
      <c r="A5570"/>
      <c r="B5570"/>
    </row>
    <row r="5571" spans="1:2" x14ac:dyDescent="0.25">
      <c r="A5571"/>
      <c r="B5571"/>
    </row>
    <row r="5572" spans="1:2" x14ac:dyDescent="0.25">
      <c r="A5572"/>
      <c r="B5572"/>
    </row>
    <row r="5573" spans="1:2" x14ac:dyDescent="0.25">
      <c r="A5573"/>
      <c r="B5573"/>
    </row>
    <row r="5574" spans="1:2" x14ac:dyDescent="0.25">
      <c r="A5574"/>
      <c r="B5574"/>
    </row>
    <row r="5575" spans="1:2" x14ac:dyDescent="0.25">
      <c r="A5575"/>
      <c r="B5575"/>
    </row>
    <row r="5576" spans="1:2" x14ac:dyDescent="0.25">
      <c r="A5576"/>
      <c r="B5576"/>
    </row>
    <row r="5577" spans="1:2" x14ac:dyDescent="0.25">
      <c r="A5577"/>
      <c r="B5577"/>
    </row>
    <row r="5578" spans="1:2" x14ac:dyDescent="0.25">
      <c r="A5578"/>
      <c r="B5578"/>
    </row>
    <row r="5579" spans="1:2" x14ac:dyDescent="0.25">
      <c r="A5579"/>
      <c r="B5579"/>
    </row>
    <row r="5580" spans="1:2" x14ac:dyDescent="0.25">
      <c r="A5580"/>
      <c r="B5580"/>
    </row>
    <row r="5581" spans="1:2" x14ac:dyDescent="0.25">
      <c r="A5581"/>
      <c r="B5581"/>
    </row>
    <row r="5582" spans="1:2" x14ac:dyDescent="0.25">
      <c r="A5582"/>
      <c r="B5582"/>
    </row>
    <row r="5583" spans="1:2" x14ac:dyDescent="0.25">
      <c r="A5583"/>
      <c r="B5583"/>
    </row>
    <row r="5584" spans="1:2" x14ac:dyDescent="0.25">
      <c r="A5584"/>
      <c r="B5584"/>
    </row>
    <row r="5585" spans="1:2" x14ac:dyDescent="0.25">
      <c r="A5585"/>
      <c r="B5585"/>
    </row>
    <row r="5586" spans="1:2" x14ac:dyDescent="0.25">
      <c r="A5586"/>
      <c r="B5586"/>
    </row>
    <row r="5587" spans="1:2" x14ac:dyDescent="0.25">
      <c r="A5587"/>
      <c r="B5587"/>
    </row>
    <row r="5588" spans="1:2" x14ac:dyDescent="0.25">
      <c r="A5588"/>
      <c r="B5588"/>
    </row>
    <row r="5589" spans="1:2" x14ac:dyDescent="0.25">
      <c r="A5589"/>
      <c r="B5589"/>
    </row>
    <row r="5590" spans="1:2" x14ac:dyDescent="0.25">
      <c r="A5590"/>
      <c r="B5590"/>
    </row>
    <row r="5591" spans="1:2" x14ac:dyDescent="0.25">
      <c r="A5591"/>
      <c r="B5591"/>
    </row>
    <row r="5592" spans="1:2" x14ac:dyDescent="0.25">
      <c r="A5592"/>
      <c r="B5592"/>
    </row>
    <row r="5593" spans="1:2" x14ac:dyDescent="0.25">
      <c r="A5593"/>
      <c r="B5593"/>
    </row>
    <row r="5594" spans="1:2" x14ac:dyDescent="0.25">
      <c r="A5594"/>
      <c r="B5594"/>
    </row>
    <row r="5595" spans="1:2" x14ac:dyDescent="0.25">
      <c r="A5595"/>
      <c r="B5595"/>
    </row>
    <row r="5596" spans="1:2" x14ac:dyDescent="0.25">
      <c r="A5596"/>
      <c r="B5596"/>
    </row>
    <row r="5597" spans="1:2" x14ac:dyDescent="0.25">
      <c r="A5597"/>
      <c r="B5597"/>
    </row>
    <row r="5598" spans="1:2" x14ac:dyDescent="0.25">
      <c r="A5598"/>
      <c r="B5598"/>
    </row>
    <row r="5599" spans="1:2" x14ac:dyDescent="0.25">
      <c r="A5599"/>
      <c r="B5599"/>
    </row>
    <row r="5600" spans="1:2" x14ac:dyDescent="0.25">
      <c r="A5600"/>
      <c r="B5600"/>
    </row>
    <row r="5601" spans="1:2" x14ac:dyDescent="0.25">
      <c r="A5601"/>
      <c r="B5601"/>
    </row>
    <row r="5602" spans="1:2" x14ac:dyDescent="0.25">
      <c r="A5602"/>
      <c r="B5602"/>
    </row>
    <row r="5603" spans="1:2" x14ac:dyDescent="0.25">
      <c r="A5603"/>
      <c r="B5603"/>
    </row>
    <row r="5604" spans="1:2" x14ac:dyDescent="0.25">
      <c r="A5604"/>
      <c r="B5604"/>
    </row>
    <row r="5605" spans="1:2" x14ac:dyDescent="0.25">
      <c r="A5605"/>
      <c r="B5605"/>
    </row>
    <row r="5606" spans="1:2" x14ac:dyDescent="0.25">
      <c r="A5606"/>
      <c r="B5606"/>
    </row>
    <row r="5607" spans="1:2" x14ac:dyDescent="0.25">
      <c r="A5607"/>
      <c r="B5607"/>
    </row>
    <row r="5608" spans="1:2" x14ac:dyDescent="0.25">
      <c r="A5608"/>
      <c r="B5608"/>
    </row>
    <row r="5609" spans="1:2" x14ac:dyDescent="0.25">
      <c r="A5609"/>
      <c r="B5609"/>
    </row>
    <row r="5610" spans="1:2" x14ac:dyDescent="0.25">
      <c r="A5610"/>
      <c r="B5610"/>
    </row>
    <row r="5611" spans="1:2" x14ac:dyDescent="0.25">
      <c r="A5611"/>
      <c r="B5611"/>
    </row>
    <row r="5612" spans="1:2" x14ac:dyDescent="0.25">
      <c r="A5612"/>
      <c r="B5612"/>
    </row>
    <row r="5613" spans="1:2" x14ac:dyDescent="0.25">
      <c r="A5613"/>
      <c r="B5613"/>
    </row>
    <row r="5614" spans="1:2" x14ac:dyDescent="0.25">
      <c r="A5614"/>
      <c r="B5614"/>
    </row>
    <row r="5615" spans="1:2" x14ac:dyDescent="0.25">
      <c r="A5615"/>
      <c r="B5615"/>
    </row>
    <row r="5616" spans="1:2" x14ac:dyDescent="0.25">
      <c r="A5616"/>
      <c r="B5616"/>
    </row>
    <row r="5617" spans="1:2" x14ac:dyDescent="0.25">
      <c r="A5617"/>
      <c r="B5617"/>
    </row>
    <row r="5618" spans="1:2" x14ac:dyDescent="0.25">
      <c r="A5618"/>
      <c r="B5618"/>
    </row>
    <row r="5619" spans="1:2" x14ac:dyDescent="0.25">
      <c r="A5619"/>
      <c r="B5619"/>
    </row>
    <row r="5620" spans="1:2" x14ac:dyDescent="0.25">
      <c r="A5620"/>
      <c r="B5620"/>
    </row>
    <row r="5621" spans="1:2" x14ac:dyDescent="0.25">
      <c r="A5621"/>
      <c r="B5621"/>
    </row>
    <row r="5622" spans="1:2" x14ac:dyDescent="0.25">
      <c r="A5622"/>
      <c r="B5622"/>
    </row>
    <row r="5623" spans="1:2" x14ac:dyDescent="0.25">
      <c r="A5623"/>
      <c r="B5623"/>
    </row>
    <row r="5624" spans="1:2" x14ac:dyDescent="0.25">
      <c r="A5624"/>
      <c r="B5624"/>
    </row>
    <row r="5625" spans="1:2" x14ac:dyDescent="0.25">
      <c r="A5625"/>
      <c r="B5625"/>
    </row>
    <row r="5626" spans="1:2" x14ac:dyDescent="0.25">
      <c r="A5626"/>
      <c r="B5626"/>
    </row>
    <row r="5627" spans="1:2" x14ac:dyDescent="0.25">
      <c r="A5627"/>
      <c r="B5627"/>
    </row>
    <row r="5628" spans="1:2" x14ac:dyDescent="0.25">
      <c r="A5628"/>
      <c r="B5628"/>
    </row>
    <row r="5629" spans="1:2" x14ac:dyDescent="0.25">
      <c r="A5629"/>
      <c r="B5629"/>
    </row>
    <row r="5630" spans="1:2" x14ac:dyDescent="0.25">
      <c r="A5630"/>
      <c r="B5630"/>
    </row>
    <row r="5631" spans="1:2" x14ac:dyDescent="0.25">
      <c r="A5631"/>
      <c r="B5631"/>
    </row>
    <row r="5632" spans="1:2" x14ac:dyDescent="0.25">
      <c r="A5632"/>
      <c r="B5632"/>
    </row>
    <row r="5633" spans="1:2" x14ac:dyDescent="0.25">
      <c r="A5633"/>
      <c r="B5633"/>
    </row>
    <row r="5634" spans="1:2" x14ac:dyDescent="0.25">
      <c r="A5634"/>
      <c r="B5634"/>
    </row>
    <row r="5635" spans="1:2" x14ac:dyDescent="0.25">
      <c r="A5635"/>
      <c r="B5635"/>
    </row>
    <row r="5636" spans="1:2" x14ac:dyDescent="0.25">
      <c r="A5636"/>
      <c r="B5636"/>
    </row>
    <row r="5637" spans="1:2" x14ac:dyDescent="0.25">
      <c r="A5637"/>
      <c r="B5637"/>
    </row>
    <row r="5638" spans="1:2" x14ac:dyDescent="0.25">
      <c r="A5638"/>
      <c r="B5638"/>
    </row>
    <row r="5639" spans="1:2" x14ac:dyDescent="0.25">
      <c r="A5639"/>
      <c r="B5639"/>
    </row>
    <row r="5640" spans="1:2" x14ac:dyDescent="0.25">
      <c r="A5640"/>
      <c r="B5640"/>
    </row>
    <row r="5641" spans="1:2" x14ac:dyDescent="0.25">
      <c r="A5641"/>
      <c r="B5641"/>
    </row>
    <row r="5642" spans="1:2" x14ac:dyDescent="0.25">
      <c r="A5642"/>
      <c r="B5642"/>
    </row>
    <row r="5643" spans="1:2" x14ac:dyDescent="0.25">
      <c r="A5643"/>
      <c r="B5643"/>
    </row>
    <row r="5644" spans="1:2" x14ac:dyDescent="0.25">
      <c r="A5644"/>
      <c r="B5644"/>
    </row>
    <row r="5645" spans="1:2" x14ac:dyDescent="0.25">
      <c r="A5645"/>
      <c r="B5645"/>
    </row>
    <row r="5646" spans="1:2" x14ac:dyDescent="0.25">
      <c r="A5646"/>
      <c r="B5646"/>
    </row>
    <row r="5647" spans="1:2" x14ac:dyDescent="0.25">
      <c r="A5647"/>
      <c r="B5647"/>
    </row>
    <row r="5648" spans="1:2" x14ac:dyDescent="0.25">
      <c r="A5648"/>
      <c r="B5648"/>
    </row>
    <row r="5649" spans="1:2" x14ac:dyDescent="0.25">
      <c r="A5649"/>
      <c r="B5649"/>
    </row>
    <row r="5650" spans="1:2" x14ac:dyDescent="0.25">
      <c r="A5650"/>
      <c r="B5650"/>
    </row>
    <row r="5651" spans="1:2" x14ac:dyDescent="0.25">
      <c r="A5651"/>
      <c r="B5651"/>
    </row>
    <row r="5652" spans="1:2" x14ac:dyDescent="0.25">
      <c r="A5652"/>
      <c r="B5652"/>
    </row>
    <row r="5653" spans="1:2" x14ac:dyDescent="0.25">
      <c r="A5653"/>
      <c r="B5653"/>
    </row>
    <row r="5654" spans="1:2" x14ac:dyDescent="0.25">
      <c r="A5654"/>
      <c r="B5654"/>
    </row>
    <row r="5655" spans="1:2" x14ac:dyDescent="0.25">
      <c r="A5655"/>
      <c r="B5655"/>
    </row>
    <row r="5656" spans="1:2" x14ac:dyDescent="0.25">
      <c r="A5656"/>
      <c r="B5656"/>
    </row>
    <row r="5657" spans="1:2" x14ac:dyDescent="0.25">
      <c r="A5657"/>
      <c r="B5657"/>
    </row>
    <row r="5658" spans="1:2" x14ac:dyDescent="0.25">
      <c r="A5658"/>
      <c r="B5658"/>
    </row>
    <row r="5659" spans="1:2" x14ac:dyDescent="0.25">
      <c r="A5659"/>
      <c r="B5659"/>
    </row>
    <row r="5660" spans="1:2" x14ac:dyDescent="0.25">
      <c r="A5660"/>
      <c r="B5660"/>
    </row>
    <row r="5661" spans="1:2" x14ac:dyDescent="0.25">
      <c r="A5661"/>
      <c r="B5661"/>
    </row>
    <row r="5662" spans="1:2" x14ac:dyDescent="0.25">
      <c r="A5662"/>
      <c r="B5662"/>
    </row>
    <row r="5663" spans="1:2" x14ac:dyDescent="0.25">
      <c r="A5663"/>
      <c r="B5663"/>
    </row>
    <row r="5664" spans="1:2" x14ac:dyDescent="0.25">
      <c r="A5664"/>
      <c r="B5664"/>
    </row>
    <row r="5665" spans="1:2" x14ac:dyDescent="0.25">
      <c r="A5665"/>
      <c r="B5665"/>
    </row>
    <row r="5666" spans="1:2" x14ac:dyDescent="0.25">
      <c r="A5666"/>
      <c r="B5666"/>
    </row>
    <row r="5667" spans="1:2" x14ac:dyDescent="0.25">
      <c r="A5667"/>
      <c r="B5667"/>
    </row>
    <row r="5668" spans="1:2" x14ac:dyDescent="0.25">
      <c r="A5668"/>
      <c r="B5668"/>
    </row>
    <row r="5669" spans="1:2" x14ac:dyDescent="0.25">
      <c r="A5669"/>
      <c r="B5669"/>
    </row>
    <row r="5670" spans="1:2" x14ac:dyDescent="0.25">
      <c r="A5670"/>
      <c r="B5670"/>
    </row>
    <row r="5671" spans="1:2" x14ac:dyDescent="0.25">
      <c r="A5671"/>
      <c r="B5671"/>
    </row>
    <row r="5672" spans="1:2" x14ac:dyDescent="0.25">
      <c r="A5672"/>
      <c r="B5672"/>
    </row>
    <row r="5673" spans="1:2" x14ac:dyDescent="0.25">
      <c r="A5673"/>
      <c r="B5673"/>
    </row>
    <row r="5674" spans="1:2" x14ac:dyDescent="0.25">
      <c r="A5674"/>
      <c r="B5674"/>
    </row>
    <row r="5675" spans="1:2" x14ac:dyDescent="0.25">
      <c r="A5675"/>
      <c r="B5675"/>
    </row>
    <row r="5676" spans="1:2" x14ac:dyDescent="0.25">
      <c r="A5676"/>
      <c r="B5676"/>
    </row>
    <row r="5677" spans="1:2" x14ac:dyDescent="0.25">
      <c r="A5677"/>
      <c r="B5677"/>
    </row>
    <row r="5678" spans="1:2" x14ac:dyDescent="0.25">
      <c r="A5678"/>
      <c r="B5678"/>
    </row>
    <row r="5679" spans="1:2" x14ac:dyDescent="0.25">
      <c r="A5679"/>
      <c r="B5679"/>
    </row>
    <row r="5680" spans="1:2" x14ac:dyDescent="0.25">
      <c r="A5680"/>
      <c r="B5680"/>
    </row>
    <row r="5681" spans="1:2" x14ac:dyDescent="0.25">
      <c r="A5681"/>
      <c r="B5681"/>
    </row>
    <row r="5682" spans="1:2" x14ac:dyDescent="0.25">
      <c r="A5682"/>
      <c r="B5682"/>
    </row>
    <row r="5683" spans="1:2" x14ac:dyDescent="0.25">
      <c r="A5683"/>
      <c r="B5683"/>
    </row>
    <row r="5684" spans="1:2" x14ac:dyDescent="0.25">
      <c r="A5684"/>
      <c r="B5684"/>
    </row>
    <row r="5685" spans="1:2" x14ac:dyDescent="0.25">
      <c r="A5685"/>
      <c r="B5685"/>
    </row>
    <row r="5686" spans="1:2" x14ac:dyDescent="0.25">
      <c r="A5686"/>
      <c r="B5686"/>
    </row>
    <row r="5687" spans="1:2" x14ac:dyDescent="0.25">
      <c r="A5687"/>
      <c r="B5687"/>
    </row>
    <row r="5688" spans="1:2" x14ac:dyDescent="0.25">
      <c r="A5688"/>
      <c r="B5688"/>
    </row>
    <row r="5689" spans="1:2" x14ac:dyDescent="0.25">
      <c r="A5689"/>
      <c r="B5689"/>
    </row>
    <row r="5690" spans="1:2" x14ac:dyDescent="0.25">
      <c r="A5690"/>
      <c r="B5690"/>
    </row>
    <row r="5691" spans="1:2" x14ac:dyDescent="0.25">
      <c r="A5691"/>
      <c r="B5691"/>
    </row>
    <row r="5692" spans="1:2" x14ac:dyDescent="0.25">
      <c r="A5692"/>
      <c r="B5692"/>
    </row>
    <row r="5693" spans="1:2" x14ac:dyDescent="0.25">
      <c r="A5693"/>
      <c r="B5693"/>
    </row>
    <row r="5694" spans="1:2" x14ac:dyDescent="0.25">
      <c r="A5694"/>
      <c r="B5694"/>
    </row>
    <row r="5695" spans="1:2" x14ac:dyDescent="0.25">
      <c r="A5695"/>
      <c r="B5695"/>
    </row>
    <row r="5696" spans="1:2" x14ac:dyDescent="0.25">
      <c r="A5696"/>
      <c r="B5696"/>
    </row>
    <row r="5697" spans="1:2" x14ac:dyDescent="0.25">
      <c r="A5697"/>
      <c r="B5697"/>
    </row>
    <row r="5698" spans="1:2" x14ac:dyDescent="0.25">
      <c r="A5698"/>
      <c r="B5698"/>
    </row>
    <row r="5699" spans="1:2" x14ac:dyDescent="0.25">
      <c r="A5699"/>
      <c r="B5699"/>
    </row>
    <row r="5700" spans="1:2" x14ac:dyDescent="0.25">
      <c r="A5700"/>
      <c r="B5700"/>
    </row>
    <row r="5701" spans="1:2" x14ac:dyDescent="0.25">
      <c r="A5701"/>
      <c r="B5701"/>
    </row>
    <row r="5702" spans="1:2" x14ac:dyDescent="0.25">
      <c r="A5702"/>
      <c r="B5702"/>
    </row>
    <row r="5703" spans="1:2" x14ac:dyDescent="0.25">
      <c r="A5703"/>
      <c r="B5703"/>
    </row>
    <row r="5704" spans="1:2" x14ac:dyDescent="0.25">
      <c r="A5704"/>
      <c r="B5704"/>
    </row>
    <row r="5705" spans="1:2" x14ac:dyDescent="0.25">
      <c r="A5705"/>
      <c r="B5705"/>
    </row>
    <row r="5706" spans="1:2" x14ac:dyDescent="0.25">
      <c r="A5706"/>
      <c r="B5706"/>
    </row>
    <row r="5707" spans="1:2" x14ac:dyDescent="0.25">
      <c r="A5707"/>
      <c r="B5707"/>
    </row>
    <row r="5708" spans="1:2" x14ac:dyDescent="0.25">
      <c r="A5708"/>
      <c r="B5708"/>
    </row>
    <row r="5709" spans="1:2" x14ac:dyDescent="0.25">
      <c r="A5709"/>
      <c r="B5709"/>
    </row>
    <row r="5710" spans="1:2" x14ac:dyDescent="0.25">
      <c r="A5710"/>
      <c r="B5710"/>
    </row>
    <row r="5711" spans="1:2" x14ac:dyDescent="0.25">
      <c r="A5711"/>
      <c r="B5711"/>
    </row>
    <row r="5712" spans="1:2" x14ac:dyDescent="0.25">
      <c r="A5712"/>
      <c r="B5712"/>
    </row>
    <row r="5713" spans="1:2" x14ac:dyDescent="0.25">
      <c r="A5713"/>
      <c r="B5713"/>
    </row>
    <row r="5714" spans="1:2" x14ac:dyDescent="0.25">
      <c r="A5714"/>
      <c r="B5714"/>
    </row>
    <row r="5715" spans="1:2" x14ac:dyDescent="0.25">
      <c r="A5715"/>
      <c r="B5715"/>
    </row>
    <row r="5716" spans="1:2" x14ac:dyDescent="0.25">
      <c r="A5716"/>
      <c r="B5716"/>
    </row>
    <row r="5717" spans="1:2" x14ac:dyDescent="0.25">
      <c r="A5717"/>
      <c r="B5717"/>
    </row>
    <row r="5718" spans="1:2" x14ac:dyDescent="0.25">
      <c r="A5718"/>
      <c r="B5718"/>
    </row>
    <row r="5719" spans="1:2" x14ac:dyDescent="0.25">
      <c r="A5719"/>
      <c r="B5719"/>
    </row>
    <row r="5720" spans="1:2" x14ac:dyDescent="0.25">
      <c r="A5720"/>
      <c r="B5720"/>
    </row>
    <row r="5721" spans="1:2" x14ac:dyDescent="0.25">
      <c r="A5721"/>
      <c r="B5721"/>
    </row>
    <row r="5722" spans="1:2" x14ac:dyDescent="0.25">
      <c r="A5722"/>
      <c r="B5722"/>
    </row>
    <row r="5723" spans="1:2" x14ac:dyDescent="0.25">
      <c r="A5723"/>
      <c r="B5723"/>
    </row>
    <row r="5724" spans="1:2" x14ac:dyDescent="0.25">
      <c r="A5724"/>
      <c r="B5724"/>
    </row>
    <row r="5725" spans="1:2" x14ac:dyDescent="0.25">
      <c r="A5725"/>
      <c r="B5725"/>
    </row>
    <row r="5726" spans="1:2" x14ac:dyDescent="0.25">
      <c r="A5726"/>
      <c r="B5726"/>
    </row>
    <row r="5727" spans="1:2" x14ac:dyDescent="0.25">
      <c r="A5727"/>
      <c r="B5727"/>
    </row>
    <row r="5728" spans="1:2" x14ac:dyDescent="0.25">
      <c r="A5728"/>
      <c r="B5728"/>
    </row>
    <row r="5729" spans="1:2" x14ac:dyDescent="0.25">
      <c r="A5729"/>
      <c r="B5729"/>
    </row>
    <row r="5730" spans="1:2" x14ac:dyDescent="0.25">
      <c r="A5730"/>
      <c r="B5730"/>
    </row>
    <row r="5731" spans="1:2" x14ac:dyDescent="0.25">
      <c r="A5731"/>
      <c r="B5731"/>
    </row>
    <row r="5732" spans="1:2" x14ac:dyDescent="0.25">
      <c r="A5732"/>
      <c r="B5732"/>
    </row>
    <row r="5733" spans="1:2" x14ac:dyDescent="0.25">
      <c r="A5733"/>
      <c r="B5733"/>
    </row>
    <row r="5734" spans="1:2" x14ac:dyDescent="0.25">
      <c r="A5734"/>
      <c r="B5734"/>
    </row>
    <row r="5735" spans="1:2" x14ac:dyDescent="0.25">
      <c r="A5735"/>
      <c r="B5735"/>
    </row>
    <row r="5736" spans="1:2" x14ac:dyDescent="0.25">
      <c r="A5736"/>
      <c r="B5736"/>
    </row>
    <row r="5737" spans="1:2" x14ac:dyDescent="0.25">
      <c r="A5737"/>
      <c r="B5737"/>
    </row>
    <row r="5738" spans="1:2" x14ac:dyDescent="0.25">
      <c r="A5738"/>
      <c r="B5738"/>
    </row>
    <row r="5739" spans="1:2" x14ac:dyDescent="0.25">
      <c r="A5739"/>
      <c r="B5739"/>
    </row>
    <row r="5740" spans="1:2" x14ac:dyDescent="0.25">
      <c r="A5740"/>
      <c r="B5740"/>
    </row>
    <row r="5741" spans="1:2" x14ac:dyDescent="0.25">
      <c r="A5741"/>
      <c r="B5741"/>
    </row>
    <row r="5742" spans="1:2" x14ac:dyDescent="0.25">
      <c r="A5742"/>
      <c r="B5742"/>
    </row>
    <row r="5743" spans="1:2" x14ac:dyDescent="0.25">
      <c r="A5743"/>
      <c r="B5743"/>
    </row>
    <row r="5744" spans="1:2" x14ac:dyDescent="0.25">
      <c r="A5744"/>
      <c r="B5744"/>
    </row>
    <row r="5745" spans="1:2" x14ac:dyDescent="0.25">
      <c r="A5745"/>
      <c r="B5745"/>
    </row>
    <row r="5746" spans="1:2" x14ac:dyDescent="0.25">
      <c r="A5746"/>
      <c r="B5746"/>
    </row>
    <row r="5747" spans="1:2" x14ac:dyDescent="0.25">
      <c r="A5747"/>
      <c r="B5747"/>
    </row>
    <row r="5748" spans="1:2" x14ac:dyDescent="0.25">
      <c r="A5748"/>
      <c r="B5748"/>
    </row>
    <row r="5749" spans="1:2" x14ac:dyDescent="0.25">
      <c r="A5749"/>
      <c r="B5749"/>
    </row>
    <row r="5750" spans="1:2" x14ac:dyDescent="0.25">
      <c r="A5750"/>
      <c r="B5750"/>
    </row>
    <row r="5751" spans="1:2" x14ac:dyDescent="0.25">
      <c r="A5751"/>
      <c r="B5751"/>
    </row>
    <row r="5752" spans="1:2" x14ac:dyDescent="0.25">
      <c r="A5752"/>
      <c r="B5752"/>
    </row>
    <row r="5753" spans="1:2" x14ac:dyDescent="0.25">
      <c r="A5753"/>
      <c r="B5753"/>
    </row>
    <row r="5754" spans="1:2" x14ac:dyDescent="0.25">
      <c r="A5754"/>
      <c r="B5754"/>
    </row>
    <row r="5755" spans="1:2" x14ac:dyDescent="0.25">
      <c r="A5755"/>
      <c r="B5755"/>
    </row>
    <row r="5756" spans="1:2" x14ac:dyDescent="0.25">
      <c r="A5756"/>
      <c r="B5756"/>
    </row>
    <row r="5757" spans="1:2" x14ac:dyDescent="0.25">
      <c r="A5757"/>
      <c r="B5757"/>
    </row>
    <row r="5758" spans="1:2" x14ac:dyDescent="0.25">
      <c r="A5758"/>
      <c r="B5758"/>
    </row>
    <row r="5759" spans="1:2" x14ac:dyDescent="0.25">
      <c r="A5759"/>
      <c r="B5759"/>
    </row>
    <row r="5760" spans="1:2" x14ac:dyDescent="0.25">
      <c r="A5760"/>
      <c r="B5760"/>
    </row>
    <row r="5761" spans="1:2" x14ac:dyDescent="0.25">
      <c r="A5761"/>
      <c r="B5761"/>
    </row>
    <row r="5762" spans="1:2" x14ac:dyDescent="0.25">
      <c r="A5762"/>
      <c r="B5762"/>
    </row>
    <row r="5763" spans="1:2" x14ac:dyDescent="0.25">
      <c r="A5763"/>
      <c r="B5763"/>
    </row>
    <row r="5764" spans="1:2" x14ac:dyDescent="0.25">
      <c r="A5764"/>
      <c r="B5764"/>
    </row>
    <row r="5765" spans="1:2" x14ac:dyDescent="0.25">
      <c r="A5765"/>
      <c r="B5765"/>
    </row>
    <row r="5766" spans="1:2" x14ac:dyDescent="0.25">
      <c r="A5766"/>
      <c r="B5766"/>
    </row>
    <row r="5767" spans="1:2" x14ac:dyDescent="0.25">
      <c r="A5767"/>
      <c r="B5767"/>
    </row>
    <row r="5768" spans="1:2" x14ac:dyDescent="0.25">
      <c r="A5768"/>
      <c r="B5768"/>
    </row>
    <row r="5769" spans="1:2" x14ac:dyDescent="0.25">
      <c r="A5769"/>
      <c r="B5769"/>
    </row>
    <row r="5770" spans="1:2" x14ac:dyDescent="0.25">
      <c r="A5770"/>
      <c r="B5770"/>
    </row>
    <row r="5771" spans="1:2" x14ac:dyDescent="0.25">
      <c r="A5771"/>
      <c r="B5771"/>
    </row>
    <row r="5772" spans="1:2" x14ac:dyDescent="0.25">
      <c r="A5772"/>
      <c r="B5772"/>
    </row>
    <row r="5773" spans="1:2" x14ac:dyDescent="0.25">
      <c r="A5773"/>
      <c r="B5773"/>
    </row>
    <row r="5774" spans="1:2" x14ac:dyDescent="0.25">
      <c r="A5774"/>
      <c r="B5774"/>
    </row>
    <row r="5775" spans="1:2" x14ac:dyDescent="0.25">
      <c r="A5775"/>
      <c r="B5775"/>
    </row>
    <row r="5776" spans="1:2" x14ac:dyDescent="0.25">
      <c r="A5776"/>
      <c r="B5776"/>
    </row>
    <row r="5777" spans="1:2" x14ac:dyDescent="0.25">
      <c r="A5777"/>
      <c r="B5777"/>
    </row>
    <row r="5778" spans="1:2" x14ac:dyDescent="0.25">
      <c r="A5778"/>
      <c r="B5778"/>
    </row>
    <row r="5779" spans="1:2" x14ac:dyDescent="0.25">
      <c r="A5779"/>
      <c r="B5779"/>
    </row>
    <row r="5780" spans="1:2" x14ac:dyDescent="0.25">
      <c r="A5780"/>
      <c r="B5780"/>
    </row>
    <row r="5781" spans="1:2" x14ac:dyDescent="0.25">
      <c r="A5781"/>
      <c r="B5781"/>
    </row>
    <row r="5782" spans="1:2" x14ac:dyDescent="0.25">
      <c r="A5782"/>
      <c r="B5782"/>
    </row>
    <row r="5783" spans="1:2" x14ac:dyDescent="0.25">
      <c r="A5783"/>
      <c r="B5783"/>
    </row>
    <row r="5784" spans="1:2" x14ac:dyDescent="0.25">
      <c r="A5784"/>
      <c r="B5784"/>
    </row>
    <row r="5785" spans="1:2" x14ac:dyDescent="0.25">
      <c r="A5785"/>
      <c r="B5785"/>
    </row>
    <row r="5786" spans="1:2" x14ac:dyDescent="0.25">
      <c r="A5786"/>
      <c r="B5786"/>
    </row>
    <row r="5787" spans="1:2" x14ac:dyDescent="0.25">
      <c r="A5787"/>
      <c r="B5787"/>
    </row>
    <row r="5788" spans="1:2" x14ac:dyDescent="0.25">
      <c r="A5788"/>
      <c r="B5788"/>
    </row>
    <row r="5789" spans="1:2" x14ac:dyDescent="0.25">
      <c r="A5789"/>
      <c r="B5789"/>
    </row>
    <row r="5790" spans="1:2" x14ac:dyDescent="0.25">
      <c r="A5790"/>
      <c r="B5790"/>
    </row>
    <row r="5791" spans="1:2" x14ac:dyDescent="0.25">
      <c r="A5791"/>
      <c r="B5791"/>
    </row>
    <row r="5792" spans="1:2" x14ac:dyDescent="0.25">
      <c r="A5792"/>
      <c r="B5792"/>
    </row>
    <row r="5793" spans="1:2" x14ac:dyDescent="0.25">
      <c r="A5793"/>
      <c r="B5793"/>
    </row>
    <row r="5794" spans="1:2" x14ac:dyDescent="0.25">
      <c r="A5794"/>
      <c r="B5794"/>
    </row>
    <row r="5795" spans="1:2" x14ac:dyDescent="0.25">
      <c r="A5795"/>
      <c r="B5795"/>
    </row>
    <row r="5796" spans="1:2" x14ac:dyDescent="0.25">
      <c r="A5796"/>
      <c r="B5796"/>
    </row>
    <row r="5797" spans="1:2" x14ac:dyDescent="0.25">
      <c r="A5797"/>
      <c r="B5797"/>
    </row>
    <row r="5798" spans="1:2" x14ac:dyDescent="0.25">
      <c r="A5798"/>
      <c r="B5798"/>
    </row>
    <row r="5799" spans="1:2" x14ac:dyDescent="0.25">
      <c r="A5799"/>
      <c r="B5799"/>
    </row>
    <row r="5800" spans="1:2" x14ac:dyDescent="0.25">
      <c r="A5800"/>
      <c r="B5800"/>
    </row>
    <row r="5801" spans="1:2" x14ac:dyDescent="0.25">
      <c r="A5801"/>
      <c r="B5801"/>
    </row>
    <row r="5802" spans="1:2" x14ac:dyDescent="0.25">
      <c r="A5802"/>
      <c r="B5802"/>
    </row>
    <row r="5803" spans="1:2" x14ac:dyDescent="0.25">
      <c r="A5803"/>
      <c r="B5803"/>
    </row>
    <row r="5804" spans="1:2" x14ac:dyDescent="0.25">
      <c r="A5804"/>
      <c r="B5804"/>
    </row>
    <row r="5805" spans="1:2" x14ac:dyDescent="0.25">
      <c r="A5805"/>
      <c r="B5805"/>
    </row>
    <row r="5806" spans="1:2" x14ac:dyDescent="0.25">
      <c r="A5806"/>
      <c r="B5806"/>
    </row>
    <row r="5807" spans="1:2" x14ac:dyDescent="0.25">
      <c r="A5807"/>
      <c r="B5807"/>
    </row>
    <row r="5808" spans="1:2" x14ac:dyDescent="0.25">
      <c r="A5808"/>
      <c r="B5808"/>
    </row>
    <row r="5809" spans="1:2" x14ac:dyDescent="0.25">
      <c r="A5809"/>
      <c r="B5809"/>
    </row>
    <row r="5810" spans="1:2" x14ac:dyDescent="0.25">
      <c r="A5810"/>
      <c r="B5810"/>
    </row>
    <row r="5811" spans="1:2" x14ac:dyDescent="0.25">
      <c r="A5811"/>
      <c r="B5811"/>
    </row>
    <row r="5812" spans="1:2" x14ac:dyDescent="0.25">
      <c r="A5812"/>
      <c r="B5812"/>
    </row>
    <row r="5813" spans="1:2" x14ac:dyDescent="0.25">
      <c r="A5813"/>
      <c r="B5813"/>
    </row>
    <row r="5814" spans="1:2" x14ac:dyDescent="0.25">
      <c r="A5814"/>
      <c r="B5814"/>
    </row>
    <row r="5815" spans="1:2" x14ac:dyDescent="0.25">
      <c r="A5815"/>
      <c r="B5815"/>
    </row>
    <row r="5816" spans="1:2" x14ac:dyDescent="0.25">
      <c r="A5816"/>
      <c r="B5816"/>
    </row>
    <row r="5817" spans="1:2" x14ac:dyDescent="0.25">
      <c r="A5817"/>
      <c r="B5817"/>
    </row>
    <row r="5818" spans="1:2" x14ac:dyDescent="0.25">
      <c r="A5818"/>
      <c r="B5818"/>
    </row>
    <row r="5819" spans="1:2" x14ac:dyDescent="0.25">
      <c r="A5819"/>
      <c r="B5819"/>
    </row>
    <row r="5820" spans="1:2" x14ac:dyDescent="0.25">
      <c r="A5820"/>
      <c r="B5820"/>
    </row>
    <row r="5821" spans="1:2" x14ac:dyDescent="0.25">
      <c r="A5821"/>
      <c r="B5821"/>
    </row>
    <row r="5822" spans="1:2" x14ac:dyDescent="0.25">
      <c r="A5822"/>
      <c r="B5822"/>
    </row>
    <row r="5823" spans="1:2" x14ac:dyDescent="0.25">
      <c r="A5823"/>
      <c r="B5823"/>
    </row>
    <row r="5824" spans="1:2" x14ac:dyDescent="0.25">
      <c r="A5824"/>
      <c r="B5824"/>
    </row>
    <row r="5825" spans="1:2" x14ac:dyDescent="0.25">
      <c r="A5825"/>
      <c r="B5825"/>
    </row>
    <row r="5826" spans="1:2" x14ac:dyDescent="0.25">
      <c r="A5826"/>
      <c r="B5826"/>
    </row>
    <row r="5827" spans="1:2" x14ac:dyDescent="0.25">
      <c r="A5827"/>
      <c r="B5827"/>
    </row>
    <row r="5828" spans="1:2" x14ac:dyDescent="0.25">
      <c r="A5828"/>
      <c r="B5828"/>
    </row>
    <row r="5829" spans="1:2" x14ac:dyDescent="0.25">
      <c r="A5829"/>
      <c r="B5829"/>
    </row>
    <row r="5830" spans="1:2" x14ac:dyDescent="0.25">
      <c r="A5830"/>
      <c r="B5830"/>
    </row>
    <row r="5831" spans="1:2" x14ac:dyDescent="0.25">
      <c r="A5831"/>
      <c r="B5831"/>
    </row>
    <row r="5832" spans="1:2" x14ac:dyDescent="0.25">
      <c r="A5832"/>
      <c r="B5832"/>
    </row>
    <row r="5833" spans="1:2" x14ac:dyDescent="0.25">
      <c r="A5833"/>
      <c r="B5833"/>
    </row>
    <row r="5834" spans="1:2" x14ac:dyDescent="0.25">
      <c r="A5834"/>
      <c r="B5834"/>
    </row>
    <row r="5835" spans="1:2" x14ac:dyDescent="0.25">
      <c r="A5835"/>
      <c r="B5835"/>
    </row>
    <row r="5836" spans="1:2" x14ac:dyDescent="0.25">
      <c r="A5836"/>
      <c r="B5836"/>
    </row>
    <row r="5837" spans="1:2" x14ac:dyDescent="0.25">
      <c r="A5837"/>
      <c r="B5837"/>
    </row>
    <row r="5838" spans="1:2" x14ac:dyDescent="0.25">
      <c r="A5838"/>
      <c r="B5838"/>
    </row>
    <row r="5839" spans="1:2" x14ac:dyDescent="0.25">
      <c r="A5839"/>
      <c r="B5839"/>
    </row>
    <row r="5840" spans="1:2" x14ac:dyDescent="0.25">
      <c r="A5840"/>
      <c r="B5840"/>
    </row>
    <row r="5841" spans="1:2" x14ac:dyDescent="0.25">
      <c r="A5841"/>
      <c r="B5841"/>
    </row>
    <row r="5842" spans="1:2" x14ac:dyDescent="0.25">
      <c r="A5842"/>
      <c r="B5842"/>
    </row>
    <row r="5843" spans="1:2" x14ac:dyDescent="0.25">
      <c r="A5843"/>
      <c r="B5843"/>
    </row>
    <row r="5844" spans="1:2" x14ac:dyDescent="0.25">
      <c r="A5844"/>
      <c r="B5844"/>
    </row>
    <row r="5845" spans="1:2" x14ac:dyDescent="0.25">
      <c r="A5845"/>
      <c r="B5845"/>
    </row>
    <row r="5846" spans="1:2" x14ac:dyDescent="0.25">
      <c r="A5846"/>
      <c r="B5846"/>
    </row>
    <row r="5847" spans="1:2" x14ac:dyDescent="0.25">
      <c r="A5847"/>
      <c r="B5847"/>
    </row>
    <row r="5848" spans="1:2" x14ac:dyDescent="0.25">
      <c r="A5848"/>
      <c r="B5848"/>
    </row>
    <row r="5849" spans="1:2" x14ac:dyDescent="0.25">
      <c r="A5849"/>
      <c r="B5849"/>
    </row>
    <row r="5850" spans="1:2" x14ac:dyDescent="0.25">
      <c r="A5850"/>
      <c r="B5850"/>
    </row>
    <row r="5851" spans="1:2" x14ac:dyDescent="0.25">
      <c r="A5851"/>
      <c r="B5851"/>
    </row>
    <row r="5852" spans="1:2" x14ac:dyDescent="0.25">
      <c r="A5852"/>
      <c r="B5852"/>
    </row>
    <row r="5853" spans="1:2" x14ac:dyDescent="0.25">
      <c r="A5853"/>
      <c r="B5853"/>
    </row>
    <row r="5854" spans="1:2" x14ac:dyDescent="0.25">
      <c r="A5854"/>
      <c r="B5854"/>
    </row>
    <row r="5855" spans="1:2" x14ac:dyDescent="0.25">
      <c r="A5855"/>
      <c r="B5855"/>
    </row>
    <row r="5856" spans="1:2" x14ac:dyDescent="0.25">
      <c r="A5856"/>
      <c r="B5856"/>
    </row>
    <row r="5857" spans="1:2" x14ac:dyDescent="0.25">
      <c r="A5857"/>
      <c r="B5857"/>
    </row>
    <row r="5858" spans="1:2" x14ac:dyDescent="0.25">
      <c r="A5858"/>
      <c r="B5858"/>
    </row>
    <row r="5859" spans="1:2" x14ac:dyDescent="0.25">
      <c r="A5859"/>
      <c r="B5859"/>
    </row>
    <row r="5860" spans="1:2" x14ac:dyDescent="0.25">
      <c r="A5860"/>
      <c r="B5860"/>
    </row>
    <row r="5861" spans="1:2" x14ac:dyDescent="0.25">
      <c r="A5861"/>
      <c r="B5861"/>
    </row>
    <row r="5862" spans="1:2" x14ac:dyDescent="0.25">
      <c r="A5862"/>
      <c r="B5862"/>
    </row>
    <row r="5863" spans="1:2" x14ac:dyDescent="0.25">
      <c r="A5863"/>
      <c r="B5863"/>
    </row>
    <row r="5864" spans="1:2" x14ac:dyDescent="0.25">
      <c r="A5864"/>
      <c r="B5864"/>
    </row>
    <row r="5865" spans="1:2" x14ac:dyDescent="0.25">
      <c r="A5865"/>
      <c r="B5865"/>
    </row>
    <row r="5866" spans="1:2" x14ac:dyDescent="0.25">
      <c r="A5866"/>
      <c r="B5866"/>
    </row>
    <row r="5867" spans="1:2" x14ac:dyDescent="0.25">
      <c r="A5867"/>
      <c r="B5867"/>
    </row>
    <row r="5868" spans="1:2" x14ac:dyDescent="0.25">
      <c r="A5868"/>
      <c r="B5868"/>
    </row>
    <row r="5869" spans="1:2" x14ac:dyDescent="0.25">
      <c r="A5869"/>
      <c r="B5869"/>
    </row>
    <row r="5870" spans="1:2" x14ac:dyDescent="0.25">
      <c r="A5870"/>
      <c r="B5870"/>
    </row>
    <row r="5871" spans="1:2" x14ac:dyDescent="0.25">
      <c r="A5871"/>
      <c r="B5871"/>
    </row>
    <row r="5872" spans="1:2" x14ac:dyDescent="0.25">
      <c r="A5872"/>
      <c r="B5872"/>
    </row>
    <row r="5873" spans="1:2" x14ac:dyDescent="0.25">
      <c r="A5873"/>
      <c r="B5873"/>
    </row>
    <row r="5874" spans="1:2" x14ac:dyDescent="0.25">
      <c r="A5874"/>
      <c r="B5874"/>
    </row>
    <row r="5875" spans="1:2" x14ac:dyDescent="0.25">
      <c r="A5875"/>
      <c r="B5875"/>
    </row>
    <row r="5876" spans="1:2" x14ac:dyDescent="0.25">
      <c r="A5876"/>
      <c r="B5876"/>
    </row>
    <row r="5877" spans="1:2" x14ac:dyDescent="0.25">
      <c r="A5877"/>
      <c r="B5877"/>
    </row>
    <row r="5878" spans="1:2" x14ac:dyDescent="0.25">
      <c r="A5878"/>
      <c r="B5878"/>
    </row>
    <row r="5879" spans="1:2" x14ac:dyDescent="0.25">
      <c r="A5879"/>
      <c r="B5879"/>
    </row>
    <row r="5880" spans="1:2" x14ac:dyDescent="0.25">
      <c r="A5880"/>
      <c r="B5880"/>
    </row>
    <row r="5881" spans="1:2" x14ac:dyDescent="0.25">
      <c r="A5881"/>
      <c r="B5881"/>
    </row>
    <row r="5882" spans="1:2" x14ac:dyDescent="0.25">
      <c r="A5882"/>
      <c r="B5882"/>
    </row>
    <row r="5883" spans="1:2" x14ac:dyDescent="0.25">
      <c r="A5883"/>
      <c r="B5883"/>
    </row>
    <row r="5884" spans="1:2" x14ac:dyDescent="0.25">
      <c r="A5884"/>
      <c r="B5884"/>
    </row>
    <row r="5885" spans="1:2" x14ac:dyDescent="0.25">
      <c r="A5885"/>
      <c r="B5885"/>
    </row>
    <row r="5886" spans="1:2" x14ac:dyDescent="0.25">
      <c r="A5886"/>
      <c r="B5886"/>
    </row>
    <row r="5887" spans="1:2" x14ac:dyDescent="0.25">
      <c r="A5887"/>
      <c r="B5887"/>
    </row>
    <row r="5888" spans="1:2" x14ac:dyDescent="0.25">
      <c r="A5888"/>
      <c r="B5888"/>
    </row>
    <row r="5889" spans="1:2" x14ac:dyDescent="0.25">
      <c r="A5889"/>
      <c r="B5889"/>
    </row>
    <row r="5890" spans="1:2" x14ac:dyDescent="0.25">
      <c r="A5890"/>
      <c r="B5890"/>
    </row>
    <row r="5891" spans="1:2" x14ac:dyDescent="0.25">
      <c r="A5891"/>
      <c r="B5891"/>
    </row>
    <row r="5892" spans="1:2" x14ac:dyDescent="0.25">
      <c r="A5892"/>
      <c r="B5892"/>
    </row>
    <row r="5893" spans="1:2" x14ac:dyDescent="0.25">
      <c r="A5893"/>
      <c r="B5893"/>
    </row>
    <row r="5894" spans="1:2" x14ac:dyDescent="0.25">
      <c r="A5894"/>
      <c r="B5894"/>
    </row>
    <row r="5895" spans="1:2" x14ac:dyDescent="0.25">
      <c r="A5895"/>
      <c r="B5895"/>
    </row>
    <row r="5896" spans="1:2" x14ac:dyDescent="0.25">
      <c r="A5896"/>
      <c r="B5896"/>
    </row>
    <row r="5897" spans="1:2" x14ac:dyDescent="0.25">
      <c r="A5897"/>
      <c r="B5897"/>
    </row>
    <row r="5898" spans="1:2" x14ac:dyDescent="0.25">
      <c r="A5898"/>
      <c r="B5898"/>
    </row>
    <row r="5899" spans="1:2" x14ac:dyDescent="0.25">
      <c r="A5899"/>
      <c r="B5899"/>
    </row>
    <row r="5900" spans="1:2" x14ac:dyDescent="0.25">
      <c r="A5900"/>
      <c r="B5900"/>
    </row>
    <row r="5901" spans="1:2" x14ac:dyDescent="0.25">
      <c r="A5901"/>
      <c r="B5901"/>
    </row>
    <row r="5902" spans="1:2" x14ac:dyDescent="0.25">
      <c r="A5902"/>
      <c r="B5902"/>
    </row>
    <row r="5903" spans="1:2" x14ac:dyDescent="0.25">
      <c r="A5903"/>
      <c r="B5903"/>
    </row>
    <row r="5904" spans="1:2" x14ac:dyDescent="0.25">
      <c r="A5904"/>
      <c r="B5904"/>
    </row>
    <row r="5905" spans="1:2" x14ac:dyDescent="0.25">
      <c r="A5905"/>
      <c r="B5905"/>
    </row>
    <row r="5906" spans="1:2" x14ac:dyDescent="0.25">
      <c r="A5906"/>
      <c r="B5906"/>
    </row>
    <row r="5907" spans="1:2" x14ac:dyDescent="0.25">
      <c r="A5907"/>
      <c r="B5907"/>
    </row>
    <row r="5908" spans="1:2" x14ac:dyDescent="0.25">
      <c r="A5908"/>
      <c r="B5908"/>
    </row>
    <row r="5909" spans="1:2" x14ac:dyDescent="0.25">
      <c r="A5909"/>
      <c r="B5909"/>
    </row>
    <row r="5910" spans="1:2" x14ac:dyDescent="0.25">
      <c r="A5910"/>
      <c r="B5910"/>
    </row>
    <row r="5911" spans="1:2" x14ac:dyDescent="0.25">
      <c r="A5911"/>
      <c r="B5911"/>
    </row>
    <row r="5912" spans="1:2" x14ac:dyDescent="0.25">
      <c r="A5912"/>
      <c r="B5912"/>
    </row>
    <row r="5913" spans="1:2" x14ac:dyDescent="0.25">
      <c r="A5913"/>
      <c r="B5913"/>
    </row>
    <row r="5914" spans="1:2" x14ac:dyDescent="0.25">
      <c r="A5914"/>
      <c r="B5914"/>
    </row>
    <row r="5915" spans="1:2" x14ac:dyDescent="0.25">
      <c r="A5915"/>
      <c r="B5915"/>
    </row>
    <row r="5916" spans="1:2" x14ac:dyDescent="0.25">
      <c r="A5916"/>
      <c r="B5916"/>
    </row>
    <row r="5917" spans="1:2" x14ac:dyDescent="0.25">
      <c r="A5917"/>
      <c r="B5917"/>
    </row>
    <row r="5918" spans="1:2" x14ac:dyDescent="0.25">
      <c r="A5918"/>
      <c r="B5918"/>
    </row>
    <row r="5919" spans="1:2" x14ac:dyDescent="0.25">
      <c r="A5919"/>
      <c r="B5919"/>
    </row>
    <row r="5920" spans="1:2" x14ac:dyDescent="0.25">
      <c r="A5920"/>
      <c r="B5920"/>
    </row>
    <row r="5921" spans="1:2" x14ac:dyDescent="0.25">
      <c r="A5921"/>
      <c r="B5921"/>
    </row>
    <row r="5922" spans="1:2" x14ac:dyDescent="0.25">
      <c r="A5922"/>
      <c r="B5922"/>
    </row>
    <row r="5923" spans="1:2" x14ac:dyDescent="0.25">
      <c r="A5923"/>
      <c r="B5923"/>
    </row>
    <row r="5924" spans="1:2" x14ac:dyDescent="0.25">
      <c r="A5924"/>
      <c r="B5924"/>
    </row>
    <row r="5925" spans="1:2" x14ac:dyDescent="0.25">
      <c r="A5925"/>
      <c r="B5925"/>
    </row>
    <row r="5926" spans="1:2" x14ac:dyDescent="0.25">
      <c r="A5926"/>
      <c r="B5926"/>
    </row>
    <row r="5927" spans="1:2" x14ac:dyDescent="0.25">
      <c r="A5927"/>
      <c r="B5927"/>
    </row>
    <row r="5928" spans="1:2" x14ac:dyDescent="0.25">
      <c r="A5928"/>
      <c r="B5928"/>
    </row>
    <row r="5929" spans="1:2" x14ac:dyDescent="0.25">
      <c r="A5929"/>
      <c r="B5929"/>
    </row>
    <row r="5930" spans="1:2" x14ac:dyDescent="0.25">
      <c r="A5930"/>
      <c r="B5930"/>
    </row>
    <row r="5931" spans="1:2" x14ac:dyDescent="0.25">
      <c r="A5931"/>
      <c r="B5931"/>
    </row>
    <row r="5932" spans="1:2" x14ac:dyDescent="0.25">
      <c r="A5932"/>
      <c r="B5932"/>
    </row>
    <row r="5933" spans="1:2" x14ac:dyDescent="0.25">
      <c r="A5933"/>
      <c r="B5933"/>
    </row>
    <row r="5934" spans="1:2" x14ac:dyDescent="0.25">
      <c r="A5934"/>
      <c r="B5934"/>
    </row>
    <row r="5935" spans="1:2" x14ac:dyDescent="0.25">
      <c r="A5935"/>
      <c r="B5935"/>
    </row>
    <row r="5936" spans="1:2" x14ac:dyDescent="0.25">
      <c r="A5936"/>
      <c r="B5936"/>
    </row>
    <row r="5937" spans="1:2" x14ac:dyDescent="0.25">
      <c r="A5937"/>
      <c r="B5937"/>
    </row>
    <row r="5938" spans="1:2" x14ac:dyDescent="0.25">
      <c r="A5938"/>
      <c r="B5938"/>
    </row>
    <row r="5939" spans="1:2" x14ac:dyDescent="0.25">
      <c r="A5939"/>
      <c r="B5939"/>
    </row>
    <row r="5940" spans="1:2" x14ac:dyDescent="0.25">
      <c r="A5940"/>
      <c r="B5940"/>
    </row>
    <row r="5941" spans="1:2" x14ac:dyDescent="0.25">
      <c r="A5941"/>
      <c r="B5941"/>
    </row>
    <row r="5942" spans="1:2" x14ac:dyDescent="0.25">
      <c r="A5942"/>
      <c r="B5942"/>
    </row>
    <row r="5943" spans="1:2" x14ac:dyDescent="0.25">
      <c r="A5943"/>
      <c r="B5943"/>
    </row>
    <row r="5944" spans="1:2" x14ac:dyDescent="0.25">
      <c r="A5944"/>
      <c r="B5944"/>
    </row>
    <row r="5945" spans="1:2" x14ac:dyDescent="0.25">
      <c r="A5945"/>
      <c r="B5945"/>
    </row>
    <row r="5946" spans="1:2" x14ac:dyDescent="0.25">
      <c r="A5946"/>
      <c r="B5946"/>
    </row>
    <row r="5947" spans="1:2" x14ac:dyDescent="0.25">
      <c r="A5947"/>
      <c r="B5947"/>
    </row>
    <row r="5948" spans="1:2" x14ac:dyDescent="0.25">
      <c r="A5948"/>
      <c r="B5948"/>
    </row>
    <row r="5949" spans="1:2" x14ac:dyDescent="0.25">
      <c r="A5949"/>
      <c r="B5949"/>
    </row>
    <row r="5950" spans="1:2" x14ac:dyDescent="0.25">
      <c r="A5950"/>
      <c r="B5950"/>
    </row>
    <row r="5951" spans="1:2" x14ac:dyDescent="0.25">
      <c r="A5951"/>
      <c r="B5951"/>
    </row>
    <row r="5952" spans="1:2" x14ac:dyDescent="0.25">
      <c r="A5952"/>
      <c r="B5952"/>
    </row>
    <row r="5953" spans="1:2" x14ac:dyDescent="0.25">
      <c r="A5953"/>
      <c r="B5953"/>
    </row>
    <row r="5954" spans="1:2" x14ac:dyDescent="0.25">
      <c r="A5954"/>
      <c r="B5954"/>
    </row>
    <row r="5955" spans="1:2" x14ac:dyDescent="0.25">
      <c r="A5955"/>
      <c r="B5955"/>
    </row>
    <row r="5956" spans="1:2" x14ac:dyDescent="0.25">
      <c r="A5956"/>
      <c r="B5956"/>
    </row>
    <row r="5957" spans="1:2" x14ac:dyDescent="0.25">
      <c r="A5957"/>
      <c r="B5957"/>
    </row>
    <row r="5958" spans="1:2" x14ac:dyDescent="0.25">
      <c r="A5958"/>
      <c r="B5958"/>
    </row>
    <row r="5959" spans="1:2" x14ac:dyDescent="0.25">
      <c r="A5959"/>
      <c r="B5959"/>
    </row>
    <row r="5960" spans="1:2" x14ac:dyDescent="0.25">
      <c r="A5960"/>
      <c r="B5960"/>
    </row>
    <row r="5961" spans="1:2" x14ac:dyDescent="0.25">
      <c r="A5961"/>
      <c r="B5961"/>
    </row>
    <row r="5962" spans="1:2" x14ac:dyDescent="0.25">
      <c r="A5962"/>
      <c r="B5962"/>
    </row>
    <row r="5963" spans="1:2" x14ac:dyDescent="0.25">
      <c r="A5963"/>
      <c r="B5963"/>
    </row>
    <row r="5964" spans="1:2" x14ac:dyDescent="0.25">
      <c r="A5964"/>
      <c r="B5964"/>
    </row>
    <row r="5965" spans="1:2" x14ac:dyDescent="0.25">
      <c r="A5965"/>
      <c r="B5965"/>
    </row>
    <row r="5966" spans="1:2" x14ac:dyDescent="0.25">
      <c r="A5966"/>
      <c r="B5966"/>
    </row>
    <row r="5967" spans="1:2" x14ac:dyDescent="0.25">
      <c r="A5967"/>
      <c r="B5967"/>
    </row>
    <row r="5968" spans="1:2" x14ac:dyDescent="0.25">
      <c r="A5968"/>
      <c r="B5968"/>
    </row>
    <row r="5969" spans="1:2" x14ac:dyDescent="0.25">
      <c r="A5969"/>
      <c r="B5969"/>
    </row>
    <row r="5970" spans="1:2" x14ac:dyDescent="0.25">
      <c r="A5970"/>
      <c r="B5970"/>
    </row>
    <row r="5971" spans="1:2" x14ac:dyDescent="0.25">
      <c r="A5971"/>
      <c r="B5971"/>
    </row>
    <row r="5972" spans="1:2" x14ac:dyDescent="0.25">
      <c r="A5972"/>
      <c r="B5972"/>
    </row>
    <row r="5973" spans="1:2" x14ac:dyDescent="0.25">
      <c r="A5973"/>
      <c r="B5973"/>
    </row>
    <row r="5974" spans="1:2" x14ac:dyDescent="0.25">
      <c r="A5974"/>
      <c r="B5974"/>
    </row>
    <row r="5975" spans="1:2" x14ac:dyDescent="0.25">
      <c r="A5975"/>
      <c r="B5975"/>
    </row>
    <row r="5976" spans="1:2" x14ac:dyDescent="0.25">
      <c r="A5976"/>
      <c r="B5976"/>
    </row>
    <row r="5977" spans="1:2" x14ac:dyDescent="0.25">
      <c r="A5977"/>
      <c r="B5977"/>
    </row>
    <row r="5978" spans="1:2" x14ac:dyDescent="0.25">
      <c r="A5978"/>
      <c r="B5978"/>
    </row>
    <row r="5979" spans="1:2" x14ac:dyDescent="0.25">
      <c r="A5979"/>
      <c r="B5979"/>
    </row>
    <row r="5980" spans="1:2" x14ac:dyDescent="0.25">
      <c r="A5980"/>
      <c r="B5980"/>
    </row>
    <row r="5981" spans="1:2" x14ac:dyDescent="0.25">
      <c r="A5981"/>
      <c r="B5981"/>
    </row>
    <row r="5982" spans="1:2" x14ac:dyDescent="0.25">
      <c r="A5982"/>
      <c r="B5982"/>
    </row>
    <row r="5983" spans="1:2" x14ac:dyDescent="0.25">
      <c r="A5983"/>
      <c r="B5983"/>
    </row>
    <row r="5984" spans="1:2" x14ac:dyDescent="0.25">
      <c r="A5984"/>
      <c r="B5984"/>
    </row>
    <row r="5985" spans="1:2" x14ac:dyDescent="0.25">
      <c r="A5985"/>
      <c r="B5985"/>
    </row>
    <row r="5986" spans="1:2" x14ac:dyDescent="0.25">
      <c r="A5986"/>
      <c r="B5986"/>
    </row>
    <row r="5987" spans="1:2" x14ac:dyDescent="0.25">
      <c r="A5987"/>
      <c r="B5987"/>
    </row>
    <row r="5988" spans="1:2" x14ac:dyDescent="0.25">
      <c r="A5988"/>
      <c r="B5988"/>
    </row>
    <row r="5989" spans="1:2" x14ac:dyDescent="0.25">
      <c r="A5989"/>
      <c r="B5989"/>
    </row>
    <row r="5990" spans="1:2" x14ac:dyDescent="0.25">
      <c r="A5990"/>
      <c r="B5990"/>
    </row>
    <row r="5991" spans="1:2" x14ac:dyDescent="0.25">
      <c r="A5991"/>
      <c r="B5991"/>
    </row>
    <row r="5992" spans="1:2" x14ac:dyDescent="0.25">
      <c r="A5992"/>
      <c r="B5992"/>
    </row>
    <row r="5993" spans="1:2" x14ac:dyDescent="0.25">
      <c r="A5993"/>
      <c r="B5993"/>
    </row>
    <row r="5994" spans="1:2" x14ac:dyDescent="0.25">
      <c r="A5994"/>
      <c r="B5994"/>
    </row>
    <row r="5995" spans="1:2" x14ac:dyDescent="0.25">
      <c r="A5995"/>
      <c r="B5995"/>
    </row>
    <row r="5996" spans="1:2" x14ac:dyDescent="0.25">
      <c r="A5996"/>
      <c r="B5996"/>
    </row>
    <row r="5997" spans="1:2" x14ac:dyDescent="0.25">
      <c r="A5997"/>
      <c r="B5997"/>
    </row>
    <row r="5998" spans="1:2" x14ac:dyDescent="0.25">
      <c r="A5998"/>
      <c r="B5998"/>
    </row>
    <row r="5999" spans="1:2" x14ac:dyDescent="0.25">
      <c r="A5999"/>
      <c r="B5999"/>
    </row>
    <row r="6000" spans="1:2" x14ac:dyDescent="0.25">
      <c r="A6000"/>
      <c r="B6000"/>
    </row>
    <row r="6001" spans="1:2" x14ac:dyDescent="0.25">
      <c r="A6001"/>
      <c r="B6001"/>
    </row>
    <row r="6002" spans="1:2" x14ac:dyDescent="0.25">
      <c r="A6002"/>
      <c r="B6002"/>
    </row>
    <row r="6003" spans="1:2" x14ac:dyDescent="0.25">
      <c r="A6003"/>
      <c r="B6003"/>
    </row>
    <row r="6004" spans="1:2" x14ac:dyDescent="0.25">
      <c r="A6004"/>
      <c r="B6004"/>
    </row>
    <row r="6005" spans="1:2" x14ac:dyDescent="0.25">
      <c r="A6005"/>
      <c r="B6005"/>
    </row>
    <row r="6006" spans="1:2" x14ac:dyDescent="0.25">
      <c r="A6006"/>
      <c r="B6006"/>
    </row>
    <row r="6007" spans="1:2" x14ac:dyDescent="0.25">
      <c r="A6007"/>
      <c r="B6007"/>
    </row>
    <row r="6008" spans="1:2" x14ac:dyDescent="0.25">
      <c r="A6008"/>
      <c r="B6008"/>
    </row>
    <row r="6009" spans="1:2" x14ac:dyDescent="0.25">
      <c r="A6009"/>
      <c r="B6009"/>
    </row>
    <row r="6010" spans="1:2" x14ac:dyDescent="0.25">
      <c r="A6010"/>
      <c r="B6010"/>
    </row>
    <row r="6011" spans="1:2" x14ac:dyDescent="0.25">
      <c r="A6011"/>
      <c r="B6011"/>
    </row>
    <row r="6012" spans="1:2" x14ac:dyDescent="0.25">
      <c r="A6012"/>
      <c r="B6012"/>
    </row>
    <row r="6013" spans="1:2" x14ac:dyDescent="0.25">
      <c r="A6013"/>
      <c r="B6013"/>
    </row>
    <row r="6014" spans="1:2" x14ac:dyDescent="0.25">
      <c r="A6014"/>
      <c r="B6014"/>
    </row>
    <row r="6015" spans="1:2" x14ac:dyDescent="0.25">
      <c r="A6015"/>
      <c r="B6015"/>
    </row>
    <row r="6016" spans="1:2" x14ac:dyDescent="0.25">
      <c r="A6016"/>
      <c r="B6016"/>
    </row>
    <row r="6017" spans="1:2" x14ac:dyDescent="0.25">
      <c r="A6017"/>
      <c r="B6017"/>
    </row>
    <row r="6018" spans="1:2" x14ac:dyDescent="0.25">
      <c r="A6018"/>
      <c r="B6018"/>
    </row>
    <row r="6019" spans="1:2" x14ac:dyDescent="0.25">
      <c r="A6019"/>
      <c r="B6019"/>
    </row>
    <row r="6020" spans="1:2" x14ac:dyDescent="0.25">
      <c r="A6020"/>
      <c r="B6020"/>
    </row>
    <row r="6021" spans="1:2" x14ac:dyDescent="0.25">
      <c r="A6021"/>
      <c r="B6021"/>
    </row>
    <row r="6022" spans="1:2" x14ac:dyDescent="0.25">
      <c r="A6022"/>
      <c r="B6022"/>
    </row>
    <row r="6023" spans="1:2" x14ac:dyDescent="0.25">
      <c r="A6023"/>
      <c r="B6023"/>
    </row>
    <row r="6024" spans="1:2" x14ac:dyDescent="0.25">
      <c r="A6024"/>
      <c r="B6024"/>
    </row>
    <row r="6025" spans="1:2" x14ac:dyDescent="0.25">
      <c r="A6025"/>
      <c r="B6025"/>
    </row>
    <row r="6026" spans="1:2" x14ac:dyDescent="0.25">
      <c r="A6026"/>
      <c r="B6026"/>
    </row>
    <row r="6027" spans="1:2" x14ac:dyDescent="0.25">
      <c r="A6027"/>
      <c r="B6027"/>
    </row>
    <row r="6028" spans="1:2" x14ac:dyDescent="0.25">
      <c r="A6028"/>
      <c r="B6028"/>
    </row>
    <row r="6029" spans="1:2" x14ac:dyDescent="0.25">
      <c r="A6029"/>
      <c r="B6029"/>
    </row>
    <row r="6030" spans="1:2" x14ac:dyDescent="0.25">
      <c r="A6030"/>
      <c r="B6030"/>
    </row>
    <row r="6031" spans="1:2" x14ac:dyDescent="0.25">
      <c r="A6031"/>
      <c r="B6031"/>
    </row>
    <row r="6032" spans="1:2" x14ac:dyDescent="0.25">
      <c r="A6032"/>
      <c r="B6032"/>
    </row>
    <row r="6033" spans="1:2" x14ac:dyDescent="0.25">
      <c r="A6033"/>
      <c r="B6033"/>
    </row>
    <row r="6034" spans="1:2" x14ac:dyDescent="0.25">
      <c r="A6034"/>
      <c r="B6034"/>
    </row>
    <row r="6035" spans="1:2" x14ac:dyDescent="0.25">
      <c r="A6035"/>
      <c r="B6035"/>
    </row>
    <row r="6036" spans="1:2" x14ac:dyDescent="0.25">
      <c r="A6036"/>
      <c r="B6036"/>
    </row>
    <row r="6037" spans="1:2" x14ac:dyDescent="0.25">
      <c r="A6037"/>
      <c r="B6037"/>
    </row>
    <row r="6038" spans="1:2" x14ac:dyDescent="0.25">
      <c r="A6038"/>
      <c r="B6038"/>
    </row>
    <row r="6039" spans="1:2" x14ac:dyDescent="0.25">
      <c r="A6039"/>
      <c r="B6039"/>
    </row>
    <row r="6040" spans="1:2" x14ac:dyDescent="0.25">
      <c r="A6040"/>
      <c r="B6040"/>
    </row>
    <row r="6041" spans="1:2" x14ac:dyDescent="0.25">
      <c r="A6041"/>
      <c r="B6041"/>
    </row>
    <row r="6042" spans="1:2" x14ac:dyDescent="0.25">
      <c r="A6042"/>
      <c r="B6042"/>
    </row>
    <row r="6043" spans="1:2" x14ac:dyDescent="0.25">
      <c r="A6043"/>
      <c r="B6043"/>
    </row>
    <row r="6044" spans="1:2" x14ac:dyDescent="0.25">
      <c r="A6044"/>
      <c r="B6044"/>
    </row>
    <row r="6045" spans="1:2" x14ac:dyDescent="0.25">
      <c r="A6045"/>
      <c r="B6045"/>
    </row>
    <row r="6046" spans="1:2" x14ac:dyDescent="0.25">
      <c r="A6046"/>
      <c r="B6046"/>
    </row>
    <row r="6047" spans="1:2" x14ac:dyDescent="0.25">
      <c r="A6047"/>
      <c r="B6047"/>
    </row>
    <row r="6048" spans="1:2" x14ac:dyDescent="0.25">
      <c r="A6048"/>
      <c r="B6048"/>
    </row>
    <row r="6049" spans="1:2" x14ac:dyDescent="0.25">
      <c r="A6049"/>
      <c r="B6049"/>
    </row>
    <row r="6050" spans="1:2" x14ac:dyDescent="0.25">
      <c r="A6050"/>
      <c r="B6050"/>
    </row>
    <row r="6051" spans="1:2" x14ac:dyDescent="0.25">
      <c r="A6051"/>
      <c r="B6051"/>
    </row>
    <row r="6052" spans="1:2" x14ac:dyDescent="0.25">
      <c r="A6052"/>
      <c r="B6052"/>
    </row>
    <row r="6053" spans="1:2" x14ac:dyDescent="0.25">
      <c r="A6053"/>
      <c r="B6053"/>
    </row>
    <row r="6054" spans="1:2" x14ac:dyDescent="0.25">
      <c r="A6054"/>
      <c r="B6054"/>
    </row>
    <row r="6055" spans="1:2" x14ac:dyDescent="0.25">
      <c r="A6055"/>
      <c r="B6055"/>
    </row>
    <row r="6056" spans="1:2" x14ac:dyDescent="0.25">
      <c r="A6056"/>
      <c r="B6056"/>
    </row>
    <row r="6057" spans="1:2" x14ac:dyDescent="0.25">
      <c r="A6057"/>
      <c r="B6057"/>
    </row>
    <row r="6058" spans="1:2" x14ac:dyDescent="0.25">
      <c r="A6058"/>
      <c r="B6058"/>
    </row>
    <row r="6059" spans="1:2" x14ac:dyDescent="0.25">
      <c r="A6059"/>
      <c r="B6059"/>
    </row>
    <row r="6060" spans="1:2" x14ac:dyDescent="0.25">
      <c r="A6060"/>
      <c r="B6060"/>
    </row>
    <row r="6061" spans="1:2" x14ac:dyDescent="0.25">
      <c r="A6061"/>
      <c r="B6061"/>
    </row>
    <row r="6062" spans="1:2" x14ac:dyDescent="0.25">
      <c r="A6062"/>
      <c r="B6062"/>
    </row>
    <row r="6063" spans="1:2" x14ac:dyDescent="0.25">
      <c r="A6063"/>
      <c r="B6063"/>
    </row>
    <row r="6064" spans="1:2" x14ac:dyDescent="0.25">
      <c r="A6064"/>
      <c r="B6064"/>
    </row>
    <row r="6065" spans="1:2" x14ac:dyDescent="0.25">
      <c r="A6065"/>
      <c r="B6065"/>
    </row>
    <row r="6066" spans="1:2" x14ac:dyDescent="0.25">
      <c r="A6066"/>
      <c r="B6066"/>
    </row>
    <row r="6067" spans="1:2" x14ac:dyDescent="0.25">
      <c r="A6067"/>
      <c r="B6067"/>
    </row>
    <row r="6068" spans="1:2" x14ac:dyDescent="0.25">
      <c r="A6068"/>
      <c r="B6068"/>
    </row>
    <row r="6069" spans="1:2" x14ac:dyDescent="0.25">
      <c r="A6069"/>
      <c r="B6069"/>
    </row>
    <row r="6070" spans="1:2" x14ac:dyDescent="0.25">
      <c r="A6070"/>
      <c r="B6070"/>
    </row>
    <row r="6071" spans="1:2" x14ac:dyDescent="0.25">
      <c r="A6071"/>
      <c r="B6071"/>
    </row>
    <row r="6072" spans="1:2" x14ac:dyDescent="0.25">
      <c r="A6072"/>
      <c r="B6072"/>
    </row>
    <row r="6073" spans="1:2" x14ac:dyDescent="0.25">
      <c r="A6073"/>
      <c r="B6073"/>
    </row>
    <row r="6074" spans="1:2" x14ac:dyDescent="0.25">
      <c r="A6074"/>
      <c r="B6074"/>
    </row>
    <row r="6075" spans="1:2" x14ac:dyDescent="0.25">
      <c r="A6075"/>
      <c r="B6075"/>
    </row>
    <row r="6076" spans="1:2" x14ac:dyDescent="0.25">
      <c r="A6076"/>
      <c r="B6076"/>
    </row>
    <row r="6077" spans="1:2" x14ac:dyDescent="0.25">
      <c r="A6077"/>
      <c r="B6077"/>
    </row>
    <row r="6078" spans="1:2" x14ac:dyDescent="0.25">
      <c r="A6078"/>
      <c r="B6078"/>
    </row>
    <row r="6079" spans="1:2" x14ac:dyDescent="0.25">
      <c r="A6079"/>
      <c r="B6079"/>
    </row>
    <row r="6080" spans="1:2" x14ac:dyDescent="0.25">
      <c r="A6080"/>
      <c r="B6080"/>
    </row>
    <row r="6081" spans="1:2" x14ac:dyDescent="0.25">
      <c r="A6081"/>
      <c r="B6081"/>
    </row>
    <row r="6082" spans="1:2" x14ac:dyDescent="0.25">
      <c r="A6082"/>
      <c r="B6082"/>
    </row>
    <row r="6083" spans="1:2" x14ac:dyDescent="0.25">
      <c r="A6083"/>
      <c r="B6083"/>
    </row>
    <row r="6084" spans="1:2" x14ac:dyDescent="0.25">
      <c r="A6084"/>
      <c r="B6084"/>
    </row>
    <row r="6085" spans="1:2" x14ac:dyDescent="0.25">
      <c r="A6085"/>
      <c r="B6085"/>
    </row>
    <row r="6086" spans="1:2" x14ac:dyDescent="0.25">
      <c r="A6086"/>
      <c r="B6086"/>
    </row>
    <row r="6087" spans="1:2" x14ac:dyDescent="0.25">
      <c r="A6087"/>
      <c r="B6087"/>
    </row>
    <row r="6088" spans="1:2" x14ac:dyDescent="0.25">
      <c r="A6088"/>
      <c r="B6088"/>
    </row>
    <row r="6089" spans="1:2" x14ac:dyDescent="0.25">
      <c r="A6089"/>
      <c r="B6089"/>
    </row>
    <row r="6090" spans="1:2" x14ac:dyDescent="0.25">
      <c r="A6090"/>
      <c r="B6090"/>
    </row>
    <row r="6091" spans="1:2" x14ac:dyDescent="0.25">
      <c r="A6091"/>
      <c r="B6091"/>
    </row>
    <row r="6092" spans="1:2" x14ac:dyDescent="0.25">
      <c r="A6092"/>
      <c r="B6092"/>
    </row>
    <row r="6093" spans="1:2" x14ac:dyDescent="0.25">
      <c r="A6093"/>
      <c r="B6093"/>
    </row>
    <row r="6094" spans="1:2" x14ac:dyDescent="0.25">
      <c r="A6094"/>
      <c r="B6094"/>
    </row>
    <row r="6095" spans="1:2" x14ac:dyDescent="0.25">
      <c r="A6095"/>
      <c r="B6095"/>
    </row>
    <row r="6096" spans="1:2" x14ac:dyDescent="0.25">
      <c r="A6096"/>
      <c r="B6096"/>
    </row>
    <row r="6097" spans="1:2" x14ac:dyDescent="0.25">
      <c r="A6097"/>
      <c r="B6097"/>
    </row>
    <row r="6098" spans="1:2" x14ac:dyDescent="0.25">
      <c r="A6098"/>
      <c r="B6098"/>
    </row>
    <row r="6099" spans="1:2" x14ac:dyDescent="0.25">
      <c r="A6099"/>
      <c r="B6099"/>
    </row>
    <row r="6100" spans="1:2" x14ac:dyDescent="0.25">
      <c r="A6100"/>
      <c r="B6100"/>
    </row>
    <row r="6101" spans="1:2" x14ac:dyDescent="0.25">
      <c r="A6101"/>
      <c r="B6101"/>
    </row>
    <row r="6102" spans="1:2" x14ac:dyDescent="0.25">
      <c r="A6102"/>
      <c r="B6102"/>
    </row>
    <row r="6103" spans="1:2" x14ac:dyDescent="0.25">
      <c r="A6103"/>
      <c r="B6103"/>
    </row>
    <row r="6104" spans="1:2" x14ac:dyDescent="0.25">
      <c r="A6104"/>
      <c r="B6104"/>
    </row>
    <row r="6105" spans="1:2" x14ac:dyDescent="0.25">
      <c r="A6105"/>
      <c r="B6105"/>
    </row>
    <row r="6106" spans="1:2" x14ac:dyDescent="0.25">
      <c r="A6106"/>
      <c r="B6106"/>
    </row>
    <row r="6107" spans="1:2" x14ac:dyDescent="0.25">
      <c r="A6107"/>
      <c r="B6107"/>
    </row>
    <row r="6108" spans="1:2" x14ac:dyDescent="0.25">
      <c r="A6108"/>
      <c r="B6108"/>
    </row>
    <row r="6109" spans="1:2" x14ac:dyDescent="0.25">
      <c r="A6109"/>
      <c r="B6109"/>
    </row>
    <row r="6110" spans="1:2" x14ac:dyDescent="0.25">
      <c r="A6110"/>
      <c r="B6110"/>
    </row>
    <row r="6111" spans="1:2" x14ac:dyDescent="0.25">
      <c r="A6111"/>
      <c r="B6111"/>
    </row>
    <row r="6112" spans="1:2" x14ac:dyDescent="0.25">
      <c r="A6112"/>
      <c r="B6112"/>
    </row>
    <row r="6113" spans="1:2" x14ac:dyDescent="0.25">
      <c r="A6113"/>
      <c r="B6113"/>
    </row>
    <row r="6114" spans="1:2" x14ac:dyDescent="0.25">
      <c r="A6114"/>
      <c r="B6114"/>
    </row>
    <row r="6115" spans="1:2" x14ac:dyDescent="0.25">
      <c r="A6115"/>
      <c r="B6115"/>
    </row>
    <row r="6116" spans="1:2" x14ac:dyDescent="0.25">
      <c r="A6116"/>
      <c r="B6116"/>
    </row>
    <row r="6117" spans="1:2" x14ac:dyDescent="0.25">
      <c r="A6117"/>
      <c r="B6117"/>
    </row>
    <row r="6118" spans="1:2" x14ac:dyDescent="0.25">
      <c r="A6118"/>
      <c r="B6118"/>
    </row>
    <row r="6119" spans="1:2" x14ac:dyDescent="0.25">
      <c r="A6119"/>
      <c r="B6119"/>
    </row>
    <row r="6120" spans="1:2" x14ac:dyDescent="0.25">
      <c r="A6120"/>
      <c r="B6120"/>
    </row>
    <row r="6121" spans="1:2" x14ac:dyDescent="0.25">
      <c r="A6121"/>
      <c r="B6121"/>
    </row>
    <row r="6122" spans="1:2" x14ac:dyDescent="0.25">
      <c r="A6122"/>
      <c r="B6122"/>
    </row>
    <row r="6123" spans="1:2" x14ac:dyDescent="0.25">
      <c r="A6123"/>
      <c r="B6123"/>
    </row>
    <row r="6124" spans="1:2" x14ac:dyDescent="0.25">
      <c r="A6124"/>
      <c r="B6124"/>
    </row>
    <row r="6125" spans="1:2" x14ac:dyDescent="0.25">
      <c r="A6125"/>
      <c r="B6125"/>
    </row>
    <row r="6126" spans="1:2" x14ac:dyDescent="0.25">
      <c r="A6126"/>
      <c r="B6126"/>
    </row>
    <row r="6127" spans="1:2" x14ac:dyDescent="0.25">
      <c r="A6127"/>
      <c r="B6127"/>
    </row>
    <row r="6128" spans="1:2" x14ac:dyDescent="0.25">
      <c r="A6128"/>
      <c r="B6128"/>
    </row>
    <row r="6129" spans="1:2" x14ac:dyDescent="0.25">
      <c r="A6129"/>
      <c r="B6129"/>
    </row>
    <row r="6130" spans="1:2" x14ac:dyDescent="0.25">
      <c r="A6130"/>
      <c r="B6130"/>
    </row>
    <row r="6131" spans="1:2" x14ac:dyDescent="0.25">
      <c r="A6131"/>
      <c r="B6131"/>
    </row>
    <row r="6132" spans="1:2" x14ac:dyDescent="0.25">
      <c r="A6132"/>
      <c r="B6132"/>
    </row>
    <row r="6133" spans="1:2" x14ac:dyDescent="0.25">
      <c r="A6133"/>
      <c r="B6133"/>
    </row>
    <row r="6134" spans="1:2" x14ac:dyDescent="0.25">
      <c r="A6134"/>
      <c r="B6134"/>
    </row>
    <row r="6135" spans="1:2" x14ac:dyDescent="0.25">
      <c r="A6135"/>
      <c r="B6135"/>
    </row>
    <row r="6136" spans="1:2" x14ac:dyDescent="0.25">
      <c r="A6136"/>
      <c r="B6136"/>
    </row>
    <row r="6137" spans="1:2" x14ac:dyDescent="0.25">
      <c r="A6137"/>
      <c r="B6137"/>
    </row>
    <row r="6138" spans="1:2" x14ac:dyDescent="0.25">
      <c r="A6138"/>
      <c r="B6138"/>
    </row>
    <row r="6139" spans="1:2" x14ac:dyDescent="0.25">
      <c r="A6139"/>
      <c r="B6139"/>
    </row>
    <row r="6140" spans="1:2" x14ac:dyDescent="0.25">
      <c r="A6140"/>
      <c r="B6140"/>
    </row>
    <row r="6141" spans="1:2" x14ac:dyDescent="0.25">
      <c r="A6141"/>
      <c r="B6141"/>
    </row>
    <row r="6142" spans="1:2" x14ac:dyDescent="0.25">
      <c r="A6142"/>
      <c r="B6142"/>
    </row>
    <row r="6143" spans="1:2" x14ac:dyDescent="0.25">
      <c r="A6143"/>
      <c r="B6143"/>
    </row>
    <row r="6144" spans="1:2" x14ac:dyDescent="0.25">
      <c r="A6144"/>
      <c r="B6144"/>
    </row>
    <row r="6145" spans="1:2" x14ac:dyDescent="0.25">
      <c r="A6145"/>
      <c r="B6145"/>
    </row>
    <row r="6146" spans="1:2" x14ac:dyDescent="0.25">
      <c r="A6146"/>
      <c r="B6146"/>
    </row>
    <row r="6147" spans="1:2" x14ac:dyDescent="0.25">
      <c r="A6147"/>
      <c r="B6147"/>
    </row>
    <row r="6148" spans="1:2" x14ac:dyDescent="0.25">
      <c r="A6148"/>
      <c r="B6148"/>
    </row>
    <row r="6149" spans="1:2" x14ac:dyDescent="0.25">
      <c r="A6149"/>
      <c r="B6149"/>
    </row>
    <row r="6150" spans="1:2" x14ac:dyDescent="0.25">
      <c r="A6150"/>
      <c r="B6150"/>
    </row>
    <row r="6151" spans="1:2" x14ac:dyDescent="0.25">
      <c r="A6151"/>
      <c r="B6151"/>
    </row>
    <row r="6152" spans="1:2" x14ac:dyDescent="0.25">
      <c r="A6152"/>
      <c r="B6152"/>
    </row>
    <row r="6153" spans="1:2" x14ac:dyDescent="0.25">
      <c r="A6153"/>
      <c r="B6153"/>
    </row>
    <row r="6154" spans="1:2" x14ac:dyDescent="0.25">
      <c r="A6154"/>
      <c r="B6154"/>
    </row>
    <row r="6155" spans="1:2" x14ac:dyDescent="0.25">
      <c r="A6155"/>
      <c r="B6155"/>
    </row>
    <row r="6156" spans="1:2" x14ac:dyDescent="0.25">
      <c r="A6156"/>
      <c r="B6156"/>
    </row>
    <row r="6157" spans="1:2" x14ac:dyDescent="0.25">
      <c r="A6157"/>
      <c r="B6157"/>
    </row>
    <row r="6158" spans="1:2" x14ac:dyDescent="0.25">
      <c r="A6158"/>
      <c r="B6158"/>
    </row>
    <row r="6159" spans="1:2" x14ac:dyDescent="0.25">
      <c r="A6159"/>
      <c r="B6159"/>
    </row>
    <row r="6160" spans="1:2" x14ac:dyDescent="0.25">
      <c r="A6160"/>
      <c r="B6160"/>
    </row>
    <row r="6161" spans="1:2" x14ac:dyDescent="0.25">
      <c r="A6161"/>
      <c r="B6161"/>
    </row>
    <row r="6162" spans="1:2" x14ac:dyDescent="0.25">
      <c r="A6162"/>
      <c r="B6162"/>
    </row>
    <row r="6163" spans="1:2" x14ac:dyDescent="0.25">
      <c r="A6163"/>
      <c r="B6163"/>
    </row>
    <row r="6164" spans="1:2" x14ac:dyDescent="0.25">
      <c r="A6164"/>
      <c r="B6164"/>
    </row>
    <row r="6165" spans="1:2" x14ac:dyDescent="0.25">
      <c r="A6165"/>
      <c r="B6165"/>
    </row>
    <row r="6166" spans="1:2" x14ac:dyDescent="0.25">
      <c r="A6166"/>
      <c r="B6166"/>
    </row>
    <row r="6167" spans="1:2" x14ac:dyDescent="0.25">
      <c r="A6167"/>
      <c r="B6167"/>
    </row>
    <row r="6168" spans="1:2" x14ac:dyDescent="0.25">
      <c r="A6168"/>
      <c r="B6168"/>
    </row>
    <row r="6169" spans="1:2" x14ac:dyDescent="0.25">
      <c r="A6169"/>
      <c r="B6169"/>
    </row>
    <row r="6170" spans="1:2" x14ac:dyDescent="0.25">
      <c r="A6170"/>
      <c r="B6170"/>
    </row>
    <row r="6171" spans="1:2" x14ac:dyDescent="0.25">
      <c r="A6171"/>
      <c r="B6171"/>
    </row>
    <row r="6172" spans="1:2" x14ac:dyDescent="0.25">
      <c r="A6172"/>
      <c r="B6172"/>
    </row>
    <row r="6173" spans="1:2" x14ac:dyDescent="0.25">
      <c r="A6173"/>
      <c r="B6173"/>
    </row>
    <row r="6174" spans="1:2" x14ac:dyDescent="0.25">
      <c r="A6174"/>
      <c r="B6174"/>
    </row>
    <row r="6175" spans="1:2" x14ac:dyDescent="0.25">
      <c r="A6175"/>
      <c r="B6175"/>
    </row>
    <row r="6176" spans="1:2" x14ac:dyDescent="0.25">
      <c r="A6176"/>
      <c r="B6176"/>
    </row>
    <row r="6177" spans="1:2" x14ac:dyDescent="0.25">
      <c r="A6177"/>
      <c r="B6177"/>
    </row>
    <row r="6178" spans="1:2" x14ac:dyDescent="0.25">
      <c r="A6178"/>
      <c r="B6178"/>
    </row>
    <row r="6179" spans="1:2" x14ac:dyDescent="0.25">
      <c r="A6179"/>
      <c r="B6179"/>
    </row>
    <row r="6180" spans="1:2" x14ac:dyDescent="0.25">
      <c r="A6180"/>
      <c r="B6180"/>
    </row>
    <row r="6181" spans="1:2" x14ac:dyDescent="0.25">
      <c r="A6181"/>
      <c r="B6181"/>
    </row>
    <row r="6182" spans="1:2" x14ac:dyDescent="0.25">
      <c r="A6182"/>
      <c r="B6182"/>
    </row>
    <row r="6183" spans="1:2" x14ac:dyDescent="0.25">
      <c r="A6183"/>
      <c r="B6183"/>
    </row>
    <row r="6184" spans="1:2" x14ac:dyDescent="0.25">
      <c r="A6184"/>
      <c r="B6184"/>
    </row>
    <row r="6185" spans="1:2" x14ac:dyDescent="0.25">
      <c r="A6185"/>
      <c r="B6185"/>
    </row>
    <row r="6186" spans="1:2" x14ac:dyDescent="0.25">
      <c r="A6186"/>
      <c r="B6186"/>
    </row>
    <row r="6187" spans="1:2" x14ac:dyDescent="0.25">
      <c r="A6187"/>
      <c r="B6187"/>
    </row>
    <row r="6188" spans="1:2" x14ac:dyDescent="0.25">
      <c r="A6188"/>
      <c r="B6188"/>
    </row>
    <row r="6189" spans="1:2" x14ac:dyDescent="0.25">
      <c r="A6189"/>
      <c r="B6189"/>
    </row>
    <row r="6190" spans="1:2" x14ac:dyDescent="0.25">
      <c r="A6190"/>
      <c r="B6190"/>
    </row>
    <row r="6191" spans="1:2" x14ac:dyDescent="0.25">
      <c r="A6191"/>
      <c r="B6191"/>
    </row>
    <row r="6192" spans="1:2" x14ac:dyDescent="0.25">
      <c r="A6192"/>
      <c r="B6192"/>
    </row>
    <row r="6193" spans="1:2" x14ac:dyDescent="0.25">
      <c r="A6193"/>
      <c r="B6193"/>
    </row>
    <row r="6194" spans="1:2" x14ac:dyDescent="0.25">
      <c r="A6194"/>
      <c r="B6194"/>
    </row>
    <row r="6195" spans="1:2" x14ac:dyDescent="0.25">
      <c r="A6195"/>
      <c r="B6195"/>
    </row>
    <row r="6196" spans="1:2" x14ac:dyDescent="0.25">
      <c r="A6196"/>
      <c r="B6196"/>
    </row>
    <row r="6197" spans="1:2" x14ac:dyDescent="0.25">
      <c r="A6197"/>
      <c r="B6197"/>
    </row>
    <row r="6198" spans="1:2" x14ac:dyDescent="0.25">
      <c r="A6198"/>
      <c r="B6198"/>
    </row>
    <row r="6199" spans="1:2" x14ac:dyDescent="0.25">
      <c r="A6199"/>
      <c r="B6199"/>
    </row>
    <row r="6200" spans="1:2" x14ac:dyDescent="0.25">
      <c r="A6200"/>
      <c r="B6200"/>
    </row>
    <row r="6201" spans="1:2" x14ac:dyDescent="0.25">
      <c r="A6201"/>
      <c r="B6201"/>
    </row>
    <row r="6202" spans="1:2" x14ac:dyDescent="0.25">
      <c r="A6202"/>
      <c r="B6202"/>
    </row>
    <row r="6203" spans="1:2" x14ac:dyDescent="0.25">
      <c r="A6203"/>
      <c r="B6203"/>
    </row>
    <row r="6204" spans="1:2" x14ac:dyDescent="0.25">
      <c r="A6204"/>
      <c r="B6204"/>
    </row>
    <row r="6205" spans="1:2" x14ac:dyDescent="0.25">
      <c r="A6205"/>
      <c r="B6205"/>
    </row>
    <row r="6206" spans="1:2" x14ac:dyDescent="0.25">
      <c r="A6206"/>
      <c r="B6206"/>
    </row>
    <row r="6207" spans="1:2" x14ac:dyDescent="0.25">
      <c r="A6207"/>
      <c r="B6207"/>
    </row>
    <row r="6208" spans="1:2" x14ac:dyDescent="0.25">
      <c r="A6208"/>
      <c r="B6208"/>
    </row>
    <row r="6209" spans="1:2" x14ac:dyDescent="0.25">
      <c r="A6209"/>
      <c r="B6209"/>
    </row>
    <row r="6210" spans="1:2" x14ac:dyDescent="0.25">
      <c r="A6210"/>
      <c r="B6210"/>
    </row>
    <row r="6211" spans="1:2" x14ac:dyDescent="0.25">
      <c r="A6211"/>
      <c r="B6211"/>
    </row>
    <row r="6212" spans="1:2" x14ac:dyDescent="0.25">
      <c r="A6212"/>
      <c r="B6212"/>
    </row>
    <row r="6213" spans="1:2" x14ac:dyDescent="0.25">
      <c r="A6213"/>
      <c r="B6213"/>
    </row>
    <row r="6214" spans="1:2" x14ac:dyDescent="0.25">
      <c r="A6214"/>
      <c r="B6214"/>
    </row>
    <row r="6215" spans="1:2" x14ac:dyDescent="0.25">
      <c r="A6215"/>
      <c r="B6215"/>
    </row>
    <row r="6216" spans="1:2" x14ac:dyDescent="0.25">
      <c r="A6216"/>
      <c r="B6216"/>
    </row>
    <row r="6217" spans="1:2" x14ac:dyDescent="0.25">
      <c r="A6217"/>
      <c r="B6217"/>
    </row>
    <row r="6218" spans="1:2" x14ac:dyDescent="0.25">
      <c r="A6218"/>
      <c r="B6218"/>
    </row>
    <row r="6219" spans="1:2" x14ac:dyDescent="0.25">
      <c r="A6219"/>
      <c r="B6219"/>
    </row>
    <row r="6220" spans="1:2" x14ac:dyDescent="0.25">
      <c r="A6220"/>
      <c r="B6220"/>
    </row>
    <row r="6221" spans="1:2" x14ac:dyDescent="0.25">
      <c r="A6221"/>
      <c r="B6221"/>
    </row>
    <row r="6222" spans="1:2" x14ac:dyDescent="0.25">
      <c r="A6222"/>
      <c r="B6222"/>
    </row>
    <row r="6223" spans="1:2" x14ac:dyDescent="0.25">
      <c r="A6223"/>
      <c r="B6223"/>
    </row>
    <row r="6224" spans="1:2" x14ac:dyDescent="0.25">
      <c r="A6224"/>
      <c r="B6224"/>
    </row>
    <row r="6225" spans="1:2" x14ac:dyDescent="0.25">
      <c r="A6225"/>
      <c r="B6225"/>
    </row>
    <row r="6226" spans="1:2" x14ac:dyDescent="0.25">
      <c r="A6226"/>
      <c r="B6226"/>
    </row>
    <row r="6227" spans="1:2" x14ac:dyDescent="0.25">
      <c r="A6227"/>
      <c r="B6227"/>
    </row>
    <row r="6228" spans="1:2" x14ac:dyDescent="0.25">
      <c r="A6228"/>
      <c r="B6228"/>
    </row>
    <row r="6229" spans="1:2" x14ac:dyDescent="0.25">
      <c r="A6229"/>
      <c r="B6229"/>
    </row>
    <row r="6230" spans="1:2" x14ac:dyDescent="0.25">
      <c r="A6230"/>
      <c r="B6230"/>
    </row>
    <row r="6231" spans="1:2" x14ac:dyDescent="0.25">
      <c r="A6231"/>
      <c r="B6231"/>
    </row>
    <row r="6232" spans="1:2" x14ac:dyDescent="0.25">
      <c r="A6232"/>
      <c r="B6232"/>
    </row>
    <row r="6233" spans="1:2" x14ac:dyDescent="0.25">
      <c r="A6233"/>
      <c r="B6233"/>
    </row>
    <row r="6234" spans="1:2" x14ac:dyDescent="0.25">
      <c r="A6234"/>
      <c r="B6234"/>
    </row>
    <row r="6235" spans="1:2" x14ac:dyDescent="0.25">
      <c r="A6235"/>
      <c r="B6235"/>
    </row>
    <row r="6236" spans="1:2" x14ac:dyDescent="0.25">
      <c r="A6236"/>
      <c r="B6236"/>
    </row>
    <row r="6237" spans="1:2" x14ac:dyDescent="0.25">
      <c r="A6237"/>
      <c r="B6237"/>
    </row>
    <row r="6238" spans="1:2" x14ac:dyDescent="0.25">
      <c r="A6238"/>
      <c r="B6238"/>
    </row>
    <row r="6239" spans="1:2" x14ac:dyDescent="0.25">
      <c r="A6239"/>
      <c r="B6239"/>
    </row>
    <row r="6240" spans="1:2" x14ac:dyDescent="0.25">
      <c r="A6240"/>
      <c r="B6240"/>
    </row>
    <row r="6241" spans="1:2" x14ac:dyDescent="0.25">
      <c r="A6241"/>
      <c r="B6241"/>
    </row>
    <row r="6242" spans="1:2" x14ac:dyDescent="0.25">
      <c r="A6242"/>
      <c r="B6242"/>
    </row>
    <row r="6243" spans="1:2" x14ac:dyDescent="0.25">
      <c r="A6243"/>
      <c r="B6243"/>
    </row>
    <row r="6244" spans="1:2" x14ac:dyDescent="0.25">
      <c r="A6244"/>
      <c r="B6244"/>
    </row>
    <row r="6245" spans="1:2" x14ac:dyDescent="0.25">
      <c r="A6245"/>
      <c r="B6245"/>
    </row>
    <row r="6246" spans="1:2" x14ac:dyDescent="0.25">
      <c r="A6246"/>
      <c r="B6246"/>
    </row>
    <row r="6247" spans="1:2" x14ac:dyDescent="0.25">
      <c r="A6247"/>
      <c r="B6247"/>
    </row>
    <row r="6248" spans="1:2" x14ac:dyDescent="0.25">
      <c r="A6248"/>
      <c r="B6248"/>
    </row>
    <row r="6249" spans="1:2" x14ac:dyDescent="0.25">
      <c r="A6249"/>
      <c r="B6249"/>
    </row>
    <row r="6250" spans="1:2" x14ac:dyDescent="0.25">
      <c r="A6250"/>
      <c r="B6250"/>
    </row>
    <row r="6251" spans="1:2" x14ac:dyDescent="0.25">
      <c r="A6251"/>
      <c r="B6251"/>
    </row>
    <row r="6252" spans="1:2" x14ac:dyDescent="0.25">
      <c r="A6252"/>
      <c r="B6252"/>
    </row>
    <row r="6253" spans="1:2" x14ac:dyDescent="0.25">
      <c r="A6253"/>
      <c r="B6253"/>
    </row>
    <row r="6254" spans="1:2" x14ac:dyDescent="0.25">
      <c r="A6254"/>
      <c r="B6254"/>
    </row>
    <row r="6255" spans="1:2" x14ac:dyDescent="0.25">
      <c r="A6255"/>
      <c r="B6255"/>
    </row>
    <row r="6256" spans="1:2" x14ac:dyDescent="0.25">
      <c r="A6256"/>
      <c r="B6256"/>
    </row>
    <row r="6257" spans="1:2" x14ac:dyDescent="0.25">
      <c r="A6257"/>
      <c r="B6257"/>
    </row>
    <row r="6258" spans="1:2" x14ac:dyDescent="0.25">
      <c r="A6258"/>
      <c r="B6258"/>
    </row>
    <row r="6259" spans="1:2" x14ac:dyDescent="0.25">
      <c r="A6259"/>
      <c r="B6259"/>
    </row>
    <row r="6260" spans="1:2" x14ac:dyDescent="0.25">
      <c r="A6260"/>
      <c r="B6260"/>
    </row>
    <row r="6261" spans="1:2" x14ac:dyDescent="0.25">
      <c r="A6261"/>
      <c r="B6261"/>
    </row>
    <row r="6262" spans="1:2" x14ac:dyDescent="0.25">
      <c r="A6262"/>
      <c r="B6262"/>
    </row>
    <row r="6263" spans="1:2" x14ac:dyDescent="0.25">
      <c r="A6263"/>
      <c r="B6263"/>
    </row>
    <row r="6264" spans="1:2" x14ac:dyDescent="0.25">
      <c r="A6264"/>
      <c r="B6264"/>
    </row>
    <row r="6265" spans="1:2" x14ac:dyDescent="0.25">
      <c r="A6265"/>
      <c r="B6265"/>
    </row>
    <row r="6266" spans="1:2" x14ac:dyDescent="0.25">
      <c r="A6266"/>
      <c r="B6266"/>
    </row>
    <row r="6267" spans="1:2" x14ac:dyDescent="0.25">
      <c r="A6267"/>
      <c r="B6267"/>
    </row>
    <row r="6268" spans="1:2" x14ac:dyDescent="0.25">
      <c r="A6268"/>
      <c r="B6268"/>
    </row>
    <row r="6269" spans="1:2" x14ac:dyDescent="0.25">
      <c r="A6269"/>
      <c r="B6269"/>
    </row>
    <row r="6270" spans="1:2" x14ac:dyDescent="0.25">
      <c r="A6270"/>
      <c r="B6270"/>
    </row>
    <row r="6271" spans="1:2" x14ac:dyDescent="0.25">
      <c r="A6271"/>
      <c r="B6271"/>
    </row>
    <row r="6272" spans="1:2" x14ac:dyDescent="0.25">
      <c r="A6272"/>
      <c r="B6272"/>
    </row>
    <row r="6273" spans="1:2" x14ac:dyDescent="0.25">
      <c r="A6273"/>
      <c r="B6273"/>
    </row>
    <row r="6274" spans="1:2" x14ac:dyDescent="0.25">
      <c r="A6274"/>
      <c r="B6274"/>
    </row>
    <row r="6275" spans="1:2" x14ac:dyDescent="0.25">
      <c r="A6275"/>
      <c r="B6275"/>
    </row>
    <row r="6276" spans="1:2" x14ac:dyDescent="0.25">
      <c r="A6276"/>
      <c r="B6276"/>
    </row>
    <row r="6277" spans="1:2" x14ac:dyDescent="0.25">
      <c r="A6277"/>
      <c r="B6277"/>
    </row>
    <row r="6278" spans="1:2" x14ac:dyDescent="0.25">
      <c r="A6278"/>
      <c r="B6278"/>
    </row>
    <row r="6279" spans="1:2" x14ac:dyDescent="0.25">
      <c r="A6279"/>
      <c r="B6279"/>
    </row>
    <row r="6280" spans="1:2" x14ac:dyDescent="0.25">
      <c r="A6280"/>
      <c r="B6280"/>
    </row>
    <row r="6281" spans="1:2" x14ac:dyDescent="0.25">
      <c r="A6281"/>
      <c r="B6281"/>
    </row>
    <row r="6282" spans="1:2" x14ac:dyDescent="0.25">
      <c r="A6282"/>
      <c r="B6282"/>
    </row>
    <row r="6283" spans="1:2" x14ac:dyDescent="0.25">
      <c r="A6283"/>
      <c r="B6283"/>
    </row>
    <row r="6284" spans="1:2" x14ac:dyDescent="0.25">
      <c r="A6284"/>
      <c r="B6284"/>
    </row>
    <row r="6285" spans="1:2" x14ac:dyDescent="0.25">
      <c r="A6285"/>
      <c r="B6285"/>
    </row>
    <row r="6286" spans="1:2" x14ac:dyDescent="0.25">
      <c r="A6286"/>
      <c r="B6286"/>
    </row>
    <row r="6287" spans="1:2" x14ac:dyDescent="0.25">
      <c r="A6287"/>
      <c r="B6287"/>
    </row>
    <row r="6288" spans="1:2" x14ac:dyDescent="0.25">
      <c r="A6288"/>
      <c r="B6288"/>
    </row>
    <row r="6289" spans="1:2" x14ac:dyDescent="0.25">
      <c r="A6289"/>
      <c r="B6289"/>
    </row>
    <row r="6290" spans="1:2" x14ac:dyDescent="0.25">
      <c r="A6290"/>
      <c r="B6290"/>
    </row>
    <row r="6291" spans="1:2" x14ac:dyDescent="0.25">
      <c r="A6291"/>
      <c r="B6291"/>
    </row>
    <row r="6292" spans="1:2" x14ac:dyDescent="0.25">
      <c r="A6292"/>
      <c r="B6292"/>
    </row>
    <row r="6293" spans="1:2" x14ac:dyDescent="0.25">
      <c r="A6293"/>
      <c r="B6293"/>
    </row>
    <row r="6294" spans="1:2" x14ac:dyDescent="0.25">
      <c r="A6294"/>
      <c r="B6294"/>
    </row>
    <row r="6295" spans="1:2" x14ac:dyDescent="0.25">
      <c r="A6295"/>
      <c r="B6295"/>
    </row>
    <row r="6296" spans="1:2" x14ac:dyDescent="0.25">
      <c r="A6296"/>
      <c r="B6296"/>
    </row>
    <row r="6297" spans="1:2" x14ac:dyDescent="0.25">
      <c r="A6297"/>
      <c r="B6297"/>
    </row>
    <row r="6298" spans="1:2" x14ac:dyDescent="0.25">
      <c r="A6298"/>
      <c r="B6298"/>
    </row>
    <row r="6299" spans="1:2" x14ac:dyDescent="0.25">
      <c r="A6299"/>
      <c r="B6299"/>
    </row>
    <row r="6300" spans="1:2" x14ac:dyDescent="0.25">
      <c r="A6300"/>
      <c r="B6300"/>
    </row>
    <row r="6301" spans="1:2" x14ac:dyDescent="0.25">
      <c r="A6301"/>
      <c r="B6301"/>
    </row>
    <row r="6302" spans="1:2" x14ac:dyDescent="0.25">
      <c r="A6302"/>
      <c r="B6302"/>
    </row>
    <row r="6303" spans="1:2" x14ac:dyDescent="0.25">
      <c r="A6303"/>
      <c r="B6303"/>
    </row>
    <row r="6304" spans="1:2" x14ac:dyDescent="0.25">
      <c r="A6304"/>
      <c r="B6304"/>
    </row>
    <row r="6305" spans="1:2" x14ac:dyDescent="0.25">
      <c r="A6305"/>
      <c r="B6305"/>
    </row>
    <row r="6306" spans="1:2" x14ac:dyDescent="0.25">
      <c r="A6306"/>
      <c r="B6306"/>
    </row>
    <row r="6307" spans="1:2" x14ac:dyDescent="0.25">
      <c r="A6307"/>
      <c r="B6307"/>
    </row>
    <row r="6308" spans="1:2" x14ac:dyDescent="0.25">
      <c r="A6308"/>
      <c r="B6308"/>
    </row>
    <row r="6309" spans="1:2" x14ac:dyDescent="0.25">
      <c r="A6309"/>
      <c r="B6309"/>
    </row>
    <row r="6310" spans="1:2" x14ac:dyDescent="0.25">
      <c r="A6310"/>
      <c r="B6310"/>
    </row>
    <row r="6311" spans="1:2" x14ac:dyDescent="0.25">
      <c r="A6311"/>
      <c r="B6311"/>
    </row>
    <row r="6312" spans="1:2" x14ac:dyDescent="0.25">
      <c r="A6312"/>
      <c r="B6312"/>
    </row>
    <row r="6313" spans="1:2" x14ac:dyDescent="0.25">
      <c r="A6313"/>
      <c r="B6313"/>
    </row>
    <row r="6314" spans="1:2" x14ac:dyDescent="0.25">
      <c r="A6314"/>
      <c r="B6314"/>
    </row>
    <row r="6315" spans="1:2" x14ac:dyDescent="0.25">
      <c r="A6315"/>
      <c r="B6315"/>
    </row>
    <row r="6316" spans="1:2" x14ac:dyDescent="0.25">
      <c r="A6316"/>
      <c r="B6316"/>
    </row>
    <row r="6317" spans="1:2" x14ac:dyDescent="0.25">
      <c r="A6317"/>
      <c r="B6317"/>
    </row>
    <row r="6318" spans="1:2" x14ac:dyDescent="0.25">
      <c r="A6318"/>
      <c r="B6318"/>
    </row>
    <row r="6319" spans="1:2" x14ac:dyDescent="0.25">
      <c r="A6319"/>
      <c r="B6319"/>
    </row>
    <row r="6320" spans="1:2" x14ac:dyDescent="0.25">
      <c r="A6320"/>
      <c r="B6320"/>
    </row>
    <row r="6321" spans="1:2" x14ac:dyDescent="0.25">
      <c r="A6321"/>
      <c r="B6321"/>
    </row>
    <row r="6322" spans="1:2" x14ac:dyDescent="0.25">
      <c r="A6322"/>
      <c r="B6322"/>
    </row>
    <row r="6323" spans="1:2" x14ac:dyDescent="0.25">
      <c r="A6323"/>
      <c r="B6323"/>
    </row>
    <row r="6324" spans="1:2" x14ac:dyDescent="0.25">
      <c r="A6324"/>
      <c r="B6324"/>
    </row>
    <row r="6325" spans="1:2" x14ac:dyDescent="0.25">
      <c r="A6325"/>
      <c r="B6325"/>
    </row>
    <row r="6326" spans="1:2" x14ac:dyDescent="0.25">
      <c r="A6326"/>
      <c r="B6326"/>
    </row>
    <row r="6327" spans="1:2" x14ac:dyDescent="0.25">
      <c r="A6327"/>
      <c r="B6327"/>
    </row>
    <row r="6328" spans="1:2" x14ac:dyDescent="0.25">
      <c r="A6328"/>
      <c r="B6328"/>
    </row>
    <row r="6329" spans="1:2" x14ac:dyDescent="0.25">
      <c r="A6329"/>
      <c r="B6329"/>
    </row>
    <row r="6330" spans="1:2" x14ac:dyDescent="0.25">
      <c r="A6330"/>
      <c r="B6330"/>
    </row>
    <row r="6331" spans="1:2" x14ac:dyDescent="0.25">
      <c r="A6331"/>
      <c r="B6331"/>
    </row>
    <row r="6332" spans="1:2" x14ac:dyDescent="0.25">
      <c r="A6332"/>
      <c r="B6332"/>
    </row>
    <row r="6333" spans="1:2" x14ac:dyDescent="0.25">
      <c r="A6333"/>
      <c r="B6333"/>
    </row>
    <row r="6334" spans="1:2" x14ac:dyDescent="0.25">
      <c r="A6334"/>
      <c r="B6334"/>
    </row>
    <row r="6335" spans="1:2" x14ac:dyDescent="0.25">
      <c r="A6335"/>
      <c r="B6335"/>
    </row>
    <row r="6336" spans="1:2" x14ac:dyDescent="0.25">
      <c r="A6336"/>
      <c r="B6336"/>
    </row>
    <row r="6337" spans="1:2" x14ac:dyDescent="0.25">
      <c r="A6337"/>
      <c r="B6337"/>
    </row>
    <row r="6338" spans="1:2" x14ac:dyDescent="0.25">
      <c r="A6338"/>
      <c r="B6338"/>
    </row>
    <row r="6339" spans="1:2" x14ac:dyDescent="0.25">
      <c r="A6339"/>
      <c r="B6339"/>
    </row>
    <row r="6340" spans="1:2" x14ac:dyDescent="0.25">
      <c r="A6340"/>
      <c r="B6340"/>
    </row>
    <row r="6341" spans="1:2" x14ac:dyDescent="0.25">
      <c r="A6341"/>
      <c r="B6341"/>
    </row>
    <row r="6342" spans="1:2" x14ac:dyDescent="0.25">
      <c r="A6342"/>
      <c r="B6342"/>
    </row>
    <row r="6343" spans="1:2" x14ac:dyDescent="0.25">
      <c r="A6343"/>
      <c r="B6343"/>
    </row>
    <row r="6344" spans="1:2" x14ac:dyDescent="0.25">
      <c r="A6344"/>
      <c r="B6344"/>
    </row>
    <row r="6345" spans="1:2" x14ac:dyDescent="0.25">
      <c r="A6345"/>
      <c r="B6345"/>
    </row>
    <row r="6346" spans="1:2" x14ac:dyDescent="0.25">
      <c r="A6346"/>
      <c r="B6346"/>
    </row>
    <row r="6347" spans="1:2" x14ac:dyDescent="0.25">
      <c r="A6347"/>
      <c r="B6347"/>
    </row>
    <row r="6348" spans="1:2" x14ac:dyDescent="0.25">
      <c r="A6348"/>
      <c r="B6348"/>
    </row>
    <row r="6349" spans="1:2" x14ac:dyDescent="0.25">
      <c r="A6349"/>
      <c r="B6349"/>
    </row>
    <row r="6350" spans="1:2" x14ac:dyDescent="0.25">
      <c r="A6350"/>
      <c r="B6350"/>
    </row>
    <row r="6351" spans="1:2" x14ac:dyDescent="0.25">
      <c r="A6351"/>
      <c r="B6351"/>
    </row>
    <row r="6352" spans="1:2" x14ac:dyDescent="0.25">
      <c r="A6352"/>
      <c r="B6352"/>
    </row>
    <row r="6353" spans="1:2" x14ac:dyDescent="0.25">
      <c r="A6353"/>
      <c r="B6353"/>
    </row>
    <row r="6354" spans="1:2" x14ac:dyDescent="0.25">
      <c r="A6354"/>
      <c r="B6354"/>
    </row>
    <row r="6355" spans="1:2" x14ac:dyDescent="0.25">
      <c r="A6355"/>
      <c r="B6355"/>
    </row>
    <row r="6356" spans="1:2" x14ac:dyDescent="0.25">
      <c r="A6356"/>
      <c r="B6356"/>
    </row>
    <row r="6357" spans="1:2" x14ac:dyDescent="0.25">
      <c r="A6357"/>
      <c r="B6357"/>
    </row>
    <row r="6358" spans="1:2" x14ac:dyDescent="0.25">
      <c r="A6358"/>
      <c r="B6358"/>
    </row>
    <row r="6359" spans="1:2" x14ac:dyDescent="0.25">
      <c r="A6359"/>
      <c r="B6359"/>
    </row>
    <row r="6360" spans="1:2" x14ac:dyDescent="0.25">
      <c r="A6360"/>
      <c r="B6360"/>
    </row>
    <row r="6361" spans="1:2" x14ac:dyDescent="0.25">
      <c r="A6361"/>
      <c r="B6361"/>
    </row>
    <row r="6362" spans="1:2" x14ac:dyDescent="0.25">
      <c r="A6362"/>
      <c r="B6362"/>
    </row>
    <row r="6363" spans="1:2" x14ac:dyDescent="0.25">
      <c r="A6363"/>
      <c r="B6363"/>
    </row>
    <row r="6364" spans="1:2" x14ac:dyDescent="0.25">
      <c r="A6364"/>
      <c r="B6364"/>
    </row>
    <row r="6365" spans="1:2" x14ac:dyDescent="0.25">
      <c r="A6365"/>
      <c r="B6365"/>
    </row>
    <row r="6366" spans="1:2" x14ac:dyDescent="0.25">
      <c r="A6366"/>
      <c r="B6366"/>
    </row>
    <row r="6367" spans="1:2" x14ac:dyDescent="0.25">
      <c r="A6367"/>
      <c r="B6367"/>
    </row>
    <row r="6368" spans="1:2" x14ac:dyDescent="0.25">
      <c r="A6368"/>
      <c r="B6368"/>
    </row>
    <row r="6369" spans="1:2" x14ac:dyDescent="0.25">
      <c r="A6369"/>
      <c r="B6369"/>
    </row>
    <row r="6370" spans="1:2" x14ac:dyDescent="0.25">
      <c r="A6370"/>
      <c r="B6370"/>
    </row>
    <row r="6371" spans="1:2" x14ac:dyDescent="0.25">
      <c r="A6371"/>
      <c r="B6371"/>
    </row>
    <row r="6372" spans="1:2" x14ac:dyDescent="0.25">
      <c r="A6372"/>
      <c r="B6372"/>
    </row>
    <row r="6373" spans="1:2" x14ac:dyDescent="0.25">
      <c r="A6373"/>
      <c r="B6373"/>
    </row>
    <row r="6374" spans="1:2" x14ac:dyDescent="0.25">
      <c r="A6374"/>
      <c r="B6374"/>
    </row>
    <row r="6375" spans="1:2" x14ac:dyDescent="0.25">
      <c r="A6375"/>
      <c r="B6375"/>
    </row>
    <row r="6376" spans="1:2" x14ac:dyDescent="0.25">
      <c r="A6376"/>
      <c r="B6376"/>
    </row>
    <row r="6377" spans="1:2" x14ac:dyDescent="0.25">
      <c r="A6377"/>
      <c r="B6377"/>
    </row>
    <row r="6378" spans="1:2" x14ac:dyDescent="0.25">
      <c r="A6378"/>
      <c r="B6378"/>
    </row>
    <row r="6379" spans="1:2" x14ac:dyDescent="0.25">
      <c r="A6379"/>
      <c r="B6379"/>
    </row>
    <row r="6380" spans="1:2" x14ac:dyDescent="0.25">
      <c r="A6380"/>
      <c r="B6380"/>
    </row>
    <row r="6381" spans="1:2" x14ac:dyDescent="0.25">
      <c r="A6381"/>
      <c r="B6381"/>
    </row>
    <row r="6382" spans="1:2" x14ac:dyDescent="0.25">
      <c r="A6382"/>
      <c r="B6382"/>
    </row>
    <row r="6383" spans="1:2" x14ac:dyDescent="0.25">
      <c r="A6383"/>
      <c r="B6383"/>
    </row>
    <row r="6384" spans="1:2" x14ac:dyDescent="0.25">
      <c r="A6384"/>
      <c r="B6384"/>
    </row>
    <row r="6385" spans="1:2" x14ac:dyDescent="0.25">
      <c r="A6385"/>
      <c r="B6385"/>
    </row>
    <row r="6386" spans="1:2" x14ac:dyDescent="0.25">
      <c r="A6386"/>
      <c r="B6386"/>
    </row>
    <row r="6387" spans="1:2" x14ac:dyDescent="0.25">
      <c r="A6387"/>
      <c r="B6387"/>
    </row>
    <row r="6388" spans="1:2" x14ac:dyDescent="0.25">
      <c r="A6388"/>
      <c r="B6388"/>
    </row>
    <row r="6389" spans="1:2" x14ac:dyDescent="0.25">
      <c r="A6389"/>
      <c r="B6389"/>
    </row>
    <row r="6390" spans="1:2" x14ac:dyDescent="0.25">
      <c r="A6390"/>
      <c r="B6390"/>
    </row>
    <row r="6391" spans="1:2" x14ac:dyDescent="0.25">
      <c r="A6391"/>
      <c r="B6391"/>
    </row>
    <row r="6392" spans="1:2" x14ac:dyDescent="0.25">
      <c r="A6392"/>
      <c r="B6392"/>
    </row>
    <row r="6393" spans="1:2" x14ac:dyDescent="0.25">
      <c r="A6393"/>
      <c r="B6393"/>
    </row>
    <row r="6394" spans="1:2" x14ac:dyDescent="0.25">
      <c r="A6394"/>
      <c r="B6394"/>
    </row>
    <row r="6395" spans="1:2" x14ac:dyDescent="0.25">
      <c r="A6395"/>
      <c r="B6395"/>
    </row>
    <row r="6396" spans="1:2" x14ac:dyDescent="0.25">
      <c r="A6396"/>
      <c r="B6396"/>
    </row>
    <row r="6397" spans="1:2" x14ac:dyDescent="0.25">
      <c r="A6397"/>
      <c r="B6397"/>
    </row>
    <row r="6398" spans="1:2" x14ac:dyDescent="0.25">
      <c r="A6398"/>
      <c r="B6398"/>
    </row>
    <row r="6399" spans="1:2" x14ac:dyDescent="0.25">
      <c r="A6399"/>
      <c r="B6399"/>
    </row>
    <row r="6400" spans="1:2" x14ac:dyDescent="0.25">
      <c r="A6400"/>
      <c r="B6400"/>
    </row>
    <row r="6401" spans="1:2" x14ac:dyDescent="0.25">
      <c r="A6401"/>
      <c r="B6401"/>
    </row>
    <row r="6402" spans="1:2" x14ac:dyDescent="0.25">
      <c r="A6402"/>
      <c r="B6402"/>
    </row>
    <row r="6403" spans="1:2" x14ac:dyDescent="0.25">
      <c r="A6403"/>
      <c r="B6403"/>
    </row>
    <row r="6404" spans="1:2" x14ac:dyDescent="0.25">
      <c r="A6404"/>
      <c r="B6404"/>
    </row>
    <row r="6405" spans="1:2" x14ac:dyDescent="0.25">
      <c r="A6405"/>
      <c r="B6405"/>
    </row>
    <row r="6406" spans="1:2" x14ac:dyDescent="0.25">
      <c r="A6406"/>
      <c r="B6406"/>
    </row>
    <row r="6407" spans="1:2" x14ac:dyDescent="0.25">
      <c r="A6407"/>
      <c r="B6407"/>
    </row>
    <row r="6408" spans="1:2" x14ac:dyDescent="0.25">
      <c r="A6408"/>
      <c r="B6408"/>
    </row>
    <row r="6409" spans="1:2" x14ac:dyDescent="0.25">
      <c r="A6409"/>
      <c r="B6409"/>
    </row>
    <row r="6410" spans="1:2" x14ac:dyDescent="0.25">
      <c r="A6410"/>
      <c r="B6410"/>
    </row>
    <row r="6411" spans="1:2" x14ac:dyDescent="0.25">
      <c r="A6411"/>
      <c r="B6411"/>
    </row>
    <row r="6412" spans="1:2" x14ac:dyDescent="0.25">
      <c r="A6412"/>
      <c r="B6412"/>
    </row>
    <row r="6413" spans="1:2" x14ac:dyDescent="0.25">
      <c r="A6413"/>
      <c r="B6413"/>
    </row>
    <row r="6414" spans="1:2" x14ac:dyDescent="0.25">
      <c r="A6414"/>
      <c r="B6414"/>
    </row>
    <row r="6415" spans="1:2" x14ac:dyDescent="0.25">
      <c r="A6415"/>
      <c r="B6415"/>
    </row>
    <row r="6416" spans="1:2" x14ac:dyDescent="0.25">
      <c r="A6416"/>
      <c r="B6416"/>
    </row>
    <row r="6417" spans="1:2" x14ac:dyDescent="0.25">
      <c r="A6417"/>
      <c r="B6417"/>
    </row>
    <row r="6418" spans="1:2" x14ac:dyDescent="0.25">
      <c r="A6418"/>
      <c r="B6418"/>
    </row>
    <row r="6419" spans="1:2" x14ac:dyDescent="0.25">
      <c r="A6419"/>
      <c r="B6419"/>
    </row>
    <row r="6420" spans="1:2" x14ac:dyDescent="0.25">
      <c r="A6420"/>
      <c r="B6420"/>
    </row>
    <row r="6421" spans="1:2" x14ac:dyDescent="0.25">
      <c r="A6421"/>
      <c r="B6421"/>
    </row>
    <row r="6422" spans="1:2" x14ac:dyDescent="0.25">
      <c r="A6422"/>
      <c r="B6422"/>
    </row>
    <row r="6423" spans="1:2" x14ac:dyDescent="0.25">
      <c r="A6423"/>
      <c r="B6423"/>
    </row>
    <row r="6424" spans="1:2" x14ac:dyDescent="0.25">
      <c r="A6424"/>
      <c r="B6424"/>
    </row>
    <row r="6425" spans="1:2" x14ac:dyDescent="0.25">
      <c r="A6425"/>
      <c r="B6425"/>
    </row>
    <row r="6426" spans="1:2" x14ac:dyDescent="0.25">
      <c r="A6426"/>
      <c r="B6426"/>
    </row>
    <row r="6427" spans="1:2" x14ac:dyDescent="0.25">
      <c r="A6427"/>
      <c r="B6427"/>
    </row>
    <row r="6428" spans="1:2" x14ac:dyDescent="0.25">
      <c r="A6428"/>
      <c r="B6428"/>
    </row>
    <row r="6429" spans="1:2" x14ac:dyDescent="0.25">
      <c r="A6429"/>
      <c r="B6429"/>
    </row>
    <row r="6430" spans="1:2" x14ac:dyDescent="0.25">
      <c r="A6430"/>
      <c r="B6430"/>
    </row>
    <row r="6431" spans="1:2" x14ac:dyDescent="0.25">
      <c r="A6431"/>
      <c r="B6431"/>
    </row>
    <row r="6432" spans="1:2" x14ac:dyDescent="0.25">
      <c r="A6432"/>
      <c r="B6432"/>
    </row>
    <row r="6433" spans="1:2" x14ac:dyDescent="0.25">
      <c r="A6433"/>
      <c r="B6433"/>
    </row>
    <row r="6434" spans="1:2" x14ac:dyDescent="0.25">
      <c r="A6434"/>
      <c r="B6434"/>
    </row>
    <row r="6435" spans="1:2" x14ac:dyDescent="0.25">
      <c r="A6435"/>
      <c r="B6435"/>
    </row>
    <row r="6436" spans="1:2" x14ac:dyDescent="0.25">
      <c r="A6436"/>
      <c r="B6436"/>
    </row>
    <row r="6437" spans="1:2" x14ac:dyDescent="0.25">
      <c r="A6437"/>
      <c r="B6437"/>
    </row>
    <row r="6438" spans="1:2" x14ac:dyDescent="0.25">
      <c r="A6438"/>
      <c r="B6438"/>
    </row>
    <row r="6439" spans="1:2" x14ac:dyDescent="0.25">
      <c r="A6439"/>
      <c r="B6439"/>
    </row>
    <row r="6440" spans="1:2" x14ac:dyDescent="0.25">
      <c r="A6440"/>
      <c r="B6440"/>
    </row>
    <row r="6441" spans="1:2" x14ac:dyDescent="0.25">
      <c r="A6441"/>
      <c r="B6441"/>
    </row>
    <row r="6442" spans="1:2" x14ac:dyDescent="0.25">
      <c r="A6442"/>
      <c r="B6442"/>
    </row>
    <row r="6443" spans="1:2" x14ac:dyDescent="0.25">
      <c r="A6443"/>
      <c r="B6443"/>
    </row>
    <row r="6444" spans="1:2" x14ac:dyDescent="0.25">
      <c r="A6444"/>
      <c r="B6444"/>
    </row>
    <row r="6445" spans="1:2" x14ac:dyDescent="0.25">
      <c r="A6445"/>
      <c r="B6445"/>
    </row>
    <row r="6446" spans="1:2" x14ac:dyDescent="0.25">
      <c r="A6446"/>
      <c r="B6446"/>
    </row>
    <row r="6447" spans="1:2" x14ac:dyDescent="0.25">
      <c r="A6447"/>
      <c r="B6447"/>
    </row>
    <row r="6448" spans="1:2" x14ac:dyDescent="0.25">
      <c r="A6448"/>
      <c r="B6448"/>
    </row>
    <row r="6449" spans="1:2" x14ac:dyDescent="0.25">
      <c r="A6449"/>
      <c r="B6449"/>
    </row>
    <row r="6450" spans="1:2" x14ac:dyDescent="0.25">
      <c r="A6450"/>
      <c r="B6450"/>
    </row>
    <row r="6451" spans="1:2" x14ac:dyDescent="0.25">
      <c r="A6451"/>
      <c r="B6451"/>
    </row>
    <row r="6452" spans="1:2" x14ac:dyDescent="0.25">
      <c r="A6452"/>
      <c r="B6452"/>
    </row>
    <row r="6453" spans="1:2" x14ac:dyDescent="0.25">
      <c r="A6453"/>
      <c r="B6453"/>
    </row>
    <row r="6454" spans="1:2" x14ac:dyDescent="0.25">
      <c r="A6454"/>
      <c r="B6454"/>
    </row>
    <row r="6455" spans="1:2" x14ac:dyDescent="0.25">
      <c r="A6455"/>
      <c r="B6455"/>
    </row>
    <row r="6456" spans="1:2" x14ac:dyDescent="0.25">
      <c r="A6456"/>
      <c r="B6456"/>
    </row>
    <row r="6457" spans="1:2" x14ac:dyDescent="0.25">
      <c r="A6457"/>
      <c r="B6457"/>
    </row>
    <row r="6458" spans="1:2" x14ac:dyDescent="0.25">
      <c r="A6458"/>
      <c r="B6458"/>
    </row>
    <row r="6459" spans="1:2" x14ac:dyDescent="0.25">
      <c r="A6459"/>
      <c r="B6459"/>
    </row>
    <row r="6460" spans="1:2" x14ac:dyDescent="0.25">
      <c r="A6460"/>
      <c r="B6460"/>
    </row>
    <row r="6461" spans="1:2" x14ac:dyDescent="0.25">
      <c r="A6461"/>
      <c r="B6461"/>
    </row>
    <row r="6462" spans="1:2" x14ac:dyDescent="0.25">
      <c r="A6462"/>
      <c r="B6462"/>
    </row>
    <row r="6463" spans="1:2" x14ac:dyDescent="0.25">
      <c r="A6463"/>
      <c r="B6463"/>
    </row>
    <row r="6464" spans="1:2" x14ac:dyDescent="0.25">
      <c r="A6464"/>
      <c r="B6464"/>
    </row>
    <row r="6465" spans="1:2" x14ac:dyDescent="0.25">
      <c r="A6465"/>
      <c r="B6465"/>
    </row>
    <row r="6466" spans="1:2" x14ac:dyDescent="0.25">
      <c r="A6466"/>
      <c r="B6466"/>
    </row>
    <row r="6467" spans="1:2" x14ac:dyDescent="0.25">
      <c r="A6467"/>
      <c r="B6467"/>
    </row>
    <row r="6468" spans="1:2" x14ac:dyDescent="0.25">
      <c r="A6468"/>
      <c r="B6468"/>
    </row>
    <row r="6469" spans="1:2" x14ac:dyDescent="0.25">
      <c r="A6469"/>
      <c r="B6469"/>
    </row>
    <row r="6470" spans="1:2" x14ac:dyDescent="0.25">
      <c r="A6470"/>
      <c r="B6470"/>
    </row>
    <row r="6471" spans="1:2" x14ac:dyDescent="0.25">
      <c r="A6471"/>
      <c r="B6471"/>
    </row>
    <row r="6472" spans="1:2" x14ac:dyDescent="0.25">
      <c r="A6472"/>
      <c r="B6472"/>
    </row>
    <row r="6473" spans="1:2" x14ac:dyDescent="0.25">
      <c r="A6473"/>
      <c r="B6473"/>
    </row>
    <row r="6474" spans="1:2" x14ac:dyDescent="0.25">
      <c r="A6474"/>
      <c r="B6474"/>
    </row>
    <row r="6475" spans="1:2" x14ac:dyDescent="0.25">
      <c r="A6475"/>
      <c r="B6475"/>
    </row>
    <row r="6476" spans="1:2" x14ac:dyDescent="0.25">
      <c r="A6476"/>
      <c r="B6476"/>
    </row>
    <row r="6477" spans="1:2" x14ac:dyDescent="0.25">
      <c r="A6477"/>
      <c r="B6477"/>
    </row>
    <row r="6478" spans="1:2" x14ac:dyDescent="0.25">
      <c r="A6478"/>
      <c r="B6478"/>
    </row>
    <row r="6479" spans="1:2" x14ac:dyDescent="0.25">
      <c r="A6479"/>
      <c r="B6479"/>
    </row>
    <row r="6480" spans="1:2" x14ac:dyDescent="0.25">
      <c r="A6480"/>
      <c r="B6480"/>
    </row>
    <row r="6481" spans="1:2" x14ac:dyDescent="0.25">
      <c r="A6481"/>
      <c r="B6481"/>
    </row>
    <row r="6482" spans="1:2" x14ac:dyDescent="0.25">
      <c r="A6482"/>
      <c r="B6482"/>
    </row>
    <row r="6483" spans="1:2" x14ac:dyDescent="0.25">
      <c r="A6483"/>
      <c r="B6483"/>
    </row>
    <row r="6484" spans="1:2" x14ac:dyDescent="0.25">
      <c r="A6484"/>
      <c r="B6484"/>
    </row>
    <row r="6485" spans="1:2" x14ac:dyDescent="0.25">
      <c r="A6485"/>
      <c r="B6485"/>
    </row>
    <row r="6486" spans="1:2" x14ac:dyDescent="0.25">
      <c r="A6486"/>
      <c r="B6486"/>
    </row>
    <row r="6487" spans="1:2" x14ac:dyDescent="0.25">
      <c r="A6487"/>
      <c r="B6487"/>
    </row>
    <row r="6488" spans="1:2" x14ac:dyDescent="0.25">
      <c r="A6488"/>
      <c r="B6488"/>
    </row>
    <row r="6489" spans="1:2" x14ac:dyDescent="0.25">
      <c r="A6489"/>
      <c r="B6489"/>
    </row>
    <row r="6490" spans="1:2" x14ac:dyDescent="0.25">
      <c r="A6490"/>
      <c r="B6490"/>
    </row>
    <row r="6491" spans="1:2" x14ac:dyDescent="0.25">
      <c r="A6491"/>
      <c r="B6491"/>
    </row>
    <row r="6492" spans="1:2" x14ac:dyDescent="0.25">
      <c r="A6492"/>
      <c r="B6492"/>
    </row>
    <row r="6493" spans="1:2" x14ac:dyDescent="0.25">
      <c r="A6493"/>
      <c r="B6493"/>
    </row>
    <row r="6494" spans="1:2" x14ac:dyDescent="0.25">
      <c r="A6494"/>
      <c r="B6494"/>
    </row>
    <row r="6495" spans="1:2" x14ac:dyDescent="0.25">
      <c r="A6495"/>
      <c r="B6495"/>
    </row>
    <row r="6496" spans="1:2" x14ac:dyDescent="0.25">
      <c r="A6496"/>
      <c r="B6496"/>
    </row>
    <row r="6497" spans="1:2" x14ac:dyDescent="0.25">
      <c r="A6497"/>
      <c r="B6497"/>
    </row>
    <row r="6498" spans="1:2" x14ac:dyDescent="0.25">
      <c r="A6498"/>
      <c r="B6498"/>
    </row>
    <row r="6499" spans="1:2" x14ac:dyDescent="0.25">
      <c r="A6499"/>
      <c r="B6499"/>
    </row>
    <row r="6500" spans="1:2" x14ac:dyDescent="0.25">
      <c r="A6500"/>
      <c r="B6500"/>
    </row>
    <row r="6501" spans="1:2" x14ac:dyDescent="0.25">
      <c r="A6501"/>
      <c r="B6501"/>
    </row>
    <row r="6502" spans="1:2" x14ac:dyDescent="0.25">
      <c r="A6502"/>
      <c r="B6502"/>
    </row>
    <row r="6503" spans="1:2" x14ac:dyDescent="0.25">
      <c r="A6503"/>
      <c r="B6503"/>
    </row>
    <row r="6504" spans="1:2" x14ac:dyDescent="0.25">
      <c r="A6504"/>
      <c r="B6504"/>
    </row>
    <row r="6505" spans="1:2" x14ac:dyDescent="0.25">
      <c r="A6505"/>
      <c r="B6505"/>
    </row>
    <row r="6506" spans="1:2" x14ac:dyDescent="0.25">
      <c r="A6506"/>
      <c r="B6506"/>
    </row>
    <row r="6507" spans="1:2" x14ac:dyDescent="0.25">
      <c r="A6507"/>
      <c r="B6507"/>
    </row>
    <row r="6508" spans="1:2" x14ac:dyDescent="0.25">
      <c r="A6508"/>
      <c r="B6508"/>
    </row>
    <row r="6509" spans="1:2" x14ac:dyDescent="0.25">
      <c r="A6509"/>
      <c r="B6509"/>
    </row>
    <row r="6510" spans="1:2" x14ac:dyDescent="0.25">
      <c r="A6510"/>
      <c r="B6510"/>
    </row>
    <row r="6511" spans="1:2" x14ac:dyDescent="0.25">
      <c r="A6511"/>
      <c r="B6511"/>
    </row>
    <row r="6512" spans="1:2" x14ac:dyDescent="0.25">
      <c r="A6512"/>
      <c r="B6512"/>
    </row>
    <row r="6513" spans="1:2" x14ac:dyDescent="0.25">
      <c r="A6513"/>
      <c r="B6513"/>
    </row>
    <row r="6514" spans="1:2" x14ac:dyDescent="0.25">
      <c r="A6514"/>
      <c r="B6514"/>
    </row>
    <row r="6515" spans="1:2" x14ac:dyDescent="0.25">
      <c r="A6515"/>
      <c r="B6515"/>
    </row>
    <row r="6516" spans="1:2" x14ac:dyDescent="0.25">
      <c r="A6516"/>
      <c r="B6516"/>
    </row>
    <row r="6517" spans="1:2" x14ac:dyDescent="0.25">
      <c r="A6517"/>
      <c r="B6517"/>
    </row>
    <row r="6518" spans="1:2" x14ac:dyDescent="0.25">
      <c r="A6518"/>
      <c r="B6518"/>
    </row>
    <row r="6519" spans="1:2" x14ac:dyDescent="0.25">
      <c r="A6519"/>
      <c r="B6519"/>
    </row>
    <row r="6520" spans="1:2" x14ac:dyDescent="0.25">
      <c r="A6520"/>
      <c r="B6520"/>
    </row>
    <row r="6521" spans="1:2" x14ac:dyDescent="0.25">
      <c r="A6521"/>
      <c r="B6521"/>
    </row>
    <row r="6522" spans="1:2" x14ac:dyDescent="0.25">
      <c r="A6522"/>
      <c r="B6522"/>
    </row>
    <row r="6523" spans="1:2" x14ac:dyDescent="0.25">
      <c r="A6523"/>
      <c r="B6523"/>
    </row>
    <row r="6524" spans="1:2" x14ac:dyDescent="0.25">
      <c r="A6524"/>
      <c r="B6524"/>
    </row>
    <row r="6525" spans="1:2" x14ac:dyDescent="0.25">
      <c r="A6525"/>
      <c r="B6525"/>
    </row>
    <row r="6526" spans="1:2" x14ac:dyDescent="0.25">
      <c r="A6526"/>
      <c r="B6526"/>
    </row>
    <row r="6527" spans="1:2" x14ac:dyDescent="0.25">
      <c r="A6527"/>
      <c r="B6527"/>
    </row>
    <row r="6528" spans="1:2" x14ac:dyDescent="0.25">
      <c r="A6528"/>
      <c r="B6528"/>
    </row>
    <row r="6529" spans="1:2" x14ac:dyDescent="0.25">
      <c r="A6529"/>
      <c r="B6529"/>
    </row>
    <row r="6530" spans="1:2" x14ac:dyDescent="0.25">
      <c r="A6530"/>
      <c r="B6530"/>
    </row>
    <row r="6531" spans="1:2" x14ac:dyDescent="0.25">
      <c r="A6531"/>
      <c r="B6531"/>
    </row>
    <row r="6532" spans="1:2" x14ac:dyDescent="0.25">
      <c r="A6532"/>
      <c r="B6532"/>
    </row>
    <row r="6533" spans="1:2" x14ac:dyDescent="0.25">
      <c r="A6533"/>
      <c r="B6533"/>
    </row>
    <row r="6534" spans="1:2" x14ac:dyDescent="0.25">
      <c r="A6534"/>
      <c r="B6534"/>
    </row>
    <row r="6535" spans="1:2" x14ac:dyDescent="0.25">
      <c r="A6535"/>
      <c r="B6535"/>
    </row>
    <row r="6536" spans="1:2" x14ac:dyDescent="0.25">
      <c r="A6536"/>
      <c r="B6536"/>
    </row>
    <row r="6537" spans="1:2" x14ac:dyDescent="0.25">
      <c r="A6537"/>
      <c r="B6537"/>
    </row>
    <row r="6538" spans="1:2" x14ac:dyDescent="0.25">
      <c r="A6538"/>
      <c r="B6538"/>
    </row>
    <row r="6539" spans="1:2" x14ac:dyDescent="0.25">
      <c r="A6539"/>
      <c r="B6539"/>
    </row>
    <row r="6540" spans="1:2" x14ac:dyDescent="0.25">
      <c r="A6540"/>
      <c r="B6540"/>
    </row>
    <row r="6541" spans="1:2" x14ac:dyDescent="0.25">
      <c r="A6541"/>
      <c r="B6541"/>
    </row>
    <row r="6542" spans="1:2" x14ac:dyDescent="0.25">
      <c r="A6542"/>
      <c r="B6542"/>
    </row>
    <row r="6543" spans="1:2" x14ac:dyDescent="0.25">
      <c r="A6543"/>
      <c r="B6543"/>
    </row>
    <row r="6544" spans="1:2" x14ac:dyDescent="0.25">
      <c r="A6544"/>
      <c r="B6544"/>
    </row>
    <row r="6545" spans="1:2" x14ac:dyDescent="0.25">
      <c r="A6545"/>
      <c r="B6545"/>
    </row>
    <row r="6546" spans="1:2" x14ac:dyDescent="0.25">
      <c r="A6546"/>
      <c r="B6546"/>
    </row>
    <row r="6547" spans="1:2" x14ac:dyDescent="0.25">
      <c r="A6547"/>
      <c r="B6547"/>
    </row>
    <row r="6548" spans="1:2" x14ac:dyDescent="0.25">
      <c r="A6548"/>
      <c r="B6548"/>
    </row>
    <row r="6549" spans="1:2" x14ac:dyDescent="0.25">
      <c r="A6549"/>
      <c r="B6549"/>
    </row>
    <row r="6550" spans="1:2" x14ac:dyDescent="0.25">
      <c r="A6550"/>
      <c r="B6550"/>
    </row>
    <row r="6551" spans="1:2" x14ac:dyDescent="0.25">
      <c r="A6551"/>
      <c r="B6551"/>
    </row>
    <row r="6552" spans="1:2" x14ac:dyDescent="0.25">
      <c r="A6552"/>
      <c r="B6552"/>
    </row>
    <row r="6553" spans="1:2" x14ac:dyDescent="0.25">
      <c r="A6553"/>
      <c r="B6553"/>
    </row>
    <row r="6554" spans="1:2" x14ac:dyDescent="0.25">
      <c r="A6554"/>
      <c r="B6554"/>
    </row>
    <row r="6555" spans="1:2" x14ac:dyDescent="0.25">
      <c r="A6555"/>
      <c r="B6555"/>
    </row>
    <row r="6556" spans="1:2" x14ac:dyDescent="0.25">
      <c r="A6556"/>
      <c r="B6556"/>
    </row>
    <row r="6557" spans="1:2" x14ac:dyDescent="0.25">
      <c r="A6557"/>
      <c r="B6557"/>
    </row>
    <row r="6558" spans="1:2" x14ac:dyDescent="0.25">
      <c r="A6558"/>
      <c r="B6558"/>
    </row>
    <row r="6559" spans="1:2" x14ac:dyDescent="0.25">
      <c r="A6559"/>
      <c r="B6559"/>
    </row>
    <row r="6560" spans="1:2" x14ac:dyDescent="0.25">
      <c r="A6560"/>
      <c r="B6560"/>
    </row>
    <row r="6561" spans="1:2" x14ac:dyDescent="0.25">
      <c r="A6561"/>
      <c r="B6561"/>
    </row>
    <row r="6562" spans="1:2" x14ac:dyDescent="0.25">
      <c r="A6562"/>
      <c r="B6562"/>
    </row>
    <row r="6563" spans="1:2" x14ac:dyDescent="0.25">
      <c r="A6563"/>
      <c r="B6563"/>
    </row>
    <row r="6564" spans="1:2" x14ac:dyDescent="0.25">
      <c r="A6564"/>
      <c r="B6564"/>
    </row>
    <row r="6565" spans="1:2" x14ac:dyDescent="0.25">
      <c r="A6565"/>
      <c r="B6565"/>
    </row>
    <row r="6566" spans="1:2" x14ac:dyDescent="0.25">
      <c r="A6566"/>
      <c r="B6566"/>
    </row>
    <row r="6567" spans="1:2" x14ac:dyDescent="0.25">
      <c r="A6567"/>
      <c r="B6567"/>
    </row>
    <row r="6568" spans="1:2" x14ac:dyDescent="0.25">
      <c r="A6568"/>
      <c r="B6568"/>
    </row>
    <row r="6569" spans="1:2" x14ac:dyDescent="0.25">
      <c r="A6569"/>
      <c r="B6569"/>
    </row>
    <row r="6570" spans="1:2" x14ac:dyDescent="0.25">
      <c r="A6570"/>
      <c r="B6570"/>
    </row>
    <row r="6571" spans="1:2" x14ac:dyDescent="0.25">
      <c r="A6571"/>
      <c r="B6571"/>
    </row>
    <row r="6572" spans="1:2" x14ac:dyDescent="0.25">
      <c r="A6572"/>
      <c r="B6572"/>
    </row>
    <row r="6573" spans="1:2" x14ac:dyDescent="0.25">
      <c r="A6573"/>
      <c r="B6573"/>
    </row>
    <row r="6574" spans="1:2" x14ac:dyDescent="0.25">
      <c r="A6574"/>
      <c r="B6574"/>
    </row>
    <row r="6575" spans="1:2" x14ac:dyDescent="0.25">
      <c r="A6575"/>
      <c r="B6575"/>
    </row>
    <row r="6576" spans="1:2" x14ac:dyDescent="0.25">
      <c r="A6576"/>
      <c r="B6576"/>
    </row>
    <row r="6577" spans="1:2" x14ac:dyDescent="0.25">
      <c r="A6577"/>
      <c r="B6577"/>
    </row>
    <row r="6578" spans="1:2" x14ac:dyDescent="0.25">
      <c r="A6578"/>
      <c r="B6578"/>
    </row>
    <row r="6579" spans="1:2" x14ac:dyDescent="0.25">
      <c r="A6579"/>
      <c r="B6579"/>
    </row>
    <row r="6580" spans="1:2" x14ac:dyDescent="0.25">
      <c r="A6580"/>
      <c r="B6580"/>
    </row>
    <row r="6581" spans="1:2" x14ac:dyDescent="0.25">
      <c r="A6581"/>
      <c r="B6581"/>
    </row>
    <row r="6582" spans="1:2" x14ac:dyDescent="0.25">
      <c r="A6582"/>
      <c r="B6582"/>
    </row>
    <row r="6583" spans="1:2" x14ac:dyDescent="0.25">
      <c r="A6583"/>
      <c r="B6583"/>
    </row>
    <row r="6584" spans="1:2" x14ac:dyDescent="0.25">
      <c r="A6584"/>
      <c r="B6584"/>
    </row>
    <row r="6585" spans="1:2" x14ac:dyDescent="0.25">
      <c r="A6585"/>
      <c r="B6585"/>
    </row>
    <row r="6586" spans="1:2" x14ac:dyDescent="0.25">
      <c r="A6586"/>
      <c r="B6586"/>
    </row>
    <row r="6587" spans="1:2" x14ac:dyDescent="0.25">
      <c r="A6587"/>
      <c r="B6587"/>
    </row>
    <row r="6588" spans="1:2" x14ac:dyDescent="0.25">
      <c r="A6588"/>
      <c r="B6588"/>
    </row>
    <row r="6589" spans="1:2" x14ac:dyDescent="0.25">
      <c r="A6589"/>
      <c r="B6589"/>
    </row>
    <row r="6590" spans="1:2" x14ac:dyDescent="0.25">
      <c r="A6590"/>
      <c r="B6590"/>
    </row>
    <row r="6591" spans="1:2" x14ac:dyDescent="0.25">
      <c r="A6591"/>
      <c r="B6591"/>
    </row>
    <row r="6592" spans="1:2" x14ac:dyDescent="0.25">
      <c r="A6592"/>
      <c r="B6592"/>
    </row>
    <row r="6593" spans="1:2" x14ac:dyDescent="0.25">
      <c r="A6593"/>
      <c r="B6593"/>
    </row>
    <row r="6594" spans="1:2" x14ac:dyDescent="0.25">
      <c r="A6594"/>
      <c r="B6594"/>
    </row>
    <row r="6595" spans="1:2" x14ac:dyDescent="0.25">
      <c r="A6595"/>
      <c r="B6595"/>
    </row>
    <row r="6596" spans="1:2" x14ac:dyDescent="0.25">
      <c r="A6596"/>
      <c r="B6596"/>
    </row>
    <row r="6597" spans="1:2" x14ac:dyDescent="0.25">
      <c r="A6597"/>
      <c r="B6597"/>
    </row>
    <row r="6598" spans="1:2" x14ac:dyDescent="0.25">
      <c r="A6598"/>
      <c r="B6598"/>
    </row>
    <row r="6599" spans="1:2" x14ac:dyDescent="0.25">
      <c r="A6599"/>
      <c r="B6599"/>
    </row>
    <row r="6600" spans="1:2" x14ac:dyDescent="0.25">
      <c r="A6600"/>
      <c r="B6600"/>
    </row>
    <row r="6601" spans="1:2" x14ac:dyDescent="0.25">
      <c r="A6601"/>
      <c r="B6601"/>
    </row>
    <row r="6602" spans="1:2" x14ac:dyDescent="0.25">
      <c r="A6602"/>
      <c r="B6602"/>
    </row>
    <row r="6603" spans="1:2" x14ac:dyDescent="0.25">
      <c r="A6603"/>
      <c r="B6603"/>
    </row>
    <row r="6604" spans="1:2" x14ac:dyDescent="0.25">
      <c r="A6604"/>
      <c r="B6604"/>
    </row>
    <row r="6605" spans="1:2" x14ac:dyDescent="0.25">
      <c r="A6605"/>
      <c r="B6605"/>
    </row>
    <row r="6606" spans="1:2" x14ac:dyDescent="0.25">
      <c r="A6606"/>
      <c r="B6606"/>
    </row>
    <row r="6607" spans="1:2" x14ac:dyDescent="0.25">
      <c r="A6607"/>
      <c r="B6607"/>
    </row>
    <row r="6608" spans="1:2" x14ac:dyDescent="0.25">
      <c r="A6608"/>
      <c r="B6608"/>
    </row>
    <row r="6609" spans="1:2" x14ac:dyDescent="0.25">
      <c r="A6609"/>
      <c r="B6609"/>
    </row>
    <row r="6610" spans="1:2" x14ac:dyDescent="0.25">
      <c r="A6610"/>
      <c r="B6610"/>
    </row>
    <row r="6611" spans="1:2" x14ac:dyDescent="0.25">
      <c r="A6611"/>
      <c r="B6611"/>
    </row>
    <row r="6612" spans="1:2" x14ac:dyDescent="0.25">
      <c r="A6612"/>
      <c r="B6612"/>
    </row>
    <row r="6613" spans="1:2" x14ac:dyDescent="0.25">
      <c r="A6613"/>
      <c r="B6613"/>
    </row>
    <row r="6614" spans="1:2" x14ac:dyDescent="0.25">
      <c r="A6614"/>
      <c r="B6614"/>
    </row>
    <row r="6615" spans="1:2" x14ac:dyDescent="0.25">
      <c r="A6615"/>
      <c r="B6615"/>
    </row>
    <row r="6616" spans="1:2" x14ac:dyDescent="0.25">
      <c r="A6616"/>
      <c r="B6616"/>
    </row>
    <row r="6617" spans="1:2" x14ac:dyDescent="0.25">
      <c r="A6617"/>
      <c r="B6617"/>
    </row>
    <row r="6618" spans="1:2" x14ac:dyDescent="0.25">
      <c r="A6618"/>
      <c r="B6618"/>
    </row>
    <row r="6619" spans="1:2" x14ac:dyDescent="0.25">
      <c r="A6619"/>
      <c r="B6619"/>
    </row>
    <row r="6620" spans="1:2" x14ac:dyDescent="0.25">
      <c r="A6620"/>
      <c r="B6620"/>
    </row>
    <row r="6621" spans="1:2" x14ac:dyDescent="0.25">
      <c r="A6621"/>
      <c r="B6621"/>
    </row>
    <row r="6622" spans="1:2" x14ac:dyDescent="0.25">
      <c r="A6622"/>
      <c r="B6622"/>
    </row>
    <row r="6623" spans="1:2" x14ac:dyDescent="0.25">
      <c r="A6623"/>
      <c r="B6623"/>
    </row>
    <row r="6624" spans="1:2" x14ac:dyDescent="0.25">
      <c r="A6624"/>
      <c r="B6624"/>
    </row>
    <row r="6625" spans="1:2" x14ac:dyDescent="0.25">
      <c r="A6625"/>
      <c r="B6625"/>
    </row>
    <row r="6626" spans="1:2" x14ac:dyDescent="0.25">
      <c r="A6626"/>
      <c r="B6626"/>
    </row>
    <row r="6627" spans="1:2" x14ac:dyDescent="0.25">
      <c r="A6627"/>
      <c r="B6627"/>
    </row>
    <row r="6628" spans="1:2" x14ac:dyDescent="0.25">
      <c r="A6628"/>
      <c r="B6628"/>
    </row>
    <row r="6629" spans="1:2" x14ac:dyDescent="0.25">
      <c r="A6629"/>
      <c r="B6629"/>
    </row>
    <row r="6630" spans="1:2" x14ac:dyDescent="0.25">
      <c r="A6630"/>
      <c r="B6630"/>
    </row>
    <row r="6631" spans="1:2" x14ac:dyDescent="0.25">
      <c r="A6631"/>
      <c r="B6631"/>
    </row>
    <row r="6632" spans="1:2" x14ac:dyDescent="0.25">
      <c r="A6632"/>
      <c r="B6632"/>
    </row>
    <row r="6633" spans="1:2" x14ac:dyDescent="0.25">
      <c r="A6633"/>
      <c r="B6633"/>
    </row>
    <row r="6634" spans="1:2" x14ac:dyDescent="0.25">
      <c r="A6634"/>
      <c r="B6634"/>
    </row>
    <row r="6635" spans="1:2" x14ac:dyDescent="0.25">
      <c r="A6635"/>
      <c r="B6635"/>
    </row>
    <row r="6636" spans="1:2" x14ac:dyDescent="0.25">
      <c r="A6636"/>
      <c r="B6636"/>
    </row>
    <row r="6637" spans="1:2" x14ac:dyDescent="0.25">
      <c r="A6637"/>
      <c r="B6637"/>
    </row>
    <row r="6638" spans="1:2" x14ac:dyDescent="0.25">
      <c r="A6638"/>
      <c r="B6638"/>
    </row>
    <row r="6639" spans="1:2" x14ac:dyDescent="0.25">
      <c r="A6639"/>
      <c r="B6639"/>
    </row>
    <row r="6640" spans="1:2" x14ac:dyDescent="0.25">
      <c r="A6640"/>
      <c r="B6640"/>
    </row>
    <row r="6641" spans="1:2" x14ac:dyDescent="0.25">
      <c r="A6641"/>
      <c r="B6641"/>
    </row>
    <row r="6642" spans="1:2" x14ac:dyDescent="0.25">
      <c r="A6642"/>
      <c r="B6642"/>
    </row>
    <row r="6643" spans="1:2" x14ac:dyDescent="0.25">
      <c r="A6643"/>
      <c r="B6643"/>
    </row>
    <row r="6644" spans="1:2" x14ac:dyDescent="0.25">
      <c r="A6644"/>
      <c r="B6644"/>
    </row>
    <row r="6645" spans="1:2" x14ac:dyDescent="0.25">
      <c r="A6645"/>
      <c r="B6645"/>
    </row>
    <row r="6646" spans="1:2" x14ac:dyDescent="0.25">
      <c r="A6646"/>
      <c r="B6646"/>
    </row>
    <row r="6647" spans="1:2" x14ac:dyDescent="0.25">
      <c r="A6647"/>
      <c r="B6647"/>
    </row>
    <row r="6648" spans="1:2" x14ac:dyDescent="0.25">
      <c r="A6648"/>
      <c r="B6648"/>
    </row>
    <row r="6649" spans="1:2" x14ac:dyDescent="0.25">
      <c r="A6649"/>
      <c r="B6649"/>
    </row>
    <row r="6650" spans="1:2" x14ac:dyDescent="0.25">
      <c r="A6650"/>
      <c r="B6650"/>
    </row>
    <row r="6651" spans="1:2" x14ac:dyDescent="0.25">
      <c r="A6651"/>
      <c r="B6651"/>
    </row>
    <row r="6652" spans="1:2" x14ac:dyDescent="0.25">
      <c r="A6652"/>
      <c r="B6652"/>
    </row>
    <row r="6653" spans="1:2" x14ac:dyDescent="0.25">
      <c r="A6653"/>
      <c r="B6653"/>
    </row>
    <row r="6654" spans="1:2" x14ac:dyDescent="0.25">
      <c r="A6654"/>
      <c r="B6654"/>
    </row>
    <row r="6655" spans="1:2" x14ac:dyDescent="0.25">
      <c r="A6655"/>
      <c r="B6655"/>
    </row>
    <row r="6656" spans="1:2" x14ac:dyDescent="0.25">
      <c r="A6656"/>
      <c r="B6656"/>
    </row>
    <row r="6657" spans="1:2" x14ac:dyDescent="0.25">
      <c r="A6657"/>
      <c r="B6657"/>
    </row>
    <row r="6658" spans="1:2" x14ac:dyDescent="0.25">
      <c r="A6658"/>
      <c r="B6658"/>
    </row>
    <row r="6659" spans="1:2" x14ac:dyDescent="0.25">
      <c r="A6659"/>
      <c r="B6659"/>
    </row>
    <row r="6660" spans="1:2" x14ac:dyDescent="0.25">
      <c r="A6660"/>
      <c r="B6660"/>
    </row>
    <row r="6661" spans="1:2" x14ac:dyDescent="0.25">
      <c r="A6661"/>
      <c r="B6661"/>
    </row>
    <row r="6662" spans="1:2" x14ac:dyDescent="0.25">
      <c r="A6662"/>
      <c r="B6662"/>
    </row>
    <row r="6663" spans="1:2" x14ac:dyDescent="0.25">
      <c r="A6663"/>
      <c r="B6663"/>
    </row>
    <row r="6664" spans="1:2" x14ac:dyDescent="0.25">
      <c r="A6664"/>
      <c r="B6664"/>
    </row>
    <row r="6665" spans="1:2" x14ac:dyDescent="0.25">
      <c r="A6665"/>
      <c r="B6665"/>
    </row>
    <row r="6666" spans="1:2" x14ac:dyDescent="0.25">
      <c r="A6666"/>
      <c r="B6666"/>
    </row>
    <row r="6667" spans="1:2" x14ac:dyDescent="0.25">
      <c r="A6667"/>
      <c r="B6667"/>
    </row>
    <row r="6668" spans="1:2" x14ac:dyDescent="0.25">
      <c r="A6668"/>
      <c r="B6668"/>
    </row>
    <row r="6669" spans="1:2" x14ac:dyDescent="0.25">
      <c r="A6669"/>
      <c r="B6669"/>
    </row>
    <row r="6670" spans="1:2" x14ac:dyDescent="0.25">
      <c r="A6670"/>
      <c r="B6670"/>
    </row>
    <row r="6671" spans="1:2" x14ac:dyDescent="0.25">
      <c r="A6671"/>
      <c r="B6671"/>
    </row>
    <row r="6672" spans="1:2" x14ac:dyDescent="0.25">
      <c r="A6672"/>
      <c r="B6672"/>
    </row>
    <row r="6673" spans="1:2" x14ac:dyDescent="0.25">
      <c r="A6673"/>
      <c r="B6673"/>
    </row>
    <row r="6674" spans="1:2" x14ac:dyDescent="0.25">
      <c r="A6674"/>
      <c r="B6674"/>
    </row>
    <row r="6675" spans="1:2" x14ac:dyDescent="0.25">
      <c r="A6675"/>
      <c r="B6675"/>
    </row>
    <row r="6676" spans="1:2" x14ac:dyDescent="0.25">
      <c r="A6676"/>
      <c r="B6676"/>
    </row>
    <row r="6677" spans="1:2" x14ac:dyDescent="0.25">
      <c r="A6677"/>
      <c r="B6677"/>
    </row>
    <row r="6678" spans="1:2" x14ac:dyDescent="0.25">
      <c r="A6678"/>
      <c r="B6678"/>
    </row>
    <row r="6679" spans="1:2" x14ac:dyDescent="0.25">
      <c r="A6679"/>
      <c r="B6679"/>
    </row>
    <row r="6680" spans="1:2" x14ac:dyDescent="0.25">
      <c r="A6680"/>
      <c r="B6680"/>
    </row>
    <row r="6681" spans="1:2" x14ac:dyDescent="0.25">
      <c r="A6681"/>
      <c r="B6681"/>
    </row>
    <row r="6682" spans="1:2" x14ac:dyDescent="0.25">
      <c r="A6682"/>
      <c r="B6682"/>
    </row>
    <row r="6683" spans="1:2" x14ac:dyDescent="0.25">
      <c r="A6683"/>
      <c r="B6683"/>
    </row>
    <row r="6684" spans="1:2" x14ac:dyDescent="0.25">
      <c r="A6684"/>
      <c r="B6684"/>
    </row>
    <row r="6685" spans="1:2" x14ac:dyDescent="0.25">
      <c r="A6685"/>
      <c r="B6685"/>
    </row>
    <row r="6686" spans="1:2" x14ac:dyDescent="0.25">
      <c r="A6686"/>
      <c r="B6686"/>
    </row>
    <row r="6687" spans="1:2" x14ac:dyDescent="0.25">
      <c r="A6687"/>
      <c r="B6687"/>
    </row>
    <row r="6688" spans="1:2" x14ac:dyDescent="0.25">
      <c r="A6688"/>
      <c r="B6688"/>
    </row>
    <row r="6689" spans="1:2" x14ac:dyDescent="0.25">
      <c r="A6689"/>
      <c r="B6689"/>
    </row>
    <row r="6690" spans="1:2" x14ac:dyDescent="0.25">
      <c r="A6690"/>
      <c r="B6690"/>
    </row>
    <row r="6691" spans="1:2" x14ac:dyDescent="0.25">
      <c r="A6691"/>
      <c r="B6691"/>
    </row>
    <row r="6692" spans="1:2" x14ac:dyDescent="0.25">
      <c r="A6692"/>
      <c r="B6692"/>
    </row>
    <row r="6693" spans="1:2" x14ac:dyDescent="0.25">
      <c r="A6693"/>
      <c r="B6693"/>
    </row>
    <row r="6694" spans="1:2" x14ac:dyDescent="0.25">
      <c r="A6694"/>
      <c r="B6694"/>
    </row>
    <row r="6695" spans="1:2" x14ac:dyDescent="0.25">
      <c r="A6695"/>
      <c r="B6695"/>
    </row>
    <row r="6696" spans="1:2" x14ac:dyDescent="0.25">
      <c r="A6696"/>
      <c r="B6696"/>
    </row>
    <row r="6697" spans="1:2" x14ac:dyDescent="0.25">
      <c r="A6697"/>
      <c r="B6697"/>
    </row>
    <row r="6698" spans="1:2" x14ac:dyDescent="0.25">
      <c r="A6698"/>
      <c r="B6698"/>
    </row>
    <row r="6699" spans="1:2" x14ac:dyDescent="0.25">
      <c r="A6699"/>
      <c r="B6699"/>
    </row>
    <row r="6700" spans="1:2" x14ac:dyDescent="0.25">
      <c r="A6700"/>
      <c r="B6700"/>
    </row>
    <row r="6701" spans="1:2" x14ac:dyDescent="0.25">
      <c r="A6701"/>
      <c r="B6701"/>
    </row>
    <row r="6702" spans="1:2" x14ac:dyDescent="0.25">
      <c r="A6702"/>
      <c r="B6702"/>
    </row>
    <row r="6703" spans="1:2" x14ac:dyDescent="0.25">
      <c r="A6703"/>
      <c r="B6703"/>
    </row>
    <row r="6704" spans="1:2" x14ac:dyDescent="0.25">
      <c r="A6704"/>
      <c r="B6704"/>
    </row>
    <row r="6705" spans="1:2" x14ac:dyDescent="0.25">
      <c r="A6705"/>
      <c r="B6705"/>
    </row>
    <row r="6706" spans="1:2" x14ac:dyDescent="0.25">
      <c r="A6706"/>
      <c r="B6706"/>
    </row>
    <row r="6707" spans="1:2" x14ac:dyDescent="0.25">
      <c r="A6707"/>
      <c r="B6707"/>
    </row>
    <row r="6708" spans="1:2" x14ac:dyDescent="0.25">
      <c r="A6708"/>
      <c r="B6708"/>
    </row>
    <row r="6709" spans="1:2" x14ac:dyDescent="0.25">
      <c r="A6709"/>
      <c r="B6709"/>
    </row>
    <row r="6710" spans="1:2" x14ac:dyDescent="0.25">
      <c r="A6710"/>
      <c r="B6710"/>
    </row>
    <row r="6711" spans="1:2" x14ac:dyDescent="0.25">
      <c r="A6711"/>
      <c r="B6711"/>
    </row>
    <row r="6712" spans="1:2" x14ac:dyDescent="0.25">
      <c r="A6712"/>
      <c r="B6712"/>
    </row>
    <row r="6713" spans="1:2" x14ac:dyDescent="0.25">
      <c r="A6713"/>
      <c r="B6713"/>
    </row>
    <row r="6714" spans="1:2" x14ac:dyDescent="0.25">
      <c r="A6714"/>
      <c r="B6714"/>
    </row>
    <row r="6715" spans="1:2" x14ac:dyDescent="0.25">
      <c r="A6715"/>
      <c r="B6715"/>
    </row>
    <row r="6716" spans="1:2" x14ac:dyDescent="0.25">
      <c r="A6716"/>
      <c r="B6716"/>
    </row>
    <row r="6717" spans="1:2" x14ac:dyDescent="0.25">
      <c r="A6717"/>
      <c r="B6717"/>
    </row>
    <row r="6718" spans="1:2" x14ac:dyDescent="0.25">
      <c r="A6718"/>
      <c r="B6718"/>
    </row>
    <row r="6719" spans="1:2" x14ac:dyDescent="0.25">
      <c r="A6719"/>
      <c r="B6719"/>
    </row>
    <row r="6720" spans="1:2" x14ac:dyDescent="0.25">
      <c r="A6720"/>
      <c r="B6720"/>
    </row>
    <row r="6721" spans="1:2" x14ac:dyDescent="0.25">
      <c r="A6721"/>
      <c r="B6721"/>
    </row>
    <row r="6722" spans="1:2" x14ac:dyDescent="0.25">
      <c r="A6722"/>
      <c r="B6722"/>
    </row>
    <row r="6723" spans="1:2" x14ac:dyDescent="0.25">
      <c r="A6723"/>
      <c r="B6723"/>
    </row>
    <row r="6724" spans="1:2" x14ac:dyDescent="0.25">
      <c r="A6724"/>
      <c r="B6724"/>
    </row>
    <row r="6725" spans="1:2" x14ac:dyDescent="0.25">
      <c r="A6725"/>
      <c r="B6725"/>
    </row>
    <row r="6726" spans="1:2" x14ac:dyDescent="0.25">
      <c r="A6726"/>
      <c r="B6726"/>
    </row>
    <row r="6727" spans="1:2" x14ac:dyDescent="0.25">
      <c r="A6727"/>
      <c r="B6727"/>
    </row>
    <row r="6728" spans="1:2" x14ac:dyDescent="0.25">
      <c r="A6728"/>
      <c r="B6728"/>
    </row>
    <row r="6729" spans="1:2" x14ac:dyDescent="0.25">
      <c r="A6729"/>
      <c r="B6729"/>
    </row>
    <row r="6730" spans="1:2" x14ac:dyDescent="0.25">
      <c r="A6730"/>
      <c r="B6730"/>
    </row>
    <row r="6731" spans="1:2" x14ac:dyDescent="0.25">
      <c r="A6731"/>
      <c r="B6731"/>
    </row>
    <row r="6732" spans="1:2" x14ac:dyDescent="0.25">
      <c r="A6732"/>
      <c r="B6732"/>
    </row>
    <row r="6733" spans="1:2" x14ac:dyDescent="0.25">
      <c r="A6733"/>
      <c r="B6733"/>
    </row>
    <row r="6734" spans="1:2" x14ac:dyDescent="0.25">
      <c r="A6734"/>
      <c r="B6734"/>
    </row>
    <row r="6735" spans="1:2" x14ac:dyDescent="0.25">
      <c r="A6735"/>
      <c r="B6735"/>
    </row>
    <row r="6736" spans="1:2" x14ac:dyDescent="0.25">
      <c r="A6736"/>
      <c r="B6736"/>
    </row>
    <row r="6737" spans="1:2" x14ac:dyDescent="0.25">
      <c r="A6737"/>
      <c r="B6737"/>
    </row>
    <row r="6738" spans="1:2" x14ac:dyDescent="0.25">
      <c r="A6738"/>
      <c r="B6738"/>
    </row>
    <row r="6739" spans="1:2" x14ac:dyDescent="0.25">
      <c r="A6739"/>
      <c r="B6739"/>
    </row>
    <row r="6740" spans="1:2" x14ac:dyDescent="0.25">
      <c r="A6740"/>
      <c r="B6740"/>
    </row>
    <row r="6741" spans="1:2" x14ac:dyDescent="0.25">
      <c r="A6741"/>
      <c r="B6741"/>
    </row>
    <row r="6742" spans="1:2" x14ac:dyDescent="0.25">
      <c r="A6742"/>
      <c r="B6742"/>
    </row>
    <row r="6743" spans="1:2" x14ac:dyDescent="0.25">
      <c r="A6743"/>
      <c r="B6743"/>
    </row>
    <row r="6744" spans="1:2" x14ac:dyDescent="0.25">
      <c r="A6744"/>
      <c r="B6744"/>
    </row>
    <row r="6745" spans="1:2" x14ac:dyDescent="0.25">
      <c r="A6745"/>
      <c r="B6745"/>
    </row>
    <row r="6746" spans="1:2" x14ac:dyDescent="0.25">
      <c r="A6746"/>
      <c r="B6746"/>
    </row>
    <row r="6747" spans="1:2" x14ac:dyDescent="0.25">
      <c r="A6747"/>
      <c r="B6747"/>
    </row>
    <row r="6748" spans="1:2" x14ac:dyDescent="0.25">
      <c r="A6748"/>
      <c r="B6748"/>
    </row>
    <row r="6749" spans="1:2" x14ac:dyDescent="0.25">
      <c r="A6749"/>
      <c r="B6749"/>
    </row>
    <row r="6750" spans="1:2" x14ac:dyDescent="0.25">
      <c r="A6750"/>
      <c r="B6750"/>
    </row>
    <row r="6751" spans="1:2" x14ac:dyDescent="0.25">
      <c r="A6751"/>
      <c r="B6751"/>
    </row>
    <row r="6752" spans="1:2" x14ac:dyDescent="0.25">
      <c r="A6752"/>
      <c r="B6752"/>
    </row>
    <row r="6753" spans="1:2" x14ac:dyDescent="0.25">
      <c r="A6753"/>
      <c r="B6753"/>
    </row>
    <row r="6754" spans="1:2" x14ac:dyDescent="0.25">
      <c r="A6754"/>
      <c r="B6754"/>
    </row>
    <row r="6755" spans="1:2" x14ac:dyDescent="0.25">
      <c r="A6755"/>
      <c r="B6755"/>
    </row>
    <row r="6756" spans="1:2" x14ac:dyDescent="0.25">
      <c r="A6756"/>
      <c r="B6756"/>
    </row>
    <row r="6757" spans="1:2" x14ac:dyDescent="0.25">
      <c r="A6757"/>
      <c r="B6757"/>
    </row>
    <row r="6758" spans="1:2" x14ac:dyDescent="0.25">
      <c r="A6758"/>
      <c r="B6758"/>
    </row>
    <row r="6759" spans="1:2" x14ac:dyDescent="0.25">
      <c r="A6759"/>
      <c r="B6759"/>
    </row>
    <row r="6760" spans="1:2" x14ac:dyDescent="0.25">
      <c r="A6760"/>
      <c r="B6760"/>
    </row>
    <row r="6761" spans="1:2" x14ac:dyDescent="0.25">
      <c r="A6761"/>
      <c r="B6761"/>
    </row>
    <row r="6762" spans="1:2" x14ac:dyDescent="0.25">
      <c r="A6762"/>
      <c r="B6762"/>
    </row>
    <row r="6763" spans="1:2" x14ac:dyDescent="0.25">
      <c r="A6763"/>
      <c r="B6763"/>
    </row>
    <row r="6764" spans="1:2" x14ac:dyDescent="0.25">
      <c r="A6764"/>
      <c r="B6764"/>
    </row>
    <row r="6765" spans="1:2" x14ac:dyDescent="0.25">
      <c r="A6765"/>
      <c r="B6765"/>
    </row>
    <row r="6766" spans="1:2" x14ac:dyDescent="0.25">
      <c r="A6766"/>
      <c r="B6766"/>
    </row>
    <row r="6767" spans="1:2" x14ac:dyDescent="0.25">
      <c r="A6767"/>
      <c r="B6767"/>
    </row>
    <row r="6768" spans="1:2" x14ac:dyDescent="0.25">
      <c r="A6768"/>
      <c r="B6768"/>
    </row>
    <row r="6769" spans="1:2" x14ac:dyDescent="0.25">
      <c r="A6769"/>
      <c r="B6769"/>
    </row>
    <row r="6770" spans="1:2" x14ac:dyDescent="0.25">
      <c r="A6770"/>
      <c r="B6770"/>
    </row>
    <row r="6771" spans="1:2" x14ac:dyDescent="0.25">
      <c r="A6771"/>
      <c r="B6771"/>
    </row>
    <row r="6772" spans="1:2" x14ac:dyDescent="0.25">
      <c r="A6772"/>
      <c r="B6772"/>
    </row>
    <row r="6773" spans="1:2" x14ac:dyDescent="0.25">
      <c r="A6773"/>
      <c r="B6773"/>
    </row>
    <row r="6774" spans="1:2" x14ac:dyDescent="0.25">
      <c r="A6774"/>
      <c r="B6774"/>
    </row>
    <row r="6775" spans="1:2" x14ac:dyDescent="0.25">
      <c r="A6775"/>
      <c r="B6775"/>
    </row>
    <row r="6776" spans="1:2" x14ac:dyDescent="0.25">
      <c r="A6776"/>
      <c r="B6776"/>
    </row>
    <row r="6777" spans="1:2" x14ac:dyDescent="0.25">
      <c r="A6777"/>
      <c r="B6777"/>
    </row>
    <row r="6778" spans="1:2" x14ac:dyDescent="0.25">
      <c r="A6778"/>
      <c r="B6778"/>
    </row>
    <row r="6779" spans="1:2" x14ac:dyDescent="0.25">
      <c r="A6779"/>
      <c r="B6779"/>
    </row>
    <row r="6780" spans="1:2" x14ac:dyDescent="0.25">
      <c r="A6780"/>
      <c r="B6780"/>
    </row>
    <row r="6781" spans="1:2" x14ac:dyDescent="0.25">
      <c r="A6781"/>
      <c r="B6781"/>
    </row>
    <row r="6782" spans="1:2" x14ac:dyDescent="0.25">
      <c r="A6782"/>
      <c r="B6782"/>
    </row>
    <row r="6783" spans="1:2" x14ac:dyDescent="0.25">
      <c r="A6783"/>
      <c r="B6783"/>
    </row>
    <row r="6784" spans="1:2" x14ac:dyDescent="0.25">
      <c r="A6784"/>
      <c r="B6784"/>
    </row>
    <row r="6785" spans="1:2" x14ac:dyDescent="0.25">
      <c r="A6785"/>
      <c r="B6785"/>
    </row>
    <row r="6786" spans="1:2" x14ac:dyDescent="0.25">
      <c r="A6786"/>
      <c r="B6786"/>
    </row>
    <row r="6787" spans="1:2" x14ac:dyDescent="0.25">
      <c r="A6787"/>
      <c r="B6787"/>
    </row>
    <row r="6788" spans="1:2" x14ac:dyDescent="0.25">
      <c r="A6788"/>
      <c r="B6788"/>
    </row>
    <row r="6789" spans="1:2" x14ac:dyDescent="0.25">
      <c r="A6789"/>
      <c r="B6789"/>
    </row>
    <row r="6790" spans="1:2" x14ac:dyDescent="0.25">
      <c r="A6790"/>
      <c r="B6790"/>
    </row>
    <row r="6791" spans="1:2" x14ac:dyDescent="0.25">
      <c r="A6791"/>
      <c r="B6791"/>
    </row>
    <row r="6792" spans="1:2" x14ac:dyDescent="0.25">
      <c r="A6792"/>
      <c r="B6792"/>
    </row>
    <row r="6793" spans="1:2" x14ac:dyDescent="0.25">
      <c r="A6793"/>
      <c r="B6793"/>
    </row>
    <row r="6794" spans="1:2" x14ac:dyDescent="0.25">
      <c r="A6794"/>
      <c r="B6794"/>
    </row>
    <row r="6795" spans="1:2" x14ac:dyDescent="0.25">
      <c r="A6795"/>
      <c r="B6795"/>
    </row>
    <row r="6796" spans="1:2" x14ac:dyDescent="0.25">
      <c r="A6796"/>
      <c r="B6796"/>
    </row>
    <row r="6797" spans="1:2" x14ac:dyDescent="0.25">
      <c r="A6797"/>
      <c r="B6797"/>
    </row>
    <row r="6798" spans="1:2" x14ac:dyDescent="0.25">
      <c r="A6798"/>
      <c r="B6798"/>
    </row>
    <row r="6799" spans="1:2" x14ac:dyDescent="0.25">
      <c r="A6799"/>
      <c r="B6799"/>
    </row>
    <row r="6800" spans="1:2" x14ac:dyDescent="0.25">
      <c r="A6800"/>
      <c r="B6800"/>
    </row>
    <row r="6801" spans="1:2" x14ac:dyDescent="0.25">
      <c r="A6801"/>
      <c r="B6801"/>
    </row>
    <row r="6802" spans="1:2" x14ac:dyDescent="0.25">
      <c r="A6802"/>
      <c r="B6802"/>
    </row>
    <row r="6803" spans="1:2" x14ac:dyDescent="0.25">
      <c r="A6803"/>
      <c r="B6803"/>
    </row>
    <row r="6804" spans="1:2" x14ac:dyDescent="0.25">
      <c r="A6804"/>
      <c r="B6804"/>
    </row>
    <row r="6805" spans="1:2" x14ac:dyDescent="0.25">
      <c r="A6805"/>
      <c r="B6805"/>
    </row>
    <row r="6806" spans="1:2" x14ac:dyDescent="0.25">
      <c r="A6806"/>
      <c r="B6806"/>
    </row>
    <row r="6807" spans="1:2" x14ac:dyDescent="0.25">
      <c r="A6807"/>
      <c r="B6807"/>
    </row>
    <row r="6808" spans="1:2" x14ac:dyDescent="0.25">
      <c r="A6808"/>
      <c r="B6808"/>
    </row>
    <row r="6809" spans="1:2" x14ac:dyDescent="0.25">
      <c r="A6809"/>
      <c r="B6809"/>
    </row>
    <row r="6810" spans="1:2" x14ac:dyDescent="0.25">
      <c r="A6810"/>
      <c r="B6810"/>
    </row>
    <row r="6811" spans="1:2" x14ac:dyDescent="0.25">
      <c r="A6811"/>
      <c r="B6811"/>
    </row>
    <row r="6812" spans="1:2" x14ac:dyDescent="0.25">
      <c r="A6812"/>
      <c r="B6812"/>
    </row>
    <row r="6813" spans="1:2" x14ac:dyDescent="0.25">
      <c r="A6813"/>
      <c r="B6813"/>
    </row>
    <row r="6814" spans="1:2" x14ac:dyDescent="0.25">
      <c r="A6814"/>
      <c r="B6814"/>
    </row>
    <row r="6815" spans="1:2" x14ac:dyDescent="0.25">
      <c r="A6815"/>
      <c r="B6815"/>
    </row>
    <row r="6816" spans="1:2" x14ac:dyDescent="0.25">
      <c r="A6816"/>
      <c r="B6816"/>
    </row>
    <row r="6817" spans="1:2" x14ac:dyDescent="0.25">
      <c r="A6817"/>
      <c r="B6817"/>
    </row>
    <row r="6818" spans="1:2" x14ac:dyDescent="0.25">
      <c r="A6818"/>
      <c r="B6818"/>
    </row>
    <row r="6819" spans="1:2" x14ac:dyDescent="0.25">
      <c r="A6819"/>
      <c r="B6819"/>
    </row>
    <row r="6820" spans="1:2" x14ac:dyDescent="0.25">
      <c r="A6820"/>
      <c r="B6820"/>
    </row>
    <row r="6821" spans="1:2" x14ac:dyDescent="0.25">
      <c r="A6821"/>
      <c r="B6821"/>
    </row>
    <row r="6822" spans="1:2" x14ac:dyDescent="0.25">
      <c r="A6822"/>
      <c r="B6822"/>
    </row>
    <row r="6823" spans="1:2" x14ac:dyDescent="0.25">
      <c r="A6823"/>
      <c r="B6823"/>
    </row>
    <row r="6824" spans="1:2" x14ac:dyDescent="0.25">
      <c r="A6824"/>
      <c r="B6824"/>
    </row>
    <row r="6825" spans="1:2" x14ac:dyDescent="0.25">
      <c r="A6825"/>
      <c r="B6825"/>
    </row>
    <row r="6826" spans="1:2" x14ac:dyDescent="0.25">
      <c r="A6826"/>
      <c r="B6826"/>
    </row>
    <row r="6827" spans="1:2" x14ac:dyDescent="0.25">
      <c r="A6827"/>
      <c r="B6827"/>
    </row>
    <row r="6828" spans="1:2" x14ac:dyDescent="0.25">
      <c r="A6828"/>
      <c r="B6828"/>
    </row>
    <row r="6829" spans="1:2" x14ac:dyDescent="0.25">
      <c r="A6829"/>
      <c r="B6829"/>
    </row>
    <row r="6830" spans="1:2" x14ac:dyDescent="0.25">
      <c r="A6830"/>
      <c r="B6830"/>
    </row>
    <row r="6831" spans="1:2" x14ac:dyDescent="0.25">
      <c r="A6831"/>
      <c r="B6831"/>
    </row>
    <row r="6832" spans="1:2" x14ac:dyDescent="0.25">
      <c r="A6832"/>
      <c r="B6832"/>
    </row>
    <row r="6833" spans="1:2" x14ac:dyDescent="0.25">
      <c r="A6833"/>
      <c r="B6833"/>
    </row>
    <row r="6834" spans="1:2" x14ac:dyDescent="0.25">
      <c r="A6834"/>
      <c r="B6834"/>
    </row>
    <row r="6835" spans="1:2" x14ac:dyDescent="0.25">
      <c r="A6835"/>
      <c r="B6835"/>
    </row>
    <row r="6836" spans="1:2" x14ac:dyDescent="0.25">
      <c r="A6836"/>
      <c r="B6836"/>
    </row>
    <row r="6837" spans="1:2" x14ac:dyDescent="0.25">
      <c r="A6837"/>
      <c r="B6837"/>
    </row>
    <row r="6838" spans="1:2" x14ac:dyDescent="0.25">
      <c r="A6838"/>
      <c r="B6838"/>
    </row>
    <row r="6839" spans="1:2" x14ac:dyDescent="0.25">
      <c r="A6839"/>
      <c r="B6839"/>
    </row>
    <row r="6840" spans="1:2" x14ac:dyDescent="0.25">
      <c r="A6840"/>
      <c r="B6840"/>
    </row>
    <row r="6841" spans="1:2" x14ac:dyDescent="0.25">
      <c r="A6841"/>
      <c r="B6841"/>
    </row>
    <row r="6842" spans="1:2" x14ac:dyDescent="0.25">
      <c r="A6842"/>
      <c r="B6842"/>
    </row>
    <row r="6843" spans="1:2" x14ac:dyDescent="0.25">
      <c r="A6843"/>
      <c r="B6843"/>
    </row>
    <row r="6844" spans="1:2" x14ac:dyDescent="0.25">
      <c r="A6844"/>
      <c r="B6844"/>
    </row>
    <row r="6845" spans="1:2" x14ac:dyDescent="0.25">
      <c r="A6845"/>
      <c r="B6845"/>
    </row>
    <row r="6846" spans="1:2" x14ac:dyDescent="0.25">
      <c r="A6846"/>
      <c r="B6846"/>
    </row>
    <row r="6847" spans="1:2" x14ac:dyDescent="0.25">
      <c r="A6847"/>
      <c r="B6847"/>
    </row>
    <row r="6848" spans="1:2" x14ac:dyDescent="0.25">
      <c r="A6848"/>
      <c r="B6848"/>
    </row>
    <row r="6849" spans="1:2" x14ac:dyDescent="0.25">
      <c r="A6849"/>
      <c r="B6849"/>
    </row>
    <row r="6850" spans="1:2" x14ac:dyDescent="0.25">
      <c r="A6850"/>
      <c r="B6850"/>
    </row>
    <row r="6851" spans="1:2" x14ac:dyDescent="0.25">
      <c r="A6851"/>
      <c r="B6851"/>
    </row>
    <row r="6852" spans="1:2" x14ac:dyDescent="0.25">
      <c r="A6852"/>
      <c r="B6852"/>
    </row>
    <row r="6853" spans="1:2" x14ac:dyDescent="0.25">
      <c r="A6853"/>
      <c r="B6853"/>
    </row>
    <row r="6854" spans="1:2" x14ac:dyDescent="0.25">
      <c r="A6854"/>
      <c r="B6854"/>
    </row>
    <row r="6855" spans="1:2" x14ac:dyDescent="0.25">
      <c r="A6855"/>
      <c r="B6855"/>
    </row>
    <row r="6856" spans="1:2" x14ac:dyDescent="0.25">
      <c r="A6856"/>
      <c r="B6856"/>
    </row>
    <row r="6857" spans="1:2" x14ac:dyDescent="0.25">
      <c r="A6857"/>
      <c r="B6857"/>
    </row>
    <row r="6858" spans="1:2" x14ac:dyDescent="0.25">
      <c r="A6858"/>
      <c r="B6858"/>
    </row>
    <row r="6859" spans="1:2" x14ac:dyDescent="0.25">
      <c r="A6859"/>
      <c r="B6859"/>
    </row>
    <row r="6860" spans="1:2" x14ac:dyDescent="0.25">
      <c r="A6860"/>
      <c r="B6860"/>
    </row>
    <row r="6861" spans="1:2" x14ac:dyDescent="0.25">
      <c r="A6861"/>
      <c r="B6861"/>
    </row>
    <row r="6862" spans="1:2" x14ac:dyDescent="0.25">
      <c r="A6862"/>
      <c r="B6862"/>
    </row>
    <row r="6863" spans="1:2" x14ac:dyDescent="0.25">
      <c r="A6863"/>
      <c r="B6863"/>
    </row>
    <row r="6864" spans="1:2" x14ac:dyDescent="0.25">
      <c r="A6864"/>
      <c r="B6864"/>
    </row>
    <row r="6865" spans="1:2" x14ac:dyDescent="0.25">
      <c r="A6865"/>
      <c r="B6865"/>
    </row>
    <row r="6866" spans="1:2" x14ac:dyDescent="0.25">
      <c r="A6866"/>
      <c r="B6866"/>
    </row>
    <row r="6867" spans="1:2" x14ac:dyDescent="0.25">
      <c r="A6867"/>
      <c r="B6867"/>
    </row>
    <row r="6868" spans="1:2" x14ac:dyDescent="0.25">
      <c r="A6868"/>
      <c r="B6868"/>
    </row>
    <row r="6869" spans="1:2" x14ac:dyDescent="0.25">
      <c r="A6869"/>
      <c r="B6869"/>
    </row>
    <row r="6870" spans="1:2" x14ac:dyDescent="0.25">
      <c r="A6870"/>
      <c r="B6870"/>
    </row>
    <row r="6871" spans="1:2" x14ac:dyDescent="0.25">
      <c r="A6871"/>
      <c r="B6871"/>
    </row>
    <row r="6872" spans="1:2" x14ac:dyDescent="0.25">
      <c r="A6872"/>
      <c r="B6872"/>
    </row>
    <row r="6873" spans="1:2" x14ac:dyDescent="0.25">
      <c r="A6873"/>
      <c r="B6873"/>
    </row>
    <row r="6874" spans="1:2" x14ac:dyDescent="0.25">
      <c r="A6874"/>
      <c r="B6874"/>
    </row>
    <row r="6875" spans="1:2" x14ac:dyDescent="0.25">
      <c r="A6875"/>
      <c r="B6875"/>
    </row>
    <row r="6876" spans="1:2" x14ac:dyDescent="0.25">
      <c r="A6876"/>
      <c r="B6876"/>
    </row>
    <row r="6877" spans="1:2" x14ac:dyDescent="0.25">
      <c r="A6877"/>
      <c r="B6877"/>
    </row>
    <row r="6878" spans="1:2" x14ac:dyDescent="0.25">
      <c r="A6878"/>
      <c r="B6878"/>
    </row>
    <row r="6879" spans="1:2" x14ac:dyDescent="0.25">
      <c r="A6879"/>
      <c r="B6879"/>
    </row>
    <row r="6880" spans="1:2" x14ac:dyDescent="0.25">
      <c r="A6880"/>
      <c r="B6880"/>
    </row>
    <row r="6881" spans="1:2" x14ac:dyDescent="0.25">
      <c r="A6881"/>
      <c r="B6881"/>
    </row>
    <row r="6882" spans="1:2" x14ac:dyDescent="0.25">
      <c r="A6882"/>
      <c r="B6882"/>
    </row>
    <row r="6883" spans="1:2" x14ac:dyDescent="0.25">
      <c r="A6883"/>
      <c r="B6883"/>
    </row>
    <row r="6884" spans="1:2" x14ac:dyDescent="0.25">
      <c r="A6884"/>
      <c r="B6884"/>
    </row>
    <row r="6885" spans="1:2" x14ac:dyDescent="0.25">
      <c r="A6885"/>
      <c r="B6885"/>
    </row>
    <row r="6886" spans="1:2" x14ac:dyDescent="0.25">
      <c r="A6886"/>
      <c r="B6886"/>
    </row>
    <row r="6887" spans="1:2" x14ac:dyDescent="0.25">
      <c r="A6887"/>
      <c r="B6887"/>
    </row>
    <row r="6888" spans="1:2" x14ac:dyDescent="0.25">
      <c r="A6888"/>
      <c r="B6888"/>
    </row>
    <row r="6889" spans="1:2" x14ac:dyDescent="0.25">
      <c r="A6889"/>
      <c r="B6889"/>
    </row>
    <row r="6890" spans="1:2" x14ac:dyDescent="0.25">
      <c r="A6890"/>
      <c r="B6890"/>
    </row>
    <row r="6891" spans="1:2" x14ac:dyDescent="0.25">
      <c r="A6891"/>
      <c r="B6891"/>
    </row>
    <row r="6892" spans="1:2" x14ac:dyDescent="0.25">
      <c r="A6892"/>
      <c r="B6892"/>
    </row>
    <row r="6893" spans="1:2" x14ac:dyDescent="0.25">
      <c r="A6893"/>
      <c r="B6893"/>
    </row>
    <row r="6894" spans="1:2" x14ac:dyDescent="0.25">
      <c r="A6894"/>
      <c r="B6894"/>
    </row>
    <row r="6895" spans="1:2" x14ac:dyDescent="0.25">
      <c r="A6895"/>
      <c r="B6895"/>
    </row>
    <row r="6896" spans="1:2" x14ac:dyDescent="0.25">
      <c r="A6896"/>
      <c r="B6896"/>
    </row>
    <row r="6897" spans="1:2" x14ac:dyDescent="0.25">
      <c r="A6897"/>
      <c r="B6897"/>
    </row>
    <row r="6898" spans="1:2" x14ac:dyDescent="0.25">
      <c r="A6898"/>
      <c r="B6898"/>
    </row>
    <row r="6899" spans="1:2" x14ac:dyDescent="0.25">
      <c r="A6899"/>
      <c r="B6899"/>
    </row>
    <row r="6900" spans="1:2" x14ac:dyDescent="0.25">
      <c r="A6900"/>
      <c r="B6900"/>
    </row>
    <row r="6901" spans="1:2" x14ac:dyDescent="0.25">
      <c r="A6901"/>
      <c r="B6901"/>
    </row>
    <row r="6902" spans="1:2" x14ac:dyDescent="0.25">
      <c r="A6902"/>
      <c r="B6902"/>
    </row>
    <row r="6903" spans="1:2" x14ac:dyDescent="0.25">
      <c r="A6903"/>
      <c r="B6903"/>
    </row>
    <row r="6904" spans="1:2" x14ac:dyDescent="0.25">
      <c r="A6904"/>
      <c r="B6904"/>
    </row>
    <row r="6905" spans="1:2" x14ac:dyDescent="0.25">
      <c r="A6905"/>
      <c r="B6905"/>
    </row>
    <row r="6906" spans="1:2" x14ac:dyDescent="0.25">
      <c r="A6906"/>
      <c r="B6906"/>
    </row>
    <row r="6907" spans="1:2" x14ac:dyDescent="0.25">
      <c r="A6907"/>
      <c r="B6907"/>
    </row>
    <row r="6908" spans="1:2" x14ac:dyDescent="0.25">
      <c r="A6908"/>
      <c r="B6908"/>
    </row>
    <row r="6909" spans="1:2" x14ac:dyDescent="0.25">
      <c r="A6909"/>
      <c r="B6909"/>
    </row>
    <row r="6910" spans="1:2" x14ac:dyDescent="0.25">
      <c r="A6910"/>
      <c r="B6910"/>
    </row>
    <row r="6911" spans="1:2" x14ac:dyDescent="0.25">
      <c r="A6911"/>
      <c r="B6911"/>
    </row>
    <row r="6912" spans="1:2" x14ac:dyDescent="0.25">
      <c r="A6912"/>
      <c r="B6912"/>
    </row>
    <row r="6913" spans="1:2" x14ac:dyDescent="0.25">
      <c r="A6913"/>
      <c r="B6913"/>
    </row>
    <row r="6914" spans="1:2" x14ac:dyDescent="0.25">
      <c r="A6914"/>
      <c r="B6914"/>
    </row>
    <row r="6915" spans="1:2" x14ac:dyDescent="0.25">
      <c r="A6915"/>
      <c r="B6915"/>
    </row>
    <row r="6916" spans="1:2" x14ac:dyDescent="0.25">
      <c r="A6916"/>
      <c r="B6916"/>
    </row>
    <row r="6917" spans="1:2" x14ac:dyDescent="0.25">
      <c r="A6917"/>
      <c r="B6917"/>
    </row>
    <row r="6918" spans="1:2" x14ac:dyDescent="0.25">
      <c r="A6918"/>
      <c r="B6918"/>
    </row>
    <row r="6919" spans="1:2" x14ac:dyDescent="0.25">
      <c r="A6919"/>
      <c r="B6919"/>
    </row>
    <row r="6920" spans="1:2" x14ac:dyDescent="0.25">
      <c r="A6920"/>
      <c r="B6920"/>
    </row>
    <row r="6921" spans="1:2" x14ac:dyDescent="0.25">
      <c r="A6921"/>
      <c r="B6921"/>
    </row>
    <row r="6922" spans="1:2" x14ac:dyDescent="0.25">
      <c r="A6922"/>
      <c r="B6922"/>
    </row>
    <row r="6923" spans="1:2" x14ac:dyDescent="0.25">
      <c r="A6923"/>
      <c r="B6923"/>
    </row>
    <row r="6924" spans="1:2" x14ac:dyDescent="0.25">
      <c r="A6924"/>
      <c r="B6924"/>
    </row>
    <row r="6925" spans="1:2" x14ac:dyDescent="0.25">
      <c r="A6925"/>
      <c r="B6925"/>
    </row>
    <row r="6926" spans="1:2" x14ac:dyDescent="0.25">
      <c r="A6926"/>
      <c r="B6926"/>
    </row>
    <row r="6927" spans="1:2" x14ac:dyDescent="0.25">
      <c r="A6927"/>
      <c r="B6927"/>
    </row>
    <row r="6928" spans="1:2" x14ac:dyDescent="0.25">
      <c r="A6928"/>
      <c r="B6928"/>
    </row>
    <row r="6929" spans="1:2" x14ac:dyDescent="0.25">
      <c r="A6929"/>
      <c r="B6929"/>
    </row>
    <row r="6930" spans="1:2" x14ac:dyDescent="0.25">
      <c r="A6930"/>
      <c r="B6930"/>
    </row>
    <row r="6931" spans="1:2" x14ac:dyDescent="0.25">
      <c r="A6931"/>
      <c r="B6931"/>
    </row>
    <row r="6932" spans="1:2" x14ac:dyDescent="0.25">
      <c r="A6932"/>
      <c r="B6932"/>
    </row>
    <row r="6933" spans="1:2" x14ac:dyDescent="0.25">
      <c r="A6933"/>
      <c r="B6933"/>
    </row>
    <row r="6934" spans="1:2" x14ac:dyDescent="0.25">
      <c r="A6934"/>
      <c r="B6934"/>
    </row>
    <row r="6935" spans="1:2" x14ac:dyDescent="0.25">
      <c r="A6935"/>
      <c r="B6935"/>
    </row>
    <row r="6936" spans="1:2" x14ac:dyDescent="0.25">
      <c r="A6936"/>
      <c r="B6936"/>
    </row>
    <row r="6937" spans="1:2" x14ac:dyDescent="0.25">
      <c r="A6937"/>
      <c r="B6937"/>
    </row>
    <row r="6938" spans="1:2" x14ac:dyDescent="0.25">
      <c r="A6938"/>
      <c r="B6938"/>
    </row>
    <row r="6939" spans="1:2" x14ac:dyDescent="0.25">
      <c r="A6939"/>
      <c r="B6939"/>
    </row>
    <row r="6940" spans="1:2" x14ac:dyDescent="0.25">
      <c r="A6940"/>
      <c r="B6940"/>
    </row>
    <row r="6941" spans="1:2" x14ac:dyDescent="0.25">
      <c r="A6941"/>
      <c r="B6941"/>
    </row>
    <row r="6942" spans="1:2" x14ac:dyDescent="0.25">
      <c r="A6942"/>
      <c r="B6942"/>
    </row>
    <row r="6943" spans="1:2" x14ac:dyDescent="0.25">
      <c r="A6943"/>
      <c r="B6943"/>
    </row>
    <row r="6944" spans="1:2" x14ac:dyDescent="0.25">
      <c r="A6944"/>
      <c r="B6944"/>
    </row>
    <row r="6945" spans="1:2" x14ac:dyDescent="0.25">
      <c r="A6945"/>
      <c r="B6945"/>
    </row>
    <row r="6946" spans="1:2" x14ac:dyDescent="0.25">
      <c r="A6946"/>
      <c r="B6946"/>
    </row>
    <row r="6947" spans="1:2" x14ac:dyDescent="0.25">
      <c r="A6947"/>
      <c r="B6947"/>
    </row>
    <row r="6948" spans="1:2" x14ac:dyDescent="0.25">
      <c r="A6948"/>
      <c r="B6948"/>
    </row>
    <row r="6949" spans="1:2" x14ac:dyDescent="0.25">
      <c r="A6949"/>
      <c r="B6949"/>
    </row>
    <row r="6950" spans="1:2" x14ac:dyDescent="0.25">
      <c r="A6950"/>
      <c r="B6950"/>
    </row>
    <row r="6951" spans="1:2" x14ac:dyDescent="0.25">
      <c r="A6951"/>
      <c r="B6951"/>
    </row>
    <row r="6952" spans="1:2" x14ac:dyDescent="0.25">
      <c r="A6952"/>
      <c r="B6952"/>
    </row>
    <row r="6953" spans="1:2" x14ac:dyDescent="0.25">
      <c r="A6953"/>
      <c r="B6953"/>
    </row>
    <row r="6954" spans="1:2" x14ac:dyDescent="0.25">
      <c r="A6954"/>
      <c r="B6954"/>
    </row>
    <row r="6955" spans="1:2" x14ac:dyDescent="0.25">
      <c r="A6955"/>
      <c r="B6955"/>
    </row>
    <row r="6956" spans="1:2" x14ac:dyDescent="0.25">
      <c r="A6956"/>
      <c r="B6956"/>
    </row>
    <row r="6957" spans="1:2" x14ac:dyDescent="0.25">
      <c r="A6957"/>
      <c r="B6957"/>
    </row>
    <row r="6958" spans="1:2" x14ac:dyDescent="0.25">
      <c r="A6958"/>
      <c r="B6958"/>
    </row>
    <row r="6959" spans="1:2" x14ac:dyDescent="0.25">
      <c r="A6959"/>
      <c r="B6959"/>
    </row>
    <row r="6960" spans="1:2" x14ac:dyDescent="0.25">
      <c r="A6960"/>
      <c r="B6960"/>
    </row>
    <row r="6961" spans="1:2" x14ac:dyDescent="0.25">
      <c r="A6961"/>
      <c r="B6961"/>
    </row>
    <row r="6962" spans="1:2" x14ac:dyDescent="0.25">
      <c r="A6962"/>
      <c r="B6962"/>
    </row>
    <row r="6963" spans="1:2" x14ac:dyDescent="0.25">
      <c r="A6963"/>
      <c r="B6963"/>
    </row>
    <row r="6964" spans="1:2" x14ac:dyDescent="0.25">
      <c r="A6964"/>
      <c r="B6964"/>
    </row>
    <row r="6965" spans="1:2" x14ac:dyDescent="0.25">
      <c r="A6965"/>
      <c r="B6965"/>
    </row>
    <row r="6966" spans="1:2" x14ac:dyDescent="0.25">
      <c r="A6966"/>
      <c r="B6966"/>
    </row>
    <row r="6967" spans="1:2" x14ac:dyDescent="0.25">
      <c r="A6967"/>
      <c r="B6967"/>
    </row>
    <row r="6968" spans="1:2" x14ac:dyDescent="0.25">
      <c r="A6968"/>
      <c r="B6968"/>
    </row>
    <row r="6969" spans="1:2" x14ac:dyDescent="0.25">
      <c r="A6969"/>
      <c r="B6969"/>
    </row>
    <row r="6970" spans="1:2" x14ac:dyDescent="0.25">
      <c r="A6970"/>
      <c r="B6970"/>
    </row>
    <row r="6971" spans="1:2" x14ac:dyDescent="0.25">
      <c r="A6971"/>
      <c r="B6971"/>
    </row>
    <row r="6972" spans="1:2" x14ac:dyDescent="0.25">
      <c r="A6972"/>
      <c r="B6972"/>
    </row>
    <row r="6973" spans="1:2" x14ac:dyDescent="0.25">
      <c r="A6973"/>
      <c r="B6973"/>
    </row>
    <row r="6974" spans="1:2" x14ac:dyDescent="0.25">
      <c r="A6974"/>
      <c r="B6974"/>
    </row>
    <row r="6975" spans="1:2" x14ac:dyDescent="0.25">
      <c r="A6975"/>
      <c r="B6975"/>
    </row>
    <row r="6976" spans="1:2" x14ac:dyDescent="0.25">
      <c r="A6976"/>
      <c r="B6976"/>
    </row>
    <row r="6977" spans="1:2" x14ac:dyDescent="0.25">
      <c r="A6977"/>
      <c r="B6977"/>
    </row>
    <row r="6978" spans="1:2" x14ac:dyDescent="0.25">
      <c r="A6978"/>
      <c r="B6978"/>
    </row>
    <row r="6979" spans="1:2" x14ac:dyDescent="0.25">
      <c r="A6979"/>
      <c r="B6979"/>
    </row>
    <row r="6980" spans="1:2" x14ac:dyDescent="0.25">
      <c r="A6980"/>
      <c r="B6980"/>
    </row>
    <row r="6981" spans="1:2" x14ac:dyDescent="0.25">
      <c r="A6981"/>
      <c r="B6981"/>
    </row>
    <row r="6982" spans="1:2" x14ac:dyDescent="0.25">
      <c r="A6982"/>
      <c r="B6982"/>
    </row>
    <row r="6983" spans="1:2" x14ac:dyDescent="0.25">
      <c r="A6983"/>
      <c r="B6983"/>
    </row>
    <row r="6984" spans="1:2" x14ac:dyDescent="0.25">
      <c r="A6984"/>
      <c r="B6984"/>
    </row>
    <row r="6985" spans="1:2" x14ac:dyDescent="0.25">
      <c r="A6985"/>
      <c r="B6985"/>
    </row>
    <row r="6986" spans="1:2" x14ac:dyDescent="0.25">
      <c r="A6986"/>
      <c r="B6986"/>
    </row>
    <row r="6987" spans="1:2" x14ac:dyDescent="0.25">
      <c r="A6987"/>
      <c r="B6987"/>
    </row>
    <row r="6988" spans="1:2" x14ac:dyDescent="0.25">
      <c r="A6988"/>
      <c r="B6988"/>
    </row>
    <row r="6989" spans="1:2" x14ac:dyDescent="0.25">
      <c r="A6989"/>
      <c r="B6989"/>
    </row>
    <row r="6990" spans="1:2" x14ac:dyDescent="0.25">
      <c r="A6990"/>
      <c r="B6990"/>
    </row>
    <row r="6991" spans="1:2" x14ac:dyDescent="0.25">
      <c r="A6991"/>
      <c r="B6991"/>
    </row>
    <row r="6992" spans="1:2" x14ac:dyDescent="0.25">
      <c r="A6992"/>
      <c r="B6992"/>
    </row>
    <row r="6993" spans="1:2" x14ac:dyDescent="0.25">
      <c r="A6993"/>
      <c r="B6993"/>
    </row>
    <row r="6994" spans="1:2" x14ac:dyDescent="0.25">
      <c r="A6994"/>
      <c r="B6994"/>
    </row>
    <row r="6995" spans="1:2" x14ac:dyDescent="0.25">
      <c r="A6995"/>
      <c r="B6995"/>
    </row>
    <row r="6996" spans="1:2" x14ac:dyDescent="0.25">
      <c r="A6996"/>
      <c r="B6996"/>
    </row>
    <row r="6997" spans="1:2" x14ac:dyDescent="0.25">
      <c r="A6997"/>
      <c r="B6997"/>
    </row>
    <row r="6998" spans="1:2" x14ac:dyDescent="0.25">
      <c r="A6998"/>
      <c r="B6998"/>
    </row>
    <row r="6999" spans="1:2" x14ac:dyDescent="0.25">
      <c r="A6999"/>
      <c r="B6999"/>
    </row>
    <row r="7000" spans="1:2" x14ac:dyDescent="0.25">
      <c r="A7000"/>
      <c r="B7000"/>
    </row>
    <row r="7001" spans="1:2" x14ac:dyDescent="0.25">
      <c r="A7001"/>
      <c r="B7001"/>
    </row>
    <row r="7002" spans="1:2" x14ac:dyDescent="0.25">
      <c r="A7002"/>
      <c r="B7002"/>
    </row>
    <row r="7003" spans="1:2" x14ac:dyDescent="0.25">
      <c r="A7003"/>
      <c r="B7003"/>
    </row>
    <row r="7004" spans="1:2" x14ac:dyDescent="0.25">
      <c r="A7004"/>
      <c r="B7004"/>
    </row>
    <row r="7005" spans="1:2" x14ac:dyDescent="0.25">
      <c r="A7005"/>
      <c r="B7005"/>
    </row>
    <row r="7006" spans="1:2" x14ac:dyDescent="0.25">
      <c r="A7006"/>
      <c r="B7006"/>
    </row>
    <row r="7007" spans="1:2" x14ac:dyDescent="0.25">
      <c r="A7007"/>
      <c r="B7007"/>
    </row>
    <row r="7008" spans="1:2" x14ac:dyDescent="0.25">
      <c r="A7008"/>
      <c r="B7008"/>
    </row>
    <row r="7009" spans="1:2" x14ac:dyDescent="0.25">
      <c r="A7009"/>
      <c r="B7009"/>
    </row>
    <row r="7010" spans="1:2" x14ac:dyDescent="0.25">
      <c r="A7010"/>
      <c r="B7010"/>
    </row>
    <row r="7011" spans="1:2" x14ac:dyDescent="0.25">
      <c r="A7011"/>
      <c r="B7011"/>
    </row>
    <row r="7012" spans="1:2" x14ac:dyDescent="0.25">
      <c r="A7012"/>
      <c r="B7012"/>
    </row>
    <row r="7013" spans="1:2" x14ac:dyDescent="0.25">
      <c r="A7013"/>
      <c r="B7013"/>
    </row>
    <row r="7014" spans="1:2" x14ac:dyDescent="0.25">
      <c r="A7014"/>
      <c r="B7014"/>
    </row>
    <row r="7015" spans="1:2" x14ac:dyDescent="0.25">
      <c r="A7015"/>
      <c r="B7015"/>
    </row>
    <row r="7016" spans="1:2" x14ac:dyDescent="0.25">
      <c r="A7016"/>
      <c r="B7016"/>
    </row>
    <row r="7017" spans="1:2" x14ac:dyDescent="0.25">
      <c r="A7017"/>
      <c r="B7017"/>
    </row>
    <row r="7018" spans="1:2" x14ac:dyDescent="0.25">
      <c r="A7018"/>
      <c r="B7018"/>
    </row>
    <row r="7019" spans="1:2" x14ac:dyDescent="0.25">
      <c r="A7019"/>
      <c r="B7019"/>
    </row>
    <row r="7020" spans="1:2" x14ac:dyDescent="0.25">
      <c r="A7020"/>
      <c r="B7020"/>
    </row>
    <row r="7021" spans="1:2" x14ac:dyDescent="0.25">
      <c r="A7021"/>
      <c r="B7021"/>
    </row>
    <row r="7022" spans="1:2" x14ac:dyDescent="0.25">
      <c r="A7022"/>
      <c r="B7022"/>
    </row>
    <row r="7023" spans="1:2" x14ac:dyDescent="0.25">
      <c r="A7023"/>
      <c r="B7023"/>
    </row>
    <row r="7024" spans="1:2" x14ac:dyDescent="0.25">
      <c r="A7024"/>
      <c r="B7024"/>
    </row>
    <row r="7025" spans="1:2" x14ac:dyDescent="0.25">
      <c r="A7025"/>
      <c r="B7025"/>
    </row>
    <row r="7026" spans="1:2" x14ac:dyDescent="0.25">
      <c r="A7026"/>
      <c r="B7026"/>
    </row>
    <row r="7027" spans="1:2" x14ac:dyDescent="0.25">
      <c r="A7027"/>
      <c r="B7027"/>
    </row>
    <row r="7028" spans="1:2" x14ac:dyDescent="0.25">
      <c r="A7028"/>
      <c r="B7028"/>
    </row>
    <row r="7029" spans="1:2" x14ac:dyDescent="0.25">
      <c r="A7029"/>
      <c r="B7029"/>
    </row>
    <row r="7030" spans="1:2" x14ac:dyDescent="0.25">
      <c r="A7030"/>
      <c r="B7030"/>
    </row>
    <row r="7031" spans="1:2" x14ac:dyDescent="0.25">
      <c r="A7031"/>
      <c r="B7031"/>
    </row>
    <row r="7032" spans="1:2" x14ac:dyDescent="0.25">
      <c r="A7032"/>
      <c r="B7032"/>
    </row>
    <row r="7033" spans="1:2" x14ac:dyDescent="0.25">
      <c r="A7033"/>
      <c r="B7033"/>
    </row>
    <row r="7034" spans="1:2" x14ac:dyDescent="0.25">
      <c r="A7034"/>
      <c r="B7034"/>
    </row>
    <row r="7035" spans="1:2" x14ac:dyDescent="0.25">
      <c r="A7035"/>
      <c r="B7035"/>
    </row>
    <row r="7036" spans="1:2" x14ac:dyDescent="0.25">
      <c r="A7036"/>
      <c r="B7036"/>
    </row>
    <row r="7037" spans="1:2" x14ac:dyDescent="0.25">
      <c r="A7037"/>
      <c r="B7037"/>
    </row>
    <row r="7038" spans="1:2" x14ac:dyDescent="0.25">
      <c r="A7038"/>
      <c r="B7038"/>
    </row>
    <row r="7039" spans="1:2" x14ac:dyDescent="0.25">
      <c r="A7039"/>
      <c r="B7039"/>
    </row>
    <row r="7040" spans="1:2" x14ac:dyDescent="0.25">
      <c r="A7040"/>
      <c r="B7040"/>
    </row>
    <row r="7041" spans="1:2" x14ac:dyDescent="0.25">
      <c r="A7041"/>
      <c r="B7041"/>
    </row>
    <row r="7042" spans="1:2" x14ac:dyDescent="0.25">
      <c r="A7042"/>
      <c r="B7042"/>
    </row>
    <row r="7043" spans="1:2" x14ac:dyDescent="0.25">
      <c r="A7043"/>
      <c r="B7043"/>
    </row>
    <row r="7044" spans="1:2" x14ac:dyDescent="0.25">
      <c r="A7044"/>
      <c r="B7044"/>
    </row>
    <row r="7045" spans="1:2" x14ac:dyDescent="0.25">
      <c r="A7045"/>
      <c r="B7045"/>
    </row>
    <row r="7046" spans="1:2" x14ac:dyDescent="0.25">
      <c r="A7046"/>
      <c r="B7046"/>
    </row>
    <row r="7047" spans="1:2" x14ac:dyDescent="0.25">
      <c r="A7047"/>
      <c r="B7047"/>
    </row>
    <row r="7048" spans="1:2" x14ac:dyDescent="0.25">
      <c r="A7048"/>
      <c r="B7048"/>
    </row>
    <row r="7049" spans="1:2" x14ac:dyDescent="0.25">
      <c r="A7049"/>
      <c r="B7049"/>
    </row>
    <row r="7050" spans="1:2" x14ac:dyDescent="0.25">
      <c r="A7050"/>
      <c r="B7050"/>
    </row>
    <row r="7051" spans="1:2" x14ac:dyDescent="0.25">
      <c r="A7051"/>
      <c r="B7051"/>
    </row>
    <row r="7052" spans="1:2" x14ac:dyDescent="0.25">
      <c r="A7052"/>
      <c r="B7052"/>
    </row>
    <row r="7053" spans="1:2" x14ac:dyDescent="0.25">
      <c r="A7053"/>
      <c r="B7053"/>
    </row>
    <row r="7054" spans="1:2" x14ac:dyDescent="0.25">
      <c r="A7054"/>
      <c r="B7054"/>
    </row>
    <row r="7055" spans="1:2" x14ac:dyDescent="0.25">
      <c r="A7055"/>
      <c r="B7055"/>
    </row>
    <row r="7056" spans="1:2" x14ac:dyDescent="0.25">
      <c r="A7056"/>
      <c r="B7056"/>
    </row>
    <row r="7057" spans="1:2" x14ac:dyDescent="0.25">
      <c r="A7057"/>
      <c r="B7057"/>
    </row>
    <row r="7058" spans="1:2" x14ac:dyDescent="0.25">
      <c r="A7058"/>
      <c r="B7058"/>
    </row>
    <row r="7059" spans="1:2" x14ac:dyDescent="0.25">
      <c r="A7059"/>
      <c r="B7059"/>
    </row>
    <row r="7060" spans="1:2" x14ac:dyDescent="0.25">
      <c r="A7060"/>
      <c r="B7060"/>
    </row>
    <row r="7061" spans="1:2" x14ac:dyDescent="0.25">
      <c r="A7061"/>
      <c r="B7061"/>
    </row>
    <row r="7062" spans="1:2" x14ac:dyDescent="0.25">
      <c r="A7062"/>
      <c r="B7062"/>
    </row>
    <row r="7063" spans="1:2" x14ac:dyDescent="0.25">
      <c r="A7063"/>
      <c r="B7063"/>
    </row>
    <row r="7064" spans="1:2" x14ac:dyDescent="0.25">
      <c r="A7064"/>
      <c r="B7064"/>
    </row>
    <row r="7065" spans="1:2" x14ac:dyDescent="0.25">
      <c r="A7065"/>
      <c r="B7065"/>
    </row>
    <row r="7066" spans="1:2" x14ac:dyDescent="0.25">
      <c r="A7066"/>
      <c r="B7066"/>
    </row>
    <row r="7067" spans="1:2" x14ac:dyDescent="0.25">
      <c r="A7067"/>
      <c r="B7067"/>
    </row>
    <row r="7068" spans="1:2" x14ac:dyDescent="0.25">
      <c r="A7068"/>
      <c r="B7068"/>
    </row>
    <row r="7069" spans="1:2" x14ac:dyDescent="0.25">
      <c r="A7069"/>
      <c r="B7069"/>
    </row>
    <row r="7070" spans="1:2" x14ac:dyDescent="0.25">
      <c r="A7070"/>
      <c r="B7070"/>
    </row>
    <row r="7071" spans="1:2" x14ac:dyDescent="0.25">
      <c r="A7071"/>
      <c r="B7071"/>
    </row>
    <row r="7072" spans="1:2" x14ac:dyDescent="0.25">
      <c r="A7072"/>
      <c r="B7072"/>
    </row>
    <row r="7073" spans="1:2" x14ac:dyDescent="0.25">
      <c r="A7073"/>
      <c r="B7073"/>
    </row>
    <row r="7074" spans="1:2" x14ac:dyDescent="0.25">
      <c r="A7074"/>
      <c r="B7074"/>
    </row>
    <row r="7075" spans="1:2" x14ac:dyDescent="0.25">
      <c r="A7075"/>
      <c r="B7075"/>
    </row>
    <row r="7076" spans="1:2" x14ac:dyDescent="0.25">
      <c r="A7076"/>
      <c r="B7076"/>
    </row>
    <row r="7077" spans="1:2" x14ac:dyDescent="0.25">
      <c r="A7077"/>
      <c r="B7077"/>
    </row>
    <row r="7078" spans="1:2" x14ac:dyDescent="0.25">
      <c r="A7078"/>
      <c r="B7078"/>
    </row>
    <row r="7079" spans="1:2" x14ac:dyDescent="0.25">
      <c r="A7079"/>
      <c r="B7079"/>
    </row>
    <row r="7080" spans="1:2" x14ac:dyDescent="0.25">
      <c r="A7080"/>
      <c r="B7080"/>
    </row>
    <row r="7081" spans="1:2" x14ac:dyDescent="0.25">
      <c r="A7081"/>
      <c r="B7081"/>
    </row>
    <row r="7082" spans="1:2" x14ac:dyDescent="0.25">
      <c r="A7082"/>
      <c r="B7082"/>
    </row>
    <row r="7083" spans="1:2" x14ac:dyDescent="0.25">
      <c r="A7083"/>
      <c r="B7083"/>
    </row>
    <row r="7084" spans="1:2" x14ac:dyDescent="0.25">
      <c r="A7084"/>
      <c r="B7084"/>
    </row>
    <row r="7085" spans="1:2" x14ac:dyDescent="0.25">
      <c r="A7085"/>
      <c r="B7085"/>
    </row>
    <row r="7086" spans="1:2" x14ac:dyDescent="0.25">
      <c r="A7086"/>
      <c r="B7086"/>
    </row>
    <row r="7087" spans="1:2" x14ac:dyDescent="0.25">
      <c r="A7087"/>
      <c r="B7087"/>
    </row>
    <row r="7088" spans="1:2" x14ac:dyDescent="0.25">
      <c r="A7088"/>
      <c r="B7088"/>
    </row>
    <row r="7089" spans="1:2" x14ac:dyDescent="0.25">
      <c r="A7089"/>
      <c r="B7089"/>
    </row>
    <row r="7090" spans="1:2" x14ac:dyDescent="0.25">
      <c r="A7090"/>
      <c r="B7090"/>
    </row>
    <row r="7091" spans="1:2" x14ac:dyDescent="0.25">
      <c r="A7091"/>
      <c r="B7091"/>
    </row>
    <row r="7092" spans="1:2" x14ac:dyDescent="0.25">
      <c r="A7092"/>
      <c r="B7092"/>
    </row>
    <row r="7093" spans="1:2" x14ac:dyDescent="0.25">
      <c r="A7093"/>
      <c r="B7093"/>
    </row>
    <row r="7094" spans="1:2" x14ac:dyDescent="0.25">
      <c r="A7094"/>
      <c r="B7094"/>
    </row>
    <row r="7095" spans="1:2" x14ac:dyDescent="0.25">
      <c r="A7095"/>
      <c r="B7095"/>
    </row>
    <row r="7096" spans="1:2" x14ac:dyDescent="0.25">
      <c r="A7096"/>
      <c r="B7096"/>
    </row>
    <row r="7097" spans="1:2" x14ac:dyDescent="0.25">
      <c r="A7097"/>
      <c r="B7097"/>
    </row>
    <row r="7098" spans="1:2" x14ac:dyDescent="0.25">
      <c r="A7098"/>
      <c r="B7098"/>
    </row>
    <row r="7099" spans="1:2" x14ac:dyDescent="0.25">
      <c r="A7099"/>
      <c r="B7099"/>
    </row>
    <row r="7100" spans="1:2" x14ac:dyDescent="0.25">
      <c r="A7100"/>
      <c r="B7100"/>
    </row>
    <row r="7101" spans="1:2" x14ac:dyDescent="0.25">
      <c r="A7101"/>
      <c r="B7101"/>
    </row>
    <row r="7102" spans="1:2" x14ac:dyDescent="0.25">
      <c r="A7102"/>
      <c r="B7102"/>
    </row>
    <row r="7103" spans="1:2" x14ac:dyDescent="0.25">
      <c r="A7103"/>
      <c r="B7103"/>
    </row>
    <row r="7104" spans="1:2" x14ac:dyDescent="0.25">
      <c r="A7104"/>
      <c r="B7104"/>
    </row>
    <row r="7105" spans="1:2" x14ac:dyDescent="0.25">
      <c r="A7105"/>
      <c r="B7105"/>
    </row>
    <row r="7106" spans="1:2" x14ac:dyDescent="0.25">
      <c r="A7106"/>
      <c r="B7106"/>
    </row>
    <row r="7107" spans="1:2" x14ac:dyDescent="0.25">
      <c r="A7107"/>
      <c r="B7107"/>
    </row>
    <row r="7108" spans="1:2" x14ac:dyDescent="0.25">
      <c r="A7108"/>
      <c r="B7108"/>
    </row>
    <row r="7109" spans="1:2" x14ac:dyDescent="0.25">
      <c r="A7109"/>
      <c r="B7109"/>
    </row>
    <row r="7110" spans="1:2" x14ac:dyDescent="0.25">
      <c r="A7110"/>
      <c r="B7110"/>
    </row>
    <row r="7111" spans="1:2" x14ac:dyDescent="0.25">
      <c r="A7111"/>
      <c r="B7111"/>
    </row>
    <row r="7112" spans="1:2" x14ac:dyDescent="0.25">
      <c r="A7112"/>
      <c r="B7112"/>
    </row>
    <row r="7113" spans="1:2" x14ac:dyDescent="0.25">
      <c r="A7113"/>
      <c r="B7113"/>
    </row>
    <row r="7114" spans="1:2" x14ac:dyDescent="0.25">
      <c r="A7114"/>
      <c r="B7114"/>
    </row>
    <row r="7115" spans="1:2" x14ac:dyDescent="0.25">
      <c r="A7115"/>
      <c r="B7115"/>
    </row>
    <row r="7116" spans="1:2" x14ac:dyDescent="0.25">
      <c r="A7116"/>
      <c r="B7116"/>
    </row>
    <row r="7117" spans="1:2" x14ac:dyDescent="0.25">
      <c r="A7117"/>
      <c r="B7117"/>
    </row>
    <row r="7118" spans="1:2" x14ac:dyDescent="0.25">
      <c r="A7118"/>
      <c r="B7118"/>
    </row>
    <row r="7119" spans="1:2" x14ac:dyDescent="0.25">
      <c r="A7119"/>
      <c r="B7119"/>
    </row>
    <row r="7120" spans="1:2" x14ac:dyDescent="0.25">
      <c r="A7120"/>
      <c r="B7120"/>
    </row>
    <row r="7121" spans="1:2" x14ac:dyDescent="0.25">
      <c r="A7121"/>
      <c r="B7121"/>
    </row>
    <row r="7122" spans="1:2" x14ac:dyDescent="0.25">
      <c r="A7122"/>
      <c r="B7122"/>
    </row>
    <row r="7123" spans="1:2" x14ac:dyDescent="0.25">
      <c r="A7123"/>
      <c r="B7123"/>
    </row>
    <row r="7124" spans="1:2" x14ac:dyDescent="0.25">
      <c r="A7124"/>
      <c r="B7124"/>
    </row>
    <row r="7125" spans="1:2" x14ac:dyDescent="0.25">
      <c r="A7125"/>
      <c r="B7125"/>
    </row>
    <row r="7126" spans="1:2" x14ac:dyDescent="0.25">
      <c r="A7126"/>
      <c r="B7126"/>
    </row>
    <row r="7127" spans="1:2" x14ac:dyDescent="0.25">
      <c r="A7127"/>
      <c r="B7127"/>
    </row>
    <row r="7128" spans="1:2" x14ac:dyDescent="0.25">
      <c r="A7128"/>
      <c r="B7128"/>
    </row>
    <row r="7129" spans="1:2" x14ac:dyDescent="0.25">
      <c r="A7129"/>
      <c r="B7129"/>
    </row>
    <row r="7130" spans="1:2" x14ac:dyDescent="0.25">
      <c r="A7130"/>
      <c r="B7130"/>
    </row>
    <row r="7131" spans="1:2" x14ac:dyDescent="0.25">
      <c r="A7131"/>
      <c r="B7131"/>
    </row>
    <row r="7132" spans="1:2" x14ac:dyDescent="0.25">
      <c r="A7132"/>
      <c r="B7132"/>
    </row>
    <row r="7133" spans="1:2" x14ac:dyDescent="0.25">
      <c r="A7133"/>
      <c r="B7133"/>
    </row>
    <row r="7134" spans="1:2" x14ac:dyDescent="0.25">
      <c r="A7134"/>
      <c r="B7134"/>
    </row>
    <row r="7135" spans="1:2" x14ac:dyDescent="0.25">
      <c r="A7135"/>
      <c r="B7135"/>
    </row>
    <row r="7136" spans="1:2" x14ac:dyDescent="0.25">
      <c r="A7136"/>
      <c r="B7136"/>
    </row>
    <row r="7137" spans="1:2" x14ac:dyDescent="0.25">
      <c r="A7137"/>
      <c r="B7137"/>
    </row>
    <row r="7138" spans="1:2" x14ac:dyDescent="0.25">
      <c r="A7138"/>
      <c r="B7138"/>
    </row>
    <row r="7139" spans="1:2" x14ac:dyDescent="0.25">
      <c r="A7139"/>
      <c r="B7139"/>
    </row>
    <row r="7140" spans="1:2" x14ac:dyDescent="0.25">
      <c r="A7140"/>
      <c r="B7140"/>
    </row>
    <row r="7141" spans="1:2" x14ac:dyDescent="0.25">
      <c r="A7141"/>
      <c r="B7141"/>
    </row>
    <row r="7142" spans="1:2" x14ac:dyDescent="0.25">
      <c r="A7142"/>
      <c r="B7142"/>
    </row>
    <row r="7143" spans="1:2" x14ac:dyDescent="0.25">
      <c r="A7143"/>
      <c r="B7143"/>
    </row>
    <row r="7144" spans="1:2" x14ac:dyDescent="0.25">
      <c r="A7144"/>
      <c r="B7144"/>
    </row>
    <row r="7145" spans="1:2" x14ac:dyDescent="0.25">
      <c r="A7145"/>
      <c r="B7145"/>
    </row>
    <row r="7146" spans="1:2" x14ac:dyDescent="0.25">
      <c r="A7146"/>
      <c r="B7146"/>
    </row>
    <row r="7147" spans="1:2" x14ac:dyDescent="0.25">
      <c r="A7147"/>
      <c r="B7147"/>
    </row>
    <row r="7148" spans="1:2" x14ac:dyDescent="0.25">
      <c r="A7148"/>
      <c r="B7148"/>
    </row>
    <row r="7149" spans="1:2" x14ac:dyDescent="0.25">
      <c r="A7149"/>
      <c r="B7149"/>
    </row>
    <row r="7150" spans="1:2" x14ac:dyDescent="0.25">
      <c r="A7150"/>
      <c r="B7150"/>
    </row>
    <row r="7151" spans="1:2" x14ac:dyDescent="0.25">
      <c r="A7151"/>
      <c r="B7151"/>
    </row>
    <row r="7152" spans="1:2" x14ac:dyDescent="0.25">
      <c r="A7152"/>
      <c r="B7152"/>
    </row>
    <row r="7153" spans="1:2" x14ac:dyDescent="0.25">
      <c r="A7153"/>
      <c r="B7153"/>
    </row>
    <row r="7154" spans="1:2" x14ac:dyDescent="0.25">
      <c r="A7154"/>
      <c r="B7154"/>
    </row>
    <row r="7155" spans="1:2" x14ac:dyDescent="0.25">
      <c r="A7155"/>
      <c r="B7155"/>
    </row>
    <row r="7156" spans="1:2" x14ac:dyDescent="0.25">
      <c r="A7156"/>
      <c r="B7156"/>
    </row>
    <row r="7157" spans="1:2" x14ac:dyDescent="0.25">
      <c r="A7157"/>
      <c r="B7157"/>
    </row>
    <row r="7158" spans="1:2" x14ac:dyDescent="0.25">
      <c r="A7158"/>
      <c r="B7158"/>
    </row>
    <row r="7159" spans="1:2" x14ac:dyDescent="0.25">
      <c r="A7159"/>
      <c r="B7159"/>
    </row>
    <row r="7160" spans="1:2" x14ac:dyDescent="0.25">
      <c r="A7160"/>
      <c r="B7160"/>
    </row>
    <row r="7161" spans="1:2" x14ac:dyDescent="0.25">
      <c r="A7161"/>
      <c r="B7161"/>
    </row>
    <row r="7162" spans="1:2" x14ac:dyDescent="0.25">
      <c r="A7162"/>
      <c r="B7162"/>
    </row>
    <row r="7163" spans="1:2" x14ac:dyDescent="0.25">
      <c r="A7163"/>
      <c r="B7163"/>
    </row>
    <row r="7164" spans="1:2" x14ac:dyDescent="0.25">
      <c r="A7164"/>
      <c r="B7164"/>
    </row>
    <row r="7165" spans="1:2" x14ac:dyDescent="0.25">
      <c r="A7165"/>
      <c r="B7165"/>
    </row>
    <row r="7166" spans="1:2" x14ac:dyDescent="0.25">
      <c r="A7166"/>
      <c r="B7166"/>
    </row>
    <row r="7167" spans="1:2" x14ac:dyDescent="0.25">
      <c r="A7167"/>
      <c r="B7167"/>
    </row>
    <row r="7168" spans="1:2" x14ac:dyDescent="0.25">
      <c r="A7168"/>
      <c r="B7168"/>
    </row>
    <row r="7169" spans="1:2" x14ac:dyDescent="0.25">
      <c r="A7169"/>
      <c r="B7169"/>
    </row>
    <row r="7170" spans="1:2" x14ac:dyDescent="0.25">
      <c r="A7170"/>
      <c r="B7170"/>
    </row>
    <row r="7171" spans="1:2" x14ac:dyDescent="0.25">
      <c r="A7171"/>
      <c r="B7171"/>
    </row>
    <row r="7172" spans="1:2" x14ac:dyDescent="0.25">
      <c r="A7172"/>
      <c r="B7172"/>
    </row>
    <row r="7173" spans="1:2" x14ac:dyDescent="0.25">
      <c r="A7173"/>
      <c r="B7173"/>
    </row>
    <row r="7174" spans="1:2" x14ac:dyDescent="0.25">
      <c r="A7174"/>
      <c r="B7174"/>
    </row>
    <row r="7175" spans="1:2" x14ac:dyDescent="0.25">
      <c r="A7175"/>
      <c r="B7175"/>
    </row>
    <row r="7176" spans="1:2" x14ac:dyDescent="0.25">
      <c r="A7176"/>
      <c r="B7176"/>
    </row>
    <row r="7177" spans="1:2" x14ac:dyDescent="0.25">
      <c r="A7177"/>
      <c r="B7177"/>
    </row>
    <row r="7178" spans="1:2" x14ac:dyDescent="0.25">
      <c r="A7178"/>
      <c r="B7178"/>
    </row>
    <row r="7179" spans="1:2" x14ac:dyDescent="0.25">
      <c r="A7179"/>
      <c r="B7179"/>
    </row>
    <row r="7180" spans="1:2" x14ac:dyDescent="0.25">
      <c r="A7180"/>
      <c r="B7180"/>
    </row>
    <row r="7181" spans="1:2" x14ac:dyDescent="0.25">
      <c r="A7181"/>
      <c r="B7181"/>
    </row>
    <row r="7182" spans="1:2" x14ac:dyDescent="0.25">
      <c r="A7182"/>
      <c r="B7182"/>
    </row>
    <row r="7183" spans="1:2" x14ac:dyDescent="0.25">
      <c r="A7183"/>
      <c r="B7183"/>
    </row>
    <row r="7184" spans="1:2" x14ac:dyDescent="0.25">
      <c r="A7184"/>
      <c r="B7184"/>
    </row>
    <row r="7185" spans="1:2" x14ac:dyDescent="0.25">
      <c r="A7185"/>
      <c r="B7185"/>
    </row>
    <row r="7186" spans="1:2" x14ac:dyDescent="0.25">
      <c r="A7186"/>
      <c r="B7186"/>
    </row>
    <row r="7187" spans="1:2" x14ac:dyDescent="0.25">
      <c r="A7187"/>
      <c r="B7187"/>
    </row>
    <row r="7188" spans="1:2" x14ac:dyDescent="0.25">
      <c r="A7188"/>
      <c r="B7188"/>
    </row>
    <row r="7189" spans="1:2" x14ac:dyDescent="0.25">
      <c r="A7189"/>
      <c r="B7189"/>
    </row>
    <row r="7190" spans="1:2" x14ac:dyDescent="0.25">
      <c r="A7190"/>
      <c r="B7190"/>
    </row>
    <row r="7191" spans="1:2" x14ac:dyDescent="0.25">
      <c r="A7191"/>
      <c r="B7191"/>
    </row>
    <row r="7192" spans="1:2" x14ac:dyDescent="0.25">
      <c r="A7192"/>
      <c r="B7192"/>
    </row>
    <row r="7193" spans="1:2" x14ac:dyDescent="0.25">
      <c r="A7193"/>
      <c r="B7193"/>
    </row>
    <row r="7194" spans="1:2" x14ac:dyDescent="0.25">
      <c r="A7194"/>
      <c r="B7194"/>
    </row>
    <row r="7195" spans="1:2" x14ac:dyDescent="0.25">
      <c r="A7195"/>
      <c r="B7195"/>
    </row>
    <row r="7196" spans="1:2" x14ac:dyDescent="0.25">
      <c r="A7196"/>
      <c r="B7196"/>
    </row>
    <row r="7197" spans="1:2" x14ac:dyDescent="0.25">
      <c r="A7197"/>
      <c r="B7197"/>
    </row>
    <row r="7198" spans="1:2" x14ac:dyDescent="0.25">
      <c r="A7198"/>
      <c r="B7198"/>
    </row>
    <row r="7199" spans="1:2" x14ac:dyDescent="0.25">
      <c r="A7199"/>
      <c r="B7199"/>
    </row>
    <row r="7200" spans="1:2" x14ac:dyDescent="0.25">
      <c r="A7200"/>
      <c r="B7200"/>
    </row>
    <row r="7201" spans="1:2" x14ac:dyDescent="0.25">
      <c r="A7201"/>
      <c r="B7201"/>
    </row>
    <row r="7202" spans="1:2" x14ac:dyDescent="0.25">
      <c r="A7202"/>
      <c r="B7202"/>
    </row>
    <row r="7203" spans="1:2" x14ac:dyDescent="0.25">
      <c r="A7203"/>
      <c r="B7203"/>
    </row>
    <row r="7204" spans="1:2" x14ac:dyDescent="0.25">
      <c r="A7204"/>
      <c r="B7204"/>
    </row>
    <row r="7205" spans="1:2" x14ac:dyDescent="0.25">
      <c r="A7205"/>
      <c r="B7205"/>
    </row>
    <row r="7206" spans="1:2" x14ac:dyDescent="0.25">
      <c r="A7206"/>
      <c r="B7206"/>
    </row>
    <row r="7207" spans="1:2" x14ac:dyDescent="0.25">
      <c r="A7207"/>
      <c r="B7207"/>
    </row>
    <row r="7208" spans="1:2" x14ac:dyDescent="0.25">
      <c r="A7208"/>
      <c r="B7208"/>
    </row>
    <row r="7209" spans="1:2" x14ac:dyDescent="0.25">
      <c r="A7209"/>
      <c r="B7209"/>
    </row>
    <row r="7210" spans="1:2" x14ac:dyDescent="0.25">
      <c r="A7210"/>
      <c r="B7210"/>
    </row>
    <row r="7211" spans="1:2" x14ac:dyDescent="0.25">
      <c r="A7211"/>
      <c r="B7211"/>
    </row>
    <row r="7212" spans="1:2" x14ac:dyDescent="0.25">
      <c r="A7212"/>
      <c r="B7212"/>
    </row>
    <row r="7213" spans="1:2" x14ac:dyDescent="0.25">
      <c r="A7213"/>
      <c r="B7213"/>
    </row>
    <row r="7214" spans="1:2" x14ac:dyDescent="0.25">
      <c r="A7214"/>
      <c r="B7214"/>
    </row>
    <row r="7215" spans="1:2" x14ac:dyDescent="0.25">
      <c r="A7215"/>
      <c r="B7215"/>
    </row>
    <row r="7216" spans="1:2" x14ac:dyDescent="0.25">
      <c r="A7216"/>
      <c r="B7216"/>
    </row>
    <row r="7217" spans="1:2" x14ac:dyDescent="0.25">
      <c r="A7217"/>
      <c r="B7217"/>
    </row>
    <row r="7218" spans="1:2" x14ac:dyDescent="0.25">
      <c r="A7218"/>
      <c r="B7218"/>
    </row>
    <row r="7219" spans="1:2" x14ac:dyDescent="0.25">
      <c r="A7219"/>
      <c r="B7219"/>
    </row>
    <row r="7220" spans="1:2" x14ac:dyDescent="0.25">
      <c r="A7220"/>
      <c r="B7220"/>
    </row>
    <row r="7221" spans="1:2" x14ac:dyDescent="0.25">
      <c r="A7221"/>
      <c r="B7221"/>
    </row>
    <row r="7222" spans="1:2" x14ac:dyDescent="0.25">
      <c r="A7222"/>
      <c r="B7222"/>
    </row>
    <row r="7223" spans="1:2" x14ac:dyDescent="0.25">
      <c r="A7223"/>
      <c r="B7223"/>
    </row>
    <row r="7224" spans="1:2" x14ac:dyDescent="0.25">
      <c r="A7224"/>
      <c r="B7224"/>
    </row>
    <row r="7225" spans="1:2" x14ac:dyDescent="0.25">
      <c r="A7225"/>
      <c r="B7225"/>
    </row>
    <row r="7226" spans="1:2" x14ac:dyDescent="0.25">
      <c r="A7226"/>
      <c r="B7226"/>
    </row>
    <row r="7227" spans="1:2" x14ac:dyDescent="0.25">
      <c r="A7227"/>
      <c r="B7227"/>
    </row>
    <row r="7228" spans="1:2" x14ac:dyDescent="0.25">
      <c r="A7228"/>
      <c r="B7228"/>
    </row>
    <row r="7229" spans="1:2" x14ac:dyDescent="0.25">
      <c r="A7229"/>
      <c r="B7229"/>
    </row>
    <row r="7230" spans="1:2" x14ac:dyDescent="0.25">
      <c r="A7230"/>
      <c r="B7230"/>
    </row>
    <row r="7231" spans="1:2" x14ac:dyDescent="0.25">
      <c r="A7231"/>
      <c r="B7231"/>
    </row>
    <row r="7232" spans="1:2" x14ac:dyDescent="0.25">
      <c r="A7232"/>
      <c r="B7232"/>
    </row>
    <row r="7233" spans="1:2" x14ac:dyDescent="0.25">
      <c r="A7233"/>
      <c r="B7233"/>
    </row>
    <row r="7234" spans="1:2" x14ac:dyDescent="0.25">
      <c r="A7234"/>
      <c r="B7234"/>
    </row>
    <row r="7235" spans="1:2" x14ac:dyDescent="0.25">
      <c r="A7235"/>
      <c r="B7235"/>
    </row>
    <row r="7236" spans="1:2" x14ac:dyDescent="0.25">
      <c r="A7236"/>
      <c r="B7236"/>
    </row>
    <row r="7237" spans="1:2" x14ac:dyDescent="0.25">
      <c r="A7237"/>
      <c r="B7237"/>
    </row>
    <row r="7238" spans="1:2" x14ac:dyDescent="0.25">
      <c r="A7238"/>
      <c r="B7238"/>
    </row>
    <row r="7239" spans="1:2" x14ac:dyDescent="0.25">
      <c r="A7239"/>
      <c r="B7239"/>
    </row>
    <row r="7240" spans="1:2" x14ac:dyDescent="0.25">
      <c r="A7240"/>
      <c r="B7240"/>
    </row>
    <row r="7241" spans="1:2" x14ac:dyDescent="0.25">
      <c r="A7241"/>
      <c r="B7241"/>
    </row>
    <row r="7242" spans="1:2" x14ac:dyDescent="0.25">
      <c r="A7242"/>
      <c r="B7242"/>
    </row>
    <row r="7243" spans="1:2" x14ac:dyDescent="0.25">
      <c r="A7243"/>
      <c r="B7243"/>
    </row>
    <row r="7244" spans="1:2" x14ac:dyDescent="0.25">
      <c r="A7244"/>
      <c r="B7244"/>
    </row>
    <row r="7245" spans="1:2" x14ac:dyDescent="0.25">
      <c r="A7245"/>
      <c r="B7245"/>
    </row>
    <row r="7246" spans="1:2" x14ac:dyDescent="0.25">
      <c r="A7246"/>
      <c r="B7246"/>
    </row>
    <row r="7247" spans="1:2" x14ac:dyDescent="0.25">
      <c r="A7247"/>
      <c r="B7247"/>
    </row>
    <row r="7248" spans="1:2" x14ac:dyDescent="0.25">
      <c r="A7248"/>
      <c r="B7248"/>
    </row>
    <row r="7249" spans="1:2" x14ac:dyDescent="0.25">
      <c r="A7249"/>
      <c r="B7249"/>
    </row>
    <row r="7250" spans="1:2" x14ac:dyDescent="0.25">
      <c r="A7250"/>
      <c r="B7250"/>
    </row>
    <row r="7251" spans="1:2" x14ac:dyDescent="0.25">
      <c r="A7251"/>
      <c r="B7251"/>
    </row>
    <row r="7252" spans="1:2" x14ac:dyDescent="0.25">
      <c r="A7252"/>
      <c r="B7252"/>
    </row>
    <row r="7253" spans="1:2" x14ac:dyDescent="0.25">
      <c r="A7253"/>
      <c r="B7253"/>
    </row>
    <row r="7254" spans="1:2" x14ac:dyDescent="0.25">
      <c r="A7254"/>
      <c r="B7254"/>
    </row>
    <row r="7255" spans="1:2" x14ac:dyDescent="0.25">
      <c r="A7255"/>
      <c r="B7255"/>
    </row>
    <row r="7256" spans="1:2" x14ac:dyDescent="0.25">
      <c r="A7256"/>
      <c r="B7256"/>
    </row>
    <row r="7257" spans="1:2" x14ac:dyDescent="0.25">
      <c r="A7257"/>
      <c r="B7257"/>
    </row>
    <row r="7258" spans="1:2" x14ac:dyDescent="0.25">
      <c r="A7258"/>
      <c r="B7258"/>
    </row>
    <row r="7259" spans="1:2" x14ac:dyDescent="0.25">
      <c r="A7259"/>
      <c r="B7259"/>
    </row>
    <row r="7260" spans="1:2" x14ac:dyDescent="0.25">
      <c r="A7260"/>
      <c r="B7260"/>
    </row>
    <row r="7261" spans="1:2" x14ac:dyDescent="0.25">
      <c r="A7261"/>
      <c r="B7261"/>
    </row>
    <row r="7262" spans="1:2" x14ac:dyDescent="0.25">
      <c r="A7262"/>
      <c r="B7262"/>
    </row>
    <row r="7263" spans="1:2" x14ac:dyDescent="0.25">
      <c r="A7263"/>
      <c r="B7263"/>
    </row>
    <row r="7264" spans="1:2" x14ac:dyDescent="0.25">
      <c r="A7264"/>
      <c r="B7264"/>
    </row>
    <row r="7265" spans="1:2" x14ac:dyDescent="0.25">
      <c r="A7265"/>
      <c r="B7265"/>
    </row>
    <row r="7266" spans="1:2" x14ac:dyDescent="0.25">
      <c r="A7266"/>
      <c r="B7266"/>
    </row>
    <row r="7267" spans="1:2" x14ac:dyDescent="0.25">
      <c r="A7267"/>
      <c r="B7267"/>
    </row>
    <row r="7268" spans="1:2" x14ac:dyDescent="0.25">
      <c r="A7268"/>
      <c r="B7268"/>
    </row>
    <row r="7269" spans="1:2" x14ac:dyDescent="0.25">
      <c r="A7269"/>
      <c r="B7269"/>
    </row>
    <row r="7270" spans="1:2" x14ac:dyDescent="0.25">
      <c r="A7270"/>
      <c r="B7270"/>
    </row>
    <row r="7271" spans="1:2" x14ac:dyDescent="0.25">
      <c r="A7271"/>
      <c r="B7271"/>
    </row>
    <row r="7272" spans="1:2" x14ac:dyDescent="0.25">
      <c r="A7272"/>
      <c r="B7272"/>
    </row>
    <row r="7273" spans="1:2" x14ac:dyDescent="0.25">
      <c r="A7273"/>
      <c r="B7273"/>
    </row>
    <row r="7274" spans="1:2" x14ac:dyDescent="0.25">
      <c r="A7274"/>
      <c r="B7274"/>
    </row>
    <row r="7275" spans="1:2" x14ac:dyDescent="0.25">
      <c r="A7275"/>
      <c r="B7275"/>
    </row>
    <row r="7276" spans="1:2" x14ac:dyDescent="0.25">
      <c r="A7276"/>
      <c r="B7276"/>
    </row>
    <row r="7277" spans="1:2" x14ac:dyDescent="0.25">
      <c r="A7277"/>
      <c r="B7277"/>
    </row>
    <row r="7278" spans="1:2" x14ac:dyDescent="0.25">
      <c r="A7278"/>
      <c r="B7278"/>
    </row>
    <row r="7279" spans="1:2" x14ac:dyDescent="0.25">
      <c r="A7279"/>
      <c r="B7279"/>
    </row>
    <row r="7280" spans="1:2" x14ac:dyDescent="0.25">
      <c r="A7280"/>
      <c r="B7280"/>
    </row>
    <row r="7281" spans="1:2" x14ac:dyDescent="0.25">
      <c r="A7281"/>
      <c r="B7281"/>
    </row>
    <row r="7282" spans="1:2" x14ac:dyDescent="0.25">
      <c r="A7282"/>
      <c r="B7282"/>
    </row>
    <row r="7283" spans="1:2" x14ac:dyDescent="0.25">
      <c r="A7283"/>
      <c r="B7283"/>
    </row>
    <row r="7284" spans="1:2" x14ac:dyDescent="0.25">
      <c r="A7284"/>
      <c r="B7284"/>
    </row>
    <row r="7285" spans="1:2" x14ac:dyDescent="0.25">
      <c r="A7285"/>
      <c r="B7285"/>
    </row>
    <row r="7286" spans="1:2" x14ac:dyDescent="0.25">
      <c r="A7286"/>
      <c r="B7286"/>
    </row>
    <row r="7287" spans="1:2" x14ac:dyDescent="0.25">
      <c r="A7287"/>
      <c r="B7287"/>
    </row>
    <row r="7288" spans="1:2" x14ac:dyDescent="0.25">
      <c r="A7288"/>
      <c r="B7288"/>
    </row>
    <row r="7289" spans="1:2" x14ac:dyDescent="0.25">
      <c r="A7289"/>
      <c r="B7289"/>
    </row>
    <row r="7290" spans="1:2" x14ac:dyDescent="0.25">
      <c r="A7290"/>
      <c r="B7290"/>
    </row>
    <row r="7291" spans="1:2" x14ac:dyDescent="0.25">
      <c r="A7291"/>
      <c r="B7291"/>
    </row>
    <row r="7292" spans="1:2" x14ac:dyDescent="0.25">
      <c r="A7292"/>
      <c r="B7292"/>
    </row>
    <row r="7293" spans="1:2" x14ac:dyDescent="0.25">
      <c r="A7293"/>
      <c r="B7293"/>
    </row>
    <row r="7294" spans="1:2" x14ac:dyDescent="0.25">
      <c r="A7294"/>
      <c r="B7294"/>
    </row>
    <row r="7295" spans="1:2" x14ac:dyDescent="0.25">
      <c r="A7295"/>
      <c r="B7295"/>
    </row>
    <row r="7296" spans="1:2" x14ac:dyDescent="0.25">
      <c r="A7296"/>
      <c r="B7296"/>
    </row>
    <row r="7297" spans="1:2" x14ac:dyDescent="0.25">
      <c r="A7297"/>
      <c r="B7297"/>
    </row>
    <row r="7298" spans="1:2" x14ac:dyDescent="0.25">
      <c r="A7298"/>
      <c r="B7298"/>
    </row>
    <row r="7299" spans="1:2" x14ac:dyDescent="0.25">
      <c r="A7299"/>
      <c r="B7299"/>
    </row>
    <row r="7300" spans="1:2" x14ac:dyDescent="0.25">
      <c r="A7300"/>
      <c r="B7300"/>
    </row>
    <row r="7301" spans="1:2" x14ac:dyDescent="0.25">
      <c r="A7301"/>
      <c r="B7301"/>
    </row>
    <row r="7302" spans="1:2" x14ac:dyDescent="0.25">
      <c r="A7302"/>
      <c r="B7302"/>
    </row>
    <row r="7303" spans="1:2" x14ac:dyDescent="0.25">
      <c r="A7303"/>
      <c r="B7303"/>
    </row>
    <row r="7304" spans="1:2" x14ac:dyDescent="0.25">
      <c r="A7304"/>
      <c r="B7304"/>
    </row>
    <row r="7305" spans="1:2" x14ac:dyDescent="0.25">
      <c r="A7305"/>
      <c r="B7305"/>
    </row>
    <row r="7306" spans="1:2" x14ac:dyDescent="0.25">
      <c r="A7306"/>
      <c r="B7306"/>
    </row>
    <row r="7307" spans="1:2" x14ac:dyDescent="0.25">
      <c r="A7307"/>
      <c r="B7307"/>
    </row>
    <row r="7308" spans="1:2" x14ac:dyDescent="0.25">
      <c r="A7308"/>
      <c r="B7308"/>
    </row>
    <row r="7309" spans="1:2" x14ac:dyDescent="0.25">
      <c r="A7309"/>
      <c r="B7309"/>
    </row>
    <row r="7310" spans="1:2" x14ac:dyDescent="0.25">
      <c r="A7310"/>
      <c r="B7310"/>
    </row>
    <row r="7311" spans="1:2" x14ac:dyDescent="0.25">
      <c r="A7311"/>
      <c r="B7311"/>
    </row>
    <row r="7312" spans="1:2" x14ac:dyDescent="0.25">
      <c r="A7312"/>
      <c r="B7312"/>
    </row>
    <row r="7313" spans="1:2" x14ac:dyDescent="0.25">
      <c r="A7313"/>
      <c r="B7313"/>
    </row>
    <row r="7314" spans="1:2" x14ac:dyDescent="0.25">
      <c r="A7314"/>
      <c r="B7314"/>
    </row>
    <row r="7315" spans="1:2" x14ac:dyDescent="0.25">
      <c r="A7315"/>
      <c r="B7315"/>
    </row>
    <row r="7316" spans="1:2" x14ac:dyDescent="0.25">
      <c r="A7316"/>
      <c r="B7316"/>
    </row>
    <row r="7317" spans="1:2" x14ac:dyDescent="0.25">
      <c r="A7317"/>
      <c r="B7317"/>
    </row>
    <row r="7318" spans="1:2" x14ac:dyDescent="0.25">
      <c r="A7318"/>
      <c r="B7318"/>
    </row>
    <row r="7319" spans="1:2" x14ac:dyDescent="0.25">
      <c r="A7319"/>
      <c r="B7319"/>
    </row>
    <row r="7320" spans="1:2" x14ac:dyDescent="0.25">
      <c r="A7320"/>
      <c r="B7320"/>
    </row>
    <row r="7321" spans="1:2" x14ac:dyDescent="0.25">
      <c r="A7321"/>
      <c r="B7321"/>
    </row>
    <row r="7322" spans="1:2" x14ac:dyDescent="0.25">
      <c r="A7322"/>
      <c r="B7322"/>
    </row>
    <row r="7323" spans="1:2" x14ac:dyDescent="0.25">
      <c r="A7323"/>
      <c r="B7323"/>
    </row>
    <row r="7324" spans="1:2" x14ac:dyDescent="0.25">
      <c r="A7324"/>
      <c r="B7324"/>
    </row>
    <row r="7325" spans="1:2" x14ac:dyDescent="0.25">
      <c r="A7325"/>
      <c r="B7325"/>
    </row>
    <row r="7326" spans="1:2" x14ac:dyDescent="0.25">
      <c r="A7326"/>
      <c r="B7326"/>
    </row>
    <row r="7327" spans="1:2" x14ac:dyDescent="0.25">
      <c r="A7327"/>
      <c r="B7327"/>
    </row>
    <row r="7328" spans="1:2" x14ac:dyDescent="0.25">
      <c r="A7328"/>
      <c r="B7328"/>
    </row>
    <row r="7329" spans="1:2" x14ac:dyDescent="0.25">
      <c r="A7329"/>
      <c r="B7329"/>
    </row>
    <row r="7330" spans="1:2" x14ac:dyDescent="0.25">
      <c r="A7330"/>
      <c r="B7330"/>
    </row>
    <row r="7331" spans="1:2" x14ac:dyDescent="0.25">
      <c r="A7331"/>
      <c r="B7331"/>
    </row>
    <row r="7332" spans="1:2" x14ac:dyDescent="0.25">
      <c r="A7332"/>
      <c r="B7332"/>
    </row>
    <row r="7333" spans="1:2" x14ac:dyDescent="0.25">
      <c r="A7333"/>
      <c r="B7333"/>
    </row>
    <row r="7334" spans="1:2" x14ac:dyDescent="0.25">
      <c r="A7334"/>
      <c r="B7334"/>
    </row>
    <row r="7335" spans="1:2" x14ac:dyDescent="0.25">
      <c r="A7335"/>
      <c r="B7335"/>
    </row>
    <row r="7336" spans="1:2" x14ac:dyDescent="0.25">
      <c r="A7336"/>
      <c r="B7336"/>
    </row>
    <row r="7337" spans="1:2" x14ac:dyDescent="0.25">
      <c r="A7337"/>
      <c r="B7337"/>
    </row>
    <row r="7338" spans="1:2" x14ac:dyDescent="0.25">
      <c r="A7338"/>
      <c r="B7338"/>
    </row>
    <row r="7339" spans="1:2" x14ac:dyDescent="0.25">
      <c r="A7339"/>
      <c r="B7339"/>
    </row>
    <row r="7340" spans="1:2" x14ac:dyDescent="0.25">
      <c r="A7340"/>
      <c r="B7340"/>
    </row>
    <row r="7341" spans="1:2" x14ac:dyDescent="0.25">
      <c r="A7341"/>
      <c r="B7341"/>
    </row>
    <row r="7342" spans="1:2" x14ac:dyDescent="0.25">
      <c r="A7342"/>
      <c r="B7342"/>
    </row>
    <row r="7343" spans="1:2" x14ac:dyDescent="0.25">
      <c r="A7343"/>
      <c r="B7343"/>
    </row>
    <row r="7344" spans="1:2" x14ac:dyDescent="0.25">
      <c r="A7344"/>
      <c r="B7344"/>
    </row>
    <row r="7345" spans="1:2" x14ac:dyDescent="0.25">
      <c r="A7345"/>
      <c r="B7345"/>
    </row>
    <row r="7346" spans="1:2" x14ac:dyDescent="0.25">
      <c r="A7346"/>
      <c r="B7346"/>
    </row>
    <row r="7347" spans="1:2" x14ac:dyDescent="0.25">
      <c r="A7347"/>
      <c r="B7347"/>
    </row>
    <row r="7348" spans="1:2" x14ac:dyDescent="0.25">
      <c r="A7348"/>
      <c r="B7348"/>
    </row>
    <row r="7349" spans="1:2" x14ac:dyDescent="0.25">
      <c r="A7349"/>
      <c r="B7349"/>
    </row>
    <row r="7350" spans="1:2" x14ac:dyDescent="0.25">
      <c r="A7350"/>
      <c r="B7350"/>
    </row>
    <row r="7351" spans="1:2" x14ac:dyDescent="0.25">
      <c r="A7351"/>
      <c r="B7351"/>
    </row>
    <row r="7352" spans="1:2" x14ac:dyDescent="0.25">
      <c r="A7352"/>
      <c r="B7352"/>
    </row>
    <row r="7353" spans="1:2" x14ac:dyDescent="0.25">
      <c r="A7353"/>
      <c r="B7353"/>
    </row>
    <row r="7354" spans="1:2" x14ac:dyDescent="0.25">
      <c r="A7354"/>
      <c r="B7354"/>
    </row>
    <row r="7355" spans="1:2" x14ac:dyDescent="0.25">
      <c r="A7355"/>
      <c r="B7355"/>
    </row>
    <row r="7356" spans="1:2" x14ac:dyDescent="0.25">
      <c r="A7356"/>
      <c r="B7356"/>
    </row>
    <row r="7357" spans="1:2" x14ac:dyDescent="0.25">
      <c r="A7357"/>
      <c r="B7357"/>
    </row>
    <row r="7358" spans="1:2" x14ac:dyDescent="0.25">
      <c r="A7358"/>
      <c r="B7358"/>
    </row>
    <row r="7359" spans="1:2" x14ac:dyDescent="0.25">
      <c r="A7359"/>
      <c r="B7359"/>
    </row>
    <row r="7360" spans="1:2" x14ac:dyDescent="0.25">
      <c r="A7360"/>
      <c r="B7360"/>
    </row>
    <row r="7361" spans="1:2" x14ac:dyDescent="0.25">
      <c r="A7361"/>
      <c r="B7361"/>
    </row>
    <row r="7362" spans="1:2" x14ac:dyDescent="0.25">
      <c r="A7362"/>
      <c r="B7362"/>
    </row>
    <row r="7363" spans="1:2" x14ac:dyDescent="0.25">
      <c r="A7363"/>
      <c r="B7363"/>
    </row>
    <row r="7364" spans="1:2" x14ac:dyDescent="0.25">
      <c r="A7364"/>
      <c r="B7364"/>
    </row>
    <row r="7365" spans="1:2" x14ac:dyDescent="0.25">
      <c r="A7365"/>
      <c r="B7365"/>
    </row>
    <row r="7366" spans="1:2" x14ac:dyDescent="0.25">
      <c r="A7366"/>
      <c r="B7366"/>
    </row>
    <row r="7367" spans="1:2" x14ac:dyDescent="0.25">
      <c r="A7367"/>
      <c r="B7367"/>
    </row>
    <row r="7368" spans="1:2" x14ac:dyDescent="0.25">
      <c r="A7368"/>
      <c r="B7368"/>
    </row>
    <row r="7369" spans="1:2" x14ac:dyDescent="0.25">
      <c r="A7369"/>
      <c r="B7369"/>
    </row>
    <row r="7370" spans="1:2" x14ac:dyDescent="0.25">
      <c r="A7370"/>
      <c r="B7370"/>
    </row>
    <row r="7371" spans="1:2" x14ac:dyDescent="0.25">
      <c r="A7371"/>
      <c r="B7371"/>
    </row>
    <row r="7372" spans="1:2" x14ac:dyDescent="0.25">
      <c r="A7372"/>
      <c r="B7372"/>
    </row>
    <row r="7373" spans="1:2" x14ac:dyDescent="0.25">
      <c r="A7373"/>
      <c r="B7373"/>
    </row>
    <row r="7374" spans="1:2" x14ac:dyDescent="0.25">
      <c r="A7374"/>
      <c r="B7374"/>
    </row>
    <row r="7375" spans="1:2" x14ac:dyDescent="0.25">
      <c r="A7375"/>
      <c r="B7375"/>
    </row>
    <row r="7376" spans="1:2" x14ac:dyDescent="0.25">
      <c r="A7376"/>
      <c r="B7376"/>
    </row>
    <row r="7377" spans="1:2" x14ac:dyDescent="0.25">
      <c r="A7377"/>
      <c r="B7377"/>
    </row>
    <row r="7378" spans="1:2" x14ac:dyDescent="0.25">
      <c r="A7378"/>
      <c r="B7378"/>
    </row>
    <row r="7379" spans="1:2" x14ac:dyDescent="0.25">
      <c r="A7379"/>
      <c r="B7379"/>
    </row>
    <row r="7380" spans="1:2" x14ac:dyDescent="0.25">
      <c r="A7380"/>
      <c r="B7380"/>
    </row>
    <row r="7381" spans="1:2" x14ac:dyDescent="0.25">
      <c r="A7381"/>
      <c r="B7381"/>
    </row>
    <row r="7382" spans="1:2" x14ac:dyDescent="0.25">
      <c r="A7382"/>
      <c r="B7382"/>
    </row>
    <row r="7383" spans="1:2" x14ac:dyDescent="0.25">
      <c r="A7383"/>
      <c r="B7383"/>
    </row>
    <row r="7384" spans="1:2" x14ac:dyDescent="0.25">
      <c r="A7384"/>
      <c r="B7384"/>
    </row>
    <row r="7385" spans="1:2" x14ac:dyDescent="0.25">
      <c r="A7385"/>
      <c r="B7385"/>
    </row>
    <row r="7386" spans="1:2" x14ac:dyDescent="0.25">
      <c r="A7386"/>
      <c r="B7386"/>
    </row>
    <row r="7387" spans="1:2" x14ac:dyDescent="0.25">
      <c r="A7387"/>
      <c r="B7387"/>
    </row>
    <row r="7388" spans="1:2" x14ac:dyDescent="0.25">
      <c r="A7388"/>
      <c r="B7388"/>
    </row>
    <row r="7389" spans="1:2" x14ac:dyDescent="0.25">
      <c r="A7389"/>
      <c r="B7389"/>
    </row>
    <row r="7390" spans="1:2" x14ac:dyDescent="0.25">
      <c r="A7390"/>
      <c r="B7390"/>
    </row>
    <row r="7391" spans="1:2" x14ac:dyDescent="0.25">
      <c r="A7391"/>
      <c r="B7391"/>
    </row>
    <row r="7392" spans="1:2" x14ac:dyDescent="0.25">
      <c r="A7392"/>
      <c r="B7392"/>
    </row>
    <row r="7393" spans="1:2" x14ac:dyDescent="0.25">
      <c r="A7393"/>
      <c r="B7393"/>
    </row>
    <row r="7394" spans="1:2" x14ac:dyDescent="0.25">
      <c r="A7394"/>
      <c r="B7394"/>
    </row>
    <row r="7395" spans="1:2" x14ac:dyDescent="0.25">
      <c r="A7395"/>
      <c r="B7395"/>
    </row>
    <row r="7396" spans="1:2" x14ac:dyDescent="0.25">
      <c r="A7396"/>
      <c r="B7396"/>
    </row>
    <row r="7397" spans="1:2" x14ac:dyDescent="0.25">
      <c r="A7397"/>
      <c r="B7397"/>
    </row>
    <row r="7398" spans="1:2" x14ac:dyDescent="0.25">
      <c r="A7398"/>
      <c r="B7398"/>
    </row>
    <row r="7399" spans="1:2" x14ac:dyDescent="0.25">
      <c r="A7399"/>
      <c r="B7399"/>
    </row>
    <row r="7400" spans="1:2" x14ac:dyDescent="0.25">
      <c r="A7400"/>
      <c r="B7400"/>
    </row>
    <row r="7401" spans="1:2" x14ac:dyDescent="0.25">
      <c r="A7401"/>
      <c r="B7401"/>
    </row>
    <row r="7402" spans="1:2" x14ac:dyDescent="0.25">
      <c r="A7402"/>
      <c r="B7402"/>
    </row>
    <row r="7403" spans="1:2" x14ac:dyDescent="0.25">
      <c r="A7403"/>
      <c r="B7403"/>
    </row>
    <row r="7404" spans="1:2" x14ac:dyDescent="0.25">
      <c r="A7404"/>
      <c r="B7404"/>
    </row>
    <row r="7405" spans="1:2" x14ac:dyDescent="0.25">
      <c r="A7405"/>
      <c r="B7405"/>
    </row>
    <row r="7406" spans="1:2" x14ac:dyDescent="0.25">
      <c r="A7406"/>
      <c r="B7406"/>
    </row>
    <row r="7407" spans="1:2" x14ac:dyDescent="0.25">
      <c r="A7407"/>
      <c r="B7407"/>
    </row>
    <row r="7408" spans="1:2" x14ac:dyDescent="0.25">
      <c r="A7408"/>
      <c r="B7408"/>
    </row>
    <row r="7409" spans="1:2" x14ac:dyDescent="0.25">
      <c r="A7409"/>
      <c r="B7409"/>
    </row>
    <row r="7410" spans="1:2" x14ac:dyDescent="0.25">
      <c r="A7410"/>
      <c r="B7410"/>
    </row>
    <row r="7411" spans="1:2" x14ac:dyDescent="0.25">
      <c r="A7411"/>
      <c r="B7411"/>
    </row>
    <row r="7412" spans="1:2" x14ac:dyDescent="0.25">
      <c r="A7412"/>
      <c r="B7412"/>
    </row>
    <row r="7413" spans="1:2" x14ac:dyDescent="0.25">
      <c r="A7413"/>
      <c r="B7413"/>
    </row>
    <row r="7414" spans="1:2" x14ac:dyDescent="0.25">
      <c r="A7414"/>
      <c r="B7414"/>
    </row>
    <row r="7415" spans="1:2" x14ac:dyDescent="0.25">
      <c r="A7415"/>
      <c r="B7415"/>
    </row>
    <row r="7416" spans="1:2" x14ac:dyDescent="0.25">
      <c r="A7416"/>
      <c r="B7416"/>
    </row>
    <row r="7417" spans="1:2" x14ac:dyDescent="0.25">
      <c r="A7417"/>
      <c r="B7417"/>
    </row>
    <row r="7418" spans="1:2" x14ac:dyDescent="0.25">
      <c r="A7418"/>
      <c r="B7418"/>
    </row>
    <row r="7419" spans="1:2" x14ac:dyDescent="0.25">
      <c r="A7419"/>
      <c r="B7419"/>
    </row>
    <row r="7420" spans="1:2" x14ac:dyDescent="0.25">
      <c r="A7420"/>
      <c r="B7420"/>
    </row>
    <row r="7421" spans="1:2" x14ac:dyDescent="0.25">
      <c r="A7421"/>
      <c r="B7421"/>
    </row>
    <row r="7422" spans="1:2" x14ac:dyDescent="0.25">
      <c r="A7422"/>
      <c r="B7422"/>
    </row>
    <row r="7423" spans="1:2" x14ac:dyDescent="0.25">
      <c r="A7423"/>
      <c r="B7423"/>
    </row>
    <row r="7424" spans="1:2" x14ac:dyDescent="0.25">
      <c r="A7424"/>
      <c r="B7424"/>
    </row>
    <row r="7425" spans="1:2" x14ac:dyDescent="0.25">
      <c r="A7425"/>
      <c r="B7425"/>
    </row>
    <row r="7426" spans="1:2" x14ac:dyDescent="0.25">
      <c r="A7426"/>
      <c r="B7426"/>
    </row>
    <row r="7427" spans="1:2" x14ac:dyDescent="0.25">
      <c r="A7427"/>
      <c r="B7427"/>
    </row>
    <row r="7428" spans="1:2" x14ac:dyDescent="0.25">
      <c r="A7428"/>
      <c r="B7428"/>
    </row>
    <row r="7429" spans="1:2" x14ac:dyDescent="0.25">
      <c r="A7429"/>
      <c r="B7429"/>
    </row>
    <row r="7430" spans="1:2" x14ac:dyDescent="0.25">
      <c r="A7430"/>
      <c r="B7430"/>
    </row>
    <row r="7431" spans="1:2" x14ac:dyDescent="0.25">
      <c r="A7431"/>
      <c r="B7431"/>
    </row>
    <row r="7432" spans="1:2" x14ac:dyDescent="0.25">
      <c r="A7432"/>
      <c r="B7432"/>
    </row>
    <row r="7433" spans="1:2" x14ac:dyDescent="0.25">
      <c r="A7433"/>
      <c r="B7433"/>
    </row>
    <row r="7434" spans="1:2" x14ac:dyDescent="0.25">
      <c r="A7434"/>
      <c r="B7434"/>
    </row>
    <row r="7435" spans="1:2" x14ac:dyDescent="0.25">
      <c r="A7435"/>
      <c r="B7435"/>
    </row>
    <row r="7436" spans="1:2" x14ac:dyDescent="0.25">
      <c r="A7436"/>
      <c r="B7436"/>
    </row>
    <row r="7437" spans="1:2" x14ac:dyDescent="0.25">
      <c r="A7437"/>
      <c r="B7437"/>
    </row>
    <row r="7438" spans="1:2" x14ac:dyDescent="0.25">
      <c r="A7438"/>
      <c r="B7438"/>
    </row>
    <row r="7439" spans="1:2" x14ac:dyDescent="0.25">
      <c r="A7439"/>
      <c r="B7439"/>
    </row>
    <row r="7440" spans="1:2" x14ac:dyDescent="0.25">
      <c r="A7440"/>
      <c r="B7440"/>
    </row>
    <row r="7441" spans="1:2" x14ac:dyDescent="0.25">
      <c r="A7441"/>
      <c r="B7441"/>
    </row>
    <row r="7442" spans="1:2" x14ac:dyDescent="0.25">
      <c r="A7442"/>
      <c r="B7442"/>
    </row>
    <row r="7443" spans="1:2" x14ac:dyDescent="0.25">
      <c r="A7443"/>
      <c r="B7443"/>
    </row>
    <row r="7444" spans="1:2" x14ac:dyDescent="0.25">
      <c r="A7444"/>
      <c r="B7444"/>
    </row>
    <row r="7445" spans="1:2" x14ac:dyDescent="0.25">
      <c r="A7445"/>
      <c r="B7445"/>
    </row>
    <row r="7446" spans="1:2" x14ac:dyDescent="0.25">
      <c r="A7446"/>
      <c r="B7446"/>
    </row>
    <row r="7447" spans="1:2" x14ac:dyDescent="0.25">
      <c r="A7447"/>
      <c r="B7447"/>
    </row>
    <row r="7448" spans="1:2" x14ac:dyDescent="0.25">
      <c r="A7448"/>
      <c r="B7448"/>
    </row>
    <row r="7449" spans="1:2" x14ac:dyDescent="0.25">
      <c r="A7449"/>
      <c r="B7449"/>
    </row>
    <row r="7450" spans="1:2" x14ac:dyDescent="0.25">
      <c r="A7450"/>
      <c r="B7450"/>
    </row>
    <row r="7451" spans="1:2" x14ac:dyDescent="0.25">
      <c r="A7451"/>
      <c r="B7451"/>
    </row>
    <row r="7452" spans="1:2" x14ac:dyDescent="0.25">
      <c r="A7452"/>
      <c r="B7452"/>
    </row>
    <row r="7453" spans="1:2" x14ac:dyDescent="0.25">
      <c r="A7453"/>
      <c r="B7453"/>
    </row>
    <row r="7454" spans="1:2" x14ac:dyDescent="0.25">
      <c r="A7454"/>
      <c r="B7454"/>
    </row>
    <row r="7455" spans="1:2" x14ac:dyDescent="0.25">
      <c r="A7455"/>
      <c r="B7455"/>
    </row>
    <row r="7456" spans="1:2" x14ac:dyDescent="0.25">
      <c r="A7456"/>
      <c r="B7456"/>
    </row>
    <row r="7457" spans="1:2" x14ac:dyDescent="0.25">
      <c r="A7457"/>
      <c r="B7457"/>
    </row>
    <row r="7458" spans="1:2" x14ac:dyDescent="0.25">
      <c r="A7458"/>
      <c r="B7458"/>
    </row>
    <row r="7459" spans="1:2" x14ac:dyDescent="0.25">
      <c r="A7459"/>
      <c r="B7459"/>
    </row>
    <row r="7460" spans="1:2" x14ac:dyDescent="0.25">
      <c r="A7460"/>
      <c r="B7460"/>
    </row>
    <row r="7461" spans="1:2" x14ac:dyDescent="0.25">
      <c r="A7461"/>
      <c r="B7461"/>
    </row>
    <row r="7462" spans="1:2" x14ac:dyDescent="0.25">
      <c r="A7462"/>
      <c r="B7462"/>
    </row>
    <row r="7463" spans="1:2" x14ac:dyDescent="0.25">
      <c r="A7463"/>
      <c r="B7463"/>
    </row>
    <row r="7464" spans="1:2" x14ac:dyDescent="0.25">
      <c r="A7464"/>
      <c r="B7464"/>
    </row>
    <row r="7465" spans="1:2" x14ac:dyDescent="0.25">
      <c r="A7465"/>
      <c r="B7465"/>
    </row>
    <row r="7466" spans="1:2" x14ac:dyDescent="0.25">
      <c r="A7466"/>
      <c r="B7466"/>
    </row>
    <row r="7467" spans="1:2" x14ac:dyDescent="0.25">
      <c r="A7467"/>
      <c r="B7467"/>
    </row>
    <row r="7468" spans="1:2" x14ac:dyDescent="0.25">
      <c r="A7468"/>
      <c r="B7468"/>
    </row>
    <row r="7469" spans="1:2" x14ac:dyDescent="0.25">
      <c r="A7469"/>
      <c r="B7469"/>
    </row>
    <row r="7470" spans="1:2" x14ac:dyDescent="0.25">
      <c r="A7470"/>
      <c r="B7470"/>
    </row>
    <row r="7471" spans="1:2" x14ac:dyDescent="0.25">
      <c r="A7471"/>
      <c r="B7471"/>
    </row>
    <row r="7472" spans="1:2" x14ac:dyDescent="0.25">
      <c r="A7472"/>
      <c r="B7472"/>
    </row>
    <row r="7473" spans="1:2" x14ac:dyDescent="0.25">
      <c r="A7473"/>
      <c r="B7473"/>
    </row>
    <row r="7474" spans="1:2" x14ac:dyDescent="0.25">
      <c r="A7474"/>
      <c r="B7474"/>
    </row>
    <row r="7475" spans="1:2" x14ac:dyDescent="0.25">
      <c r="A7475"/>
      <c r="B7475"/>
    </row>
    <row r="7476" spans="1:2" x14ac:dyDescent="0.25">
      <c r="A7476"/>
      <c r="B7476"/>
    </row>
    <row r="7477" spans="1:2" x14ac:dyDescent="0.25">
      <c r="A7477"/>
      <c r="B7477"/>
    </row>
    <row r="7478" spans="1:2" x14ac:dyDescent="0.25">
      <c r="A7478"/>
      <c r="B7478"/>
    </row>
    <row r="7479" spans="1:2" x14ac:dyDescent="0.25">
      <c r="A7479"/>
      <c r="B7479"/>
    </row>
    <row r="7480" spans="1:2" x14ac:dyDescent="0.25">
      <c r="A7480"/>
      <c r="B7480"/>
    </row>
    <row r="7481" spans="1:2" x14ac:dyDescent="0.25">
      <c r="A7481"/>
      <c r="B7481"/>
    </row>
    <row r="7482" spans="1:2" x14ac:dyDescent="0.25">
      <c r="A7482"/>
      <c r="B7482"/>
    </row>
    <row r="7483" spans="1:2" x14ac:dyDescent="0.25">
      <c r="A7483"/>
      <c r="B7483"/>
    </row>
    <row r="7484" spans="1:2" x14ac:dyDescent="0.25">
      <c r="A7484"/>
      <c r="B7484"/>
    </row>
    <row r="7485" spans="1:2" x14ac:dyDescent="0.25">
      <c r="A7485"/>
      <c r="B7485"/>
    </row>
    <row r="7486" spans="1:2" x14ac:dyDescent="0.25">
      <c r="A7486"/>
      <c r="B7486"/>
    </row>
    <row r="7487" spans="1:2" x14ac:dyDescent="0.25">
      <c r="A7487"/>
      <c r="B7487"/>
    </row>
    <row r="7488" spans="1:2" x14ac:dyDescent="0.25">
      <c r="A7488"/>
      <c r="B7488"/>
    </row>
    <row r="7489" spans="1:2" x14ac:dyDescent="0.25">
      <c r="A7489"/>
      <c r="B7489"/>
    </row>
    <row r="7490" spans="1:2" x14ac:dyDescent="0.25">
      <c r="A7490"/>
      <c r="B7490"/>
    </row>
    <row r="7491" spans="1:2" x14ac:dyDescent="0.25">
      <c r="A7491"/>
      <c r="B7491"/>
    </row>
    <row r="7492" spans="1:2" x14ac:dyDescent="0.25">
      <c r="A7492"/>
      <c r="B7492"/>
    </row>
    <row r="7493" spans="1:2" x14ac:dyDescent="0.25">
      <c r="A7493"/>
      <c r="B7493"/>
    </row>
    <row r="7494" spans="1:2" x14ac:dyDescent="0.25">
      <c r="A7494"/>
      <c r="B7494"/>
    </row>
    <row r="7495" spans="1:2" x14ac:dyDescent="0.25">
      <c r="A7495"/>
      <c r="B7495"/>
    </row>
    <row r="7496" spans="1:2" x14ac:dyDescent="0.25">
      <c r="A7496"/>
      <c r="B7496"/>
    </row>
    <row r="7497" spans="1:2" x14ac:dyDescent="0.25">
      <c r="A7497"/>
      <c r="B7497"/>
    </row>
    <row r="7498" spans="1:2" x14ac:dyDescent="0.25">
      <c r="A7498"/>
      <c r="B7498"/>
    </row>
    <row r="7499" spans="1:2" x14ac:dyDescent="0.25">
      <c r="A7499"/>
      <c r="B7499"/>
    </row>
    <row r="7500" spans="1:2" x14ac:dyDescent="0.25">
      <c r="A7500"/>
      <c r="B7500"/>
    </row>
    <row r="7501" spans="1:2" x14ac:dyDescent="0.25">
      <c r="A7501"/>
      <c r="B7501"/>
    </row>
    <row r="7502" spans="1:2" x14ac:dyDescent="0.25">
      <c r="A7502"/>
      <c r="B7502"/>
    </row>
    <row r="7503" spans="1:2" x14ac:dyDescent="0.25">
      <c r="A7503"/>
      <c r="B7503"/>
    </row>
    <row r="7504" spans="1:2" x14ac:dyDescent="0.25">
      <c r="A7504"/>
      <c r="B7504"/>
    </row>
    <row r="7505" spans="1:2" x14ac:dyDescent="0.25">
      <c r="A7505"/>
      <c r="B7505"/>
    </row>
    <row r="7506" spans="1:2" x14ac:dyDescent="0.25">
      <c r="A7506"/>
      <c r="B7506"/>
    </row>
    <row r="7507" spans="1:2" x14ac:dyDescent="0.25">
      <c r="A7507"/>
      <c r="B7507"/>
    </row>
    <row r="7508" spans="1:2" x14ac:dyDescent="0.25">
      <c r="A7508"/>
      <c r="B7508"/>
    </row>
    <row r="7509" spans="1:2" x14ac:dyDescent="0.25">
      <c r="A7509"/>
      <c r="B7509"/>
    </row>
    <row r="7510" spans="1:2" x14ac:dyDescent="0.25">
      <c r="A7510"/>
      <c r="B7510"/>
    </row>
    <row r="7511" spans="1:2" x14ac:dyDescent="0.25">
      <c r="A7511"/>
      <c r="B7511"/>
    </row>
    <row r="7512" spans="1:2" x14ac:dyDescent="0.25">
      <c r="A7512"/>
      <c r="B7512"/>
    </row>
    <row r="7513" spans="1:2" x14ac:dyDescent="0.25">
      <c r="A7513"/>
      <c r="B7513"/>
    </row>
    <row r="7514" spans="1:2" x14ac:dyDescent="0.25">
      <c r="A7514"/>
      <c r="B7514"/>
    </row>
    <row r="7515" spans="1:2" x14ac:dyDescent="0.25">
      <c r="A7515"/>
      <c r="B7515"/>
    </row>
    <row r="7516" spans="1:2" x14ac:dyDescent="0.25">
      <c r="A7516"/>
      <c r="B7516"/>
    </row>
    <row r="7517" spans="1:2" x14ac:dyDescent="0.25">
      <c r="A7517"/>
      <c r="B7517"/>
    </row>
    <row r="7518" spans="1:2" x14ac:dyDescent="0.25">
      <c r="A7518"/>
      <c r="B7518"/>
    </row>
    <row r="7519" spans="1:2" x14ac:dyDescent="0.25">
      <c r="A7519"/>
      <c r="B7519"/>
    </row>
    <row r="7520" spans="1:2" x14ac:dyDescent="0.25">
      <c r="A7520"/>
      <c r="B7520"/>
    </row>
    <row r="7521" spans="1:2" x14ac:dyDescent="0.25">
      <c r="A7521"/>
      <c r="B7521"/>
    </row>
    <row r="7522" spans="1:2" x14ac:dyDescent="0.25">
      <c r="A7522"/>
      <c r="B7522"/>
    </row>
    <row r="7523" spans="1:2" x14ac:dyDescent="0.25">
      <c r="A7523"/>
      <c r="B7523"/>
    </row>
    <row r="7524" spans="1:2" x14ac:dyDescent="0.25">
      <c r="A7524"/>
      <c r="B7524"/>
    </row>
    <row r="7525" spans="1:2" x14ac:dyDescent="0.25">
      <c r="A7525"/>
      <c r="B7525"/>
    </row>
    <row r="7526" spans="1:2" x14ac:dyDescent="0.25">
      <c r="A7526"/>
      <c r="B7526"/>
    </row>
    <row r="7527" spans="1:2" x14ac:dyDescent="0.25">
      <c r="A7527"/>
      <c r="B7527"/>
    </row>
    <row r="7528" spans="1:2" x14ac:dyDescent="0.25">
      <c r="A7528"/>
      <c r="B7528"/>
    </row>
    <row r="7529" spans="1:2" x14ac:dyDescent="0.25">
      <c r="A7529"/>
      <c r="B7529"/>
    </row>
    <row r="7530" spans="1:2" x14ac:dyDescent="0.25">
      <c r="A7530"/>
      <c r="B7530"/>
    </row>
    <row r="7531" spans="1:2" x14ac:dyDescent="0.25">
      <c r="A7531"/>
      <c r="B7531"/>
    </row>
    <row r="7532" spans="1:2" x14ac:dyDescent="0.25">
      <c r="A7532"/>
      <c r="B7532"/>
    </row>
    <row r="7533" spans="1:2" x14ac:dyDescent="0.25">
      <c r="A7533"/>
      <c r="B7533"/>
    </row>
    <row r="7534" spans="1:2" x14ac:dyDescent="0.25">
      <c r="A7534"/>
      <c r="B7534"/>
    </row>
    <row r="7535" spans="1:2" x14ac:dyDescent="0.25">
      <c r="A7535"/>
      <c r="B7535"/>
    </row>
    <row r="7536" spans="1:2" x14ac:dyDescent="0.25">
      <c r="A7536"/>
      <c r="B7536"/>
    </row>
    <row r="7537" spans="1:2" x14ac:dyDescent="0.25">
      <c r="A7537"/>
      <c r="B7537"/>
    </row>
    <row r="7538" spans="1:2" x14ac:dyDescent="0.25">
      <c r="A7538"/>
      <c r="B7538"/>
    </row>
    <row r="7539" spans="1:2" x14ac:dyDescent="0.25">
      <c r="A7539"/>
      <c r="B7539"/>
    </row>
    <row r="7540" spans="1:2" x14ac:dyDescent="0.25">
      <c r="A7540"/>
      <c r="B7540"/>
    </row>
    <row r="7541" spans="1:2" x14ac:dyDescent="0.25">
      <c r="A7541"/>
      <c r="B7541"/>
    </row>
    <row r="7542" spans="1:2" x14ac:dyDescent="0.25">
      <c r="A7542"/>
      <c r="B7542"/>
    </row>
    <row r="7543" spans="1:2" x14ac:dyDescent="0.25">
      <c r="A7543"/>
      <c r="B7543"/>
    </row>
    <row r="7544" spans="1:2" x14ac:dyDescent="0.25">
      <c r="A7544"/>
      <c r="B7544"/>
    </row>
    <row r="7545" spans="1:2" x14ac:dyDescent="0.25">
      <c r="A7545"/>
      <c r="B7545"/>
    </row>
    <row r="7546" spans="1:2" x14ac:dyDescent="0.25">
      <c r="A7546"/>
      <c r="B7546"/>
    </row>
    <row r="7547" spans="1:2" x14ac:dyDescent="0.25">
      <c r="A7547"/>
      <c r="B7547"/>
    </row>
    <row r="7548" spans="1:2" x14ac:dyDescent="0.25">
      <c r="A7548"/>
      <c r="B7548"/>
    </row>
    <row r="7549" spans="1:2" x14ac:dyDescent="0.25">
      <c r="A7549"/>
      <c r="B7549"/>
    </row>
    <row r="7550" spans="1:2" x14ac:dyDescent="0.25">
      <c r="A7550"/>
      <c r="B7550"/>
    </row>
    <row r="7551" spans="1:2" x14ac:dyDescent="0.25">
      <c r="A7551"/>
      <c r="B7551"/>
    </row>
    <row r="7552" spans="1:2" x14ac:dyDescent="0.25">
      <c r="A7552"/>
      <c r="B7552"/>
    </row>
    <row r="7553" spans="1:2" x14ac:dyDescent="0.25">
      <c r="A7553"/>
      <c r="B7553"/>
    </row>
    <row r="7554" spans="1:2" x14ac:dyDescent="0.25">
      <c r="A7554"/>
      <c r="B7554"/>
    </row>
    <row r="7555" spans="1:2" x14ac:dyDescent="0.25">
      <c r="A7555"/>
      <c r="B7555"/>
    </row>
    <row r="7556" spans="1:2" x14ac:dyDescent="0.25">
      <c r="A7556"/>
      <c r="B7556"/>
    </row>
    <row r="7557" spans="1:2" x14ac:dyDescent="0.25">
      <c r="A7557"/>
      <c r="B7557"/>
    </row>
    <row r="7558" spans="1:2" x14ac:dyDescent="0.25">
      <c r="A7558"/>
      <c r="B7558"/>
    </row>
    <row r="7559" spans="1:2" x14ac:dyDescent="0.25">
      <c r="A7559"/>
      <c r="B7559"/>
    </row>
    <row r="7560" spans="1:2" x14ac:dyDescent="0.25">
      <c r="A7560"/>
      <c r="B7560"/>
    </row>
    <row r="7561" spans="1:2" x14ac:dyDescent="0.25">
      <c r="A7561"/>
      <c r="B7561"/>
    </row>
    <row r="7562" spans="1:2" x14ac:dyDescent="0.25">
      <c r="A7562"/>
      <c r="B7562"/>
    </row>
    <row r="7563" spans="1:2" x14ac:dyDescent="0.25">
      <c r="A7563"/>
      <c r="B7563"/>
    </row>
    <row r="7564" spans="1:2" x14ac:dyDescent="0.25">
      <c r="A7564"/>
      <c r="B7564"/>
    </row>
    <row r="7565" spans="1:2" x14ac:dyDescent="0.25">
      <c r="A7565"/>
      <c r="B7565"/>
    </row>
    <row r="7566" spans="1:2" x14ac:dyDescent="0.25">
      <c r="A7566"/>
      <c r="B7566"/>
    </row>
    <row r="7567" spans="1:2" x14ac:dyDescent="0.25">
      <c r="A7567"/>
      <c r="B7567"/>
    </row>
    <row r="7568" spans="1:2" x14ac:dyDescent="0.25">
      <c r="A7568"/>
      <c r="B7568"/>
    </row>
    <row r="7569" spans="1:2" x14ac:dyDescent="0.25">
      <c r="A7569"/>
      <c r="B7569"/>
    </row>
    <row r="7570" spans="1:2" x14ac:dyDescent="0.25">
      <c r="A7570"/>
      <c r="B7570"/>
    </row>
    <row r="7571" spans="1:2" x14ac:dyDescent="0.25">
      <c r="A7571"/>
      <c r="B7571"/>
    </row>
    <row r="7572" spans="1:2" x14ac:dyDescent="0.25">
      <c r="A7572"/>
      <c r="B7572"/>
    </row>
    <row r="7573" spans="1:2" x14ac:dyDescent="0.25">
      <c r="A7573"/>
      <c r="B7573"/>
    </row>
    <row r="7574" spans="1:2" x14ac:dyDescent="0.25">
      <c r="A7574"/>
      <c r="B7574"/>
    </row>
    <row r="7575" spans="1:2" x14ac:dyDescent="0.25">
      <c r="A7575"/>
      <c r="B7575"/>
    </row>
    <row r="7576" spans="1:2" x14ac:dyDescent="0.25">
      <c r="A7576"/>
      <c r="B7576"/>
    </row>
    <row r="7577" spans="1:2" x14ac:dyDescent="0.25">
      <c r="A7577"/>
      <c r="B7577"/>
    </row>
    <row r="7578" spans="1:2" x14ac:dyDescent="0.25">
      <c r="A7578"/>
      <c r="B7578"/>
    </row>
    <row r="7579" spans="1:2" x14ac:dyDescent="0.25">
      <c r="A7579"/>
      <c r="B7579"/>
    </row>
    <row r="7580" spans="1:2" x14ac:dyDescent="0.25">
      <c r="A7580"/>
      <c r="B7580"/>
    </row>
    <row r="7581" spans="1:2" x14ac:dyDescent="0.25">
      <c r="A7581"/>
      <c r="B7581"/>
    </row>
    <row r="7582" spans="1:2" x14ac:dyDescent="0.25">
      <c r="A7582"/>
      <c r="B7582"/>
    </row>
    <row r="7583" spans="1:2" x14ac:dyDescent="0.25">
      <c r="A7583"/>
      <c r="B7583"/>
    </row>
    <row r="7584" spans="1:2" x14ac:dyDescent="0.25">
      <c r="A7584"/>
      <c r="B7584"/>
    </row>
    <row r="7585" spans="1:2" x14ac:dyDescent="0.25">
      <c r="A7585"/>
      <c r="B7585"/>
    </row>
    <row r="7586" spans="1:2" x14ac:dyDescent="0.25">
      <c r="A7586"/>
      <c r="B7586"/>
    </row>
    <row r="7587" spans="1:2" x14ac:dyDescent="0.25">
      <c r="A7587"/>
      <c r="B7587"/>
    </row>
    <row r="7588" spans="1:2" x14ac:dyDescent="0.25">
      <c r="A7588"/>
      <c r="B7588"/>
    </row>
    <row r="7589" spans="1:2" x14ac:dyDescent="0.25">
      <c r="A7589"/>
      <c r="B7589"/>
    </row>
    <row r="7590" spans="1:2" x14ac:dyDescent="0.25">
      <c r="A7590"/>
      <c r="B7590"/>
    </row>
    <row r="7591" spans="1:2" x14ac:dyDescent="0.25">
      <c r="A7591"/>
      <c r="B7591"/>
    </row>
    <row r="7592" spans="1:2" x14ac:dyDescent="0.25">
      <c r="A7592"/>
      <c r="B7592"/>
    </row>
    <row r="7593" spans="1:2" x14ac:dyDescent="0.25">
      <c r="A7593"/>
      <c r="B7593"/>
    </row>
    <row r="7594" spans="1:2" x14ac:dyDescent="0.25">
      <c r="A7594"/>
      <c r="B7594"/>
    </row>
    <row r="7595" spans="1:2" x14ac:dyDescent="0.25">
      <c r="A7595"/>
      <c r="B7595"/>
    </row>
    <row r="7596" spans="1:2" x14ac:dyDescent="0.25">
      <c r="A7596"/>
      <c r="B7596"/>
    </row>
    <row r="7597" spans="1:2" x14ac:dyDescent="0.25">
      <c r="A7597"/>
      <c r="B7597"/>
    </row>
    <row r="7598" spans="1:2" x14ac:dyDescent="0.25">
      <c r="A7598"/>
      <c r="B7598"/>
    </row>
    <row r="7599" spans="1:2" x14ac:dyDescent="0.25">
      <c r="A7599"/>
      <c r="B7599"/>
    </row>
    <row r="7600" spans="1:2" x14ac:dyDescent="0.25">
      <c r="A7600"/>
      <c r="B7600"/>
    </row>
    <row r="7601" spans="1:2" x14ac:dyDescent="0.25">
      <c r="A7601"/>
      <c r="B7601"/>
    </row>
    <row r="7602" spans="1:2" x14ac:dyDescent="0.25">
      <c r="A7602"/>
      <c r="B7602"/>
    </row>
    <row r="7603" spans="1:2" x14ac:dyDescent="0.25">
      <c r="A7603"/>
      <c r="B7603"/>
    </row>
    <row r="7604" spans="1:2" x14ac:dyDescent="0.25">
      <c r="A7604"/>
      <c r="B7604"/>
    </row>
    <row r="7605" spans="1:2" x14ac:dyDescent="0.25">
      <c r="A7605"/>
      <c r="B7605"/>
    </row>
    <row r="7606" spans="1:2" x14ac:dyDescent="0.25">
      <c r="A7606"/>
      <c r="B7606"/>
    </row>
    <row r="7607" spans="1:2" x14ac:dyDescent="0.25">
      <c r="A7607"/>
      <c r="B7607"/>
    </row>
    <row r="7608" spans="1:2" x14ac:dyDescent="0.25">
      <c r="A7608"/>
      <c r="B7608"/>
    </row>
    <row r="7609" spans="1:2" x14ac:dyDescent="0.25">
      <c r="A7609"/>
      <c r="B7609"/>
    </row>
    <row r="7610" spans="1:2" x14ac:dyDescent="0.25">
      <c r="A7610"/>
      <c r="B7610"/>
    </row>
    <row r="7611" spans="1:2" x14ac:dyDescent="0.25">
      <c r="A7611"/>
      <c r="B7611"/>
    </row>
    <row r="7612" spans="1:2" x14ac:dyDescent="0.25">
      <c r="A7612"/>
      <c r="B7612"/>
    </row>
    <row r="7613" spans="1:2" x14ac:dyDescent="0.25">
      <c r="A7613"/>
      <c r="B7613"/>
    </row>
    <row r="7614" spans="1:2" x14ac:dyDescent="0.25">
      <c r="A7614"/>
      <c r="B7614"/>
    </row>
    <row r="7615" spans="1:2" x14ac:dyDescent="0.25">
      <c r="A7615"/>
      <c r="B7615"/>
    </row>
    <row r="7616" spans="1:2" x14ac:dyDescent="0.25">
      <c r="A7616"/>
      <c r="B7616"/>
    </row>
    <row r="7617" spans="1:2" x14ac:dyDescent="0.25">
      <c r="A7617"/>
      <c r="B7617"/>
    </row>
    <row r="7618" spans="1:2" x14ac:dyDescent="0.25">
      <c r="A7618"/>
      <c r="B7618"/>
    </row>
    <row r="7619" spans="1:2" x14ac:dyDescent="0.25">
      <c r="A7619"/>
      <c r="B7619"/>
    </row>
    <row r="7620" spans="1:2" x14ac:dyDescent="0.25">
      <c r="A7620"/>
      <c r="B7620"/>
    </row>
    <row r="7621" spans="1:2" x14ac:dyDescent="0.25">
      <c r="A7621"/>
      <c r="B7621"/>
    </row>
    <row r="7622" spans="1:2" x14ac:dyDescent="0.25">
      <c r="A7622"/>
      <c r="B7622"/>
    </row>
    <row r="7623" spans="1:2" x14ac:dyDescent="0.25">
      <c r="A7623"/>
      <c r="B7623"/>
    </row>
    <row r="7624" spans="1:2" x14ac:dyDescent="0.25">
      <c r="A7624"/>
      <c r="B7624"/>
    </row>
    <row r="7625" spans="1:2" x14ac:dyDescent="0.25">
      <c r="A7625"/>
      <c r="B7625"/>
    </row>
    <row r="7626" spans="1:2" x14ac:dyDescent="0.25">
      <c r="A7626"/>
      <c r="B7626"/>
    </row>
    <row r="7627" spans="1:2" x14ac:dyDescent="0.25">
      <c r="A7627"/>
      <c r="B7627"/>
    </row>
    <row r="7628" spans="1:2" x14ac:dyDescent="0.25">
      <c r="A7628"/>
      <c r="B7628"/>
    </row>
    <row r="7629" spans="1:2" x14ac:dyDescent="0.25">
      <c r="A7629"/>
      <c r="B7629"/>
    </row>
    <row r="7630" spans="1:2" x14ac:dyDescent="0.25">
      <c r="A7630"/>
      <c r="B7630"/>
    </row>
    <row r="7631" spans="1:2" x14ac:dyDescent="0.25">
      <c r="A7631"/>
      <c r="B7631"/>
    </row>
    <row r="7632" spans="1:2" x14ac:dyDescent="0.25">
      <c r="A7632"/>
      <c r="B7632"/>
    </row>
    <row r="7633" spans="1:2" x14ac:dyDescent="0.25">
      <c r="A7633"/>
      <c r="B7633"/>
    </row>
    <row r="7634" spans="1:2" x14ac:dyDescent="0.25">
      <c r="A7634"/>
      <c r="B7634"/>
    </row>
    <row r="7635" spans="1:2" x14ac:dyDescent="0.25">
      <c r="A7635"/>
      <c r="B7635"/>
    </row>
    <row r="7636" spans="1:2" x14ac:dyDescent="0.25">
      <c r="A7636"/>
      <c r="B7636"/>
    </row>
    <row r="7637" spans="1:2" x14ac:dyDescent="0.25">
      <c r="A7637"/>
      <c r="B7637"/>
    </row>
    <row r="7638" spans="1:2" x14ac:dyDescent="0.25">
      <c r="A7638"/>
      <c r="B7638"/>
    </row>
    <row r="7639" spans="1:2" x14ac:dyDescent="0.25">
      <c r="A7639"/>
      <c r="B7639"/>
    </row>
    <row r="7640" spans="1:2" x14ac:dyDescent="0.25">
      <c r="A7640"/>
      <c r="B7640"/>
    </row>
    <row r="7641" spans="1:2" x14ac:dyDescent="0.25">
      <c r="A7641"/>
      <c r="B7641"/>
    </row>
    <row r="7642" spans="1:2" x14ac:dyDescent="0.25">
      <c r="A7642"/>
      <c r="B7642"/>
    </row>
    <row r="7643" spans="1:2" x14ac:dyDescent="0.25">
      <c r="A7643"/>
      <c r="B7643"/>
    </row>
    <row r="7644" spans="1:2" x14ac:dyDescent="0.25">
      <c r="A7644"/>
      <c r="B7644"/>
    </row>
    <row r="7645" spans="1:2" x14ac:dyDescent="0.25">
      <c r="A7645"/>
      <c r="B7645"/>
    </row>
    <row r="7646" spans="1:2" x14ac:dyDescent="0.25">
      <c r="A7646"/>
      <c r="B7646"/>
    </row>
    <row r="7647" spans="1:2" x14ac:dyDescent="0.25">
      <c r="A7647"/>
      <c r="B7647"/>
    </row>
    <row r="7648" spans="1:2" x14ac:dyDescent="0.25">
      <c r="A7648"/>
      <c r="B7648"/>
    </row>
    <row r="7649" spans="1:2" x14ac:dyDescent="0.25">
      <c r="A7649"/>
      <c r="B7649"/>
    </row>
    <row r="7650" spans="1:2" x14ac:dyDescent="0.25">
      <c r="A7650"/>
      <c r="B7650"/>
    </row>
    <row r="7651" spans="1:2" x14ac:dyDescent="0.25">
      <c r="A7651"/>
      <c r="B7651"/>
    </row>
    <row r="7652" spans="1:2" x14ac:dyDescent="0.25">
      <c r="A7652"/>
      <c r="B7652"/>
    </row>
    <row r="7653" spans="1:2" x14ac:dyDescent="0.25">
      <c r="A7653"/>
      <c r="B7653"/>
    </row>
    <row r="7654" spans="1:2" x14ac:dyDescent="0.25">
      <c r="A7654"/>
      <c r="B7654"/>
    </row>
    <row r="7655" spans="1:2" x14ac:dyDescent="0.25">
      <c r="A7655"/>
      <c r="B7655"/>
    </row>
    <row r="7656" spans="1:2" x14ac:dyDescent="0.25">
      <c r="A7656"/>
      <c r="B7656"/>
    </row>
    <row r="7657" spans="1:2" x14ac:dyDescent="0.25">
      <c r="A7657"/>
      <c r="B7657"/>
    </row>
    <row r="7658" spans="1:2" x14ac:dyDescent="0.25">
      <c r="A7658"/>
      <c r="B7658"/>
    </row>
    <row r="7659" spans="1:2" x14ac:dyDescent="0.25">
      <c r="A7659"/>
      <c r="B7659"/>
    </row>
    <row r="7660" spans="1:2" x14ac:dyDescent="0.25">
      <c r="A7660"/>
      <c r="B7660"/>
    </row>
    <row r="7661" spans="1:2" x14ac:dyDescent="0.25">
      <c r="A7661"/>
      <c r="B7661"/>
    </row>
    <row r="7662" spans="1:2" x14ac:dyDescent="0.25">
      <c r="A7662"/>
      <c r="B7662"/>
    </row>
    <row r="7663" spans="1:2" x14ac:dyDescent="0.25">
      <c r="A7663"/>
      <c r="B7663"/>
    </row>
    <row r="7664" spans="1:2" x14ac:dyDescent="0.25">
      <c r="A7664"/>
      <c r="B7664"/>
    </row>
    <row r="7665" spans="1:2" x14ac:dyDescent="0.25">
      <c r="A7665"/>
      <c r="B7665"/>
    </row>
    <row r="7666" spans="1:2" x14ac:dyDescent="0.25">
      <c r="A7666"/>
      <c r="B7666"/>
    </row>
    <row r="7667" spans="1:2" x14ac:dyDescent="0.25">
      <c r="A7667"/>
      <c r="B7667"/>
    </row>
    <row r="7668" spans="1:2" x14ac:dyDescent="0.25">
      <c r="A7668"/>
      <c r="B7668"/>
    </row>
    <row r="7669" spans="1:2" x14ac:dyDescent="0.25">
      <c r="A7669"/>
      <c r="B7669"/>
    </row>
    <row r="7670" spans="1:2" x14ac:dyDescent="0.25">
      <c r="A7670"/>
      <c r="B7670"/>
    </row>
    <row r="7671" spans="1:2" x14ac:dyDescent="0.25">
      <c r="A7671"/>
      <c r="B7671"/>
    </row>
    <row r="7672" spans="1:2" x14ac:dyDescent="0.25">
      <c r="A7672"/>
      <c r="B7672"/>
    </row>
    <row r="7673" spans="1:2" x14ac:dyDescent="0.25">
      <c r="A7673"/>
      <c r="B7673"/>
    </row>
    <row r="7674" spans="1:2" x14ac:dyDescent="0.25">
      <c r="A7674"/>
      <c r="B7674"/>
    </row>
    <row r="7675" spans="1:2" x14ac:dyDescent="0.25">
      <c r="A7675"/>
      <c r="B7675"/>
    </row>
    <row r="7676" spans="1:2" x14ac:dyDescent="0.25">
      <c r="A7676"/>
      <c r="B7676"/>
    </row>
    <row r="7677" spans="1:2" x14ac:dyDescent="0.25">
      <c r="A7677"/>
      <c r="B7677"/>
    </row>
    <row r="7678" spans="1:2" x14ac:dyDescent="0.25">
      <c r="A7678"/>
      <c r="B7678"/>
    </row>
    <row r="7679" spans="1:2" x14ac:dyDescent="0.25">
      <c r="A7679"/>
      <c r="B7679"/>
    </row>
    <row r="7680" spans="1:2" x14ac:dyDescent="0.25">
      <c r="A7680"/>
      <c r="B7680"/>
    </row>
    <row r="7681" spans="1:2" x14ac:dyDescent="0.25">
      <c r="A7681"/>
      <c r="B7681"/>
    </row>
    <row r="7682" spans="1:2" x14ac:dyDescent="0.25">
      <c r="A7682"/>
      <c r="B7682"/>
    </row>
    <row r="7683" spans="1:2" x14ac:dyDescent="0.25">
      <c r="A7683"/>
      <c r="B7683"/>
    </row>
    <row r="7684" spans="1:2" x14ac:dyDescent="0.25">
      <c r="A7684"/>
      <c r="B7684"/>
    </row>
    <row r="7685" spans="1:2" x14ac:dyDescent="0.25">
      <c r="A7685"/>
      <c r="B7685"/>
    </row>
    <row r="7686" spans="1:2" x14ac:dyDescent="0.25">
      <c r="A7686"/>
      <c r="B7686"/>
    </row>
    <row r="7687" spans="1:2" x14ac:dyDescent="0.25">
      <c r="A7687"/>
      <c r="B7687"/>
    </row>
    <row r="7688" spans="1:2" x14ac:dyDescent="0.25">
      <c r="A7688"/>
      <c r="B7688"/>
    </row>
    <row r="7689" spans="1:2" x14ac:dyDescent="0.25">
      <c r="A7689"/>
      <c r="B7689"/>
    </row>
    <row r="7690" spans="1:2" x14ac:dyDescent="0.25">
      <c r="A7690"/>
      <c r="B7690"/>
    </row>
    <row r="7691" spans="1:2" x14ac:dyDescent="0.25">
      <c r="A7691"/>
      <c r="B7691"/>
    </row>
    <row r="7692" spans="1:2" x14ac:dyDescent="0.25">
      <c r="A7692"/>
      <c r="B7692"/>
    </row>
    <row r="7693" spans="1:2" x14ac:dyDescent="0.25">
      <c r="A7693"/>
      <c r="B7693"/>
    </row>
    <row r="7694" spans="1:2" x14ac:dyDescent="0.25">
      <c r="A7694"/>
      <c r="B7694"/>
    </row>
    <row r="7695" spans="1:2" x14ac:dyDescent="0.25">
      <c r="A7695"/>
      <c r="B7695"/>
    </row>
    <row r="7696" spans="1:2" x14ac:dyDescent="0.25">
      <c r="A7696"/>
      <c r="B7696"/>
    </row>
    <row r="7697" spans="1:2" x14ac:dyDescent="0.25">
      <c r="A7697"/>
      <c r="B7697"/>
    </row>
    <row r="7698" spans="1:2" x14ac:dyDescent="0.25">
      <c r="A7698"/>
      <c r="B7698"/>
    </row>
    <row r="7699" spans="1:2" x14ac:dyDescent="0.25">
      <c r="A7699"/>
      <c r="B7699"/>
    </row>
    <row r="7700" spans="1:2" x14ac:dyDescent="0.25">
      <c r="A7700"/>
      <c r="B7700"/>
    </row>
    <row r="7701" spans="1:2" x14ac:dyDescent="0.25">
      <c r="A7701"/>
      <c r="B7701"/>
    </row>
    <row r="7702" spans="1:2" x14ac:dyDescent="0.25">
      <c r="A7702"/>
      <c r="B7702"/>
    </row>
    <row r="7703" spans="1:2" x14ac:dyDescent="0.25">
      <c r="A7703"/>
      <c r="B7703"/>
    </row>
    <row r="7704" spans="1:2" x14ac:dyDescent="0.25">
      <c r="A7704"/>
      <c r="B7704"/>
    </row>
    <row r="7705" spans="1:2" x14ac:dyDescent="0.25">
      <c r="A7705"/>
      <c r="B7705"/>
    </row>
    <row r="7706" spans="1:2" x14ac:dyDescent="0.25">
      <c r="A7706"/>
      <c r="B7706"/>
    </row>
    <row r="7707" spans="1:2" x14ac:dyDescent="0.25">
      <c r="A7707"/>
      <c r="B7707"/>
    </row>
    <row r="7708" spans="1:2" x14ac:dyDescent="0.25">
      <c r="A7708"/>
      <c r="B7708"/>
    </row>
    <row r="7709" spans="1:2" x14ac:dyDescent="0.25">
      <c r="A7709"/>
      <c r="B7709"/>
    </row>
    <row r="7710" spans="1:2" x14ac:dyDescent="0.25">
      <c r="A7710"/>
      <c r="B7710"/>
    </row>
    <row r="7711" spans="1:2" x14ac:dyDescent="0.25">
      <c r="A7711"/>
      <c r="B7711"/>
    </row>
    <row r="7712" spans="1:2" x14ac:dyDescent="0.25">
      <c r="A7712"/>
      <c r="B7712"/>
    </row>
    <row r="7713" spans="1:2" x14ac:dyDescent="0.25">
      <c r="A7713"/>
      <c r="B7713"/>
    </row>
    <row r="7714" spans="1:2" x14ac:dyDescent="0.25">
      <c r="A7714"/>
      <c r="B7714"/>
    </row>
    <row r="7715" spans="1:2" x14ac:dyDescent="0.25">
      <c r="A7715"/>
      <c r="B7715"/>
    </row>
    <row r="7716" spans="1:2" x14ac:dyDescent="0.25">
      <c r="A7716"/>
      <c r="B7716"/>
    </row>
    <row r="7717" spans="1:2" x14ac:dyDescent="0.25">
      <c r="A7717"/>
      <c r="B7717"/>
    </row>
    <row r="7718" spans="1:2" x14ac:dyDescent="0.25">
      <c r="A7718"/>
      <c r="B7718"/>
    </row>
    <row r="7719" spans="1:2" x14ac:dyDescent="0.25">
      <c r="A7719"/>
      <c r="B7719"/>
    </row>
    <row r="7720" spans="1:2" x14ac:dyDescent="0.25">
      <c r="A7720"/>
      <c r="B7720"/>
    </row>
    <row r="7721" spans="1:2" x14ac:dyDescent="0.25">
      <c r="A7721"/>
      <c r="B7721"/>
    </row>
    <row r="7722" spans="1:2" x14ac:dyDescent="0.25">
      <c r="A7722"/>
      <c r="B7722"/>
    </row>
    <row r="7723" spans="1:2" x14ac:dyDescent="0.25">
      <c r="A7723"/>
      <c r="B7723"/>
    </row>
    <row r="7724" spans="1:2" x14ac:dyDescent="0.25">
      <c r="A7724"/>
      <c r="B7724"/>
    </row>
    <row r="7725" spans="1:2" x14ac:dyDescent="0.25">
      <c r="A7725"/>
      <c r="B7725"/>
    </row>
    <row r="7726" spans="1:2" x14ac:dyDescent="0.25">
      <c r="A7726"/>
      <c r="B7726"/>
    </row>
    <row r="7727" spans="1:2" x14ac:dyDescent="0.25">
      <c r="A7727"/>
      <c r="B7727"/>
    </row>
    <row r="7728" spans="1:2" x14ac:dyDescent="0.25">
      <c r="A7728"/>
      <c r="B7728"/>
    </row>
    <row r="7729" spans="1:2" x14ac:dyDescent="0.25">
      <c r="A7729"/>
      <c r="B7729"/>
    </row>
    <row r="7730" spans="1:2" x14ac:dyDescent="0.25">
      <c r="A7730"/>
      <c r="B7730"/>
    </row>
    <row r="7731" spans="1:2" x14ac:dyDescent="0.25">
      <c r="A7731"/>
      <c r="B7731"/>
    </row>
    <row r="7732" spans="1:2" x14ac:dyDescent="0.25">
      <c r="A7732"/>
      <c r="B7732"/>
    </row>
    <row r="7733" spans="1:2" x14ac:dyDescent="0.25">
      <c r="A7733"/>
      <c r="B7733"/>
    </row>
    <row r="7734" spans="1:2" x14ac:dyDescent="0.25">
      <c r="A7734"/>
      <c r="B7734"/>
    </row>
    <row r="7735" spans="1:2" x14ac:dyDescent="0.25">
      <c r="A7735"/>
      <c r="B7735"/>
    </row>
    <row r="7736" spans="1:2" x14ac:dyDescent="0.25">
      <c r="A7736"/>
      <c r="B7736"/>
    </row>
    <row r="7737" spans="1:2" x14ac:dyDescent="0.25">
      <c r="A7737"/>
      <c r="B7737"/>
    </row>
    <row r="7738" spans="1:2" x14ac:dyDescent="0.25">
      <c r="A7738"/>
      <c r="B7738"/>
    </row>
    <row r="7739" spans="1:2" x14ac:dyDescent="0.25">
      <c r="A7739"/>
      <c r="B7739"/>
    </row>
    <row r="7740" spans="1:2" x14ac:dyDescent="0.25">
      <c r="A7740"/>
      <c r="B7740"/>
    </row>
    <row r="7741" spans="1:2" x14ac:dyDescent="0.25">
      <c r="A7741"/>
      <c r="B7741"/>
    </row>
    <row r="7742" spans="1:2" x14ac:dyDescent="0.25">
      <c r="A7742"/>
      <c r="B7742"/>
    </row>
    <row r="7743" spans="1:2" x14ac:dyDescent="0.25">
      <c r="A7743"/>
      <c r="B7743"/>
    </row>
    <row r="7744" spans="1:2" x14ac:dyDescent="0.25">
      <c r="A7744"/>
      <c r="B7744"/>
    </row>
    <row r="7745" spans="1:2" x14ac:dyDescent="0.25">
      <c r="A7745"/>
      <c r="B7745"/>
    </row>
    <row r="7746" spans="1:2" x14ac:dyDescent="0.25">
      <c r="A7746"/>
      <c r="B7746"/>
    </row>
    <row r="7747" spans="1:2" x14ac:dyDescent="0.25">
      <c r="A7747"/>
      <c r="B7747"/>
    </row>
    <row r="7748" spans="1:2" x14ac:dyDescent="0.25">
      <c r="A7748"/>
      <c r="B7748"/>
    </row>
    <row r="7749" spans="1:2" x14ac:dyDescent="0.25">
      <c r="A7749"/>
      <c r="B7749"/>
    </row>
    <row r="7750" spans="1:2" x14ac:dyDescent="0.25">
      <c r="A7750"/>
      <c r="B7750"/>
    </row>
    <row r="7751" spans="1:2" x14ac:dyDescent="0.25">
      <c r="A7751"/>
      <c r="B7751"/>
    </row>
    <row r="7752" spans="1:2" x14ac:dyDescent="0.25">
      <c r="A7752"/>
      <c r="B7752"/>
    </row>
    <row r="7753" spans="1:2" x14ac:dyDescent="0.25">
      <c r="A7753"/>
      <c r="B7753"/>
    </row>
    <row r="7754" spans="1:2" x14ac:dyDescent="0.25">
      <c r="A7754"/>
      <c r="B7754"/>
    </row>
    <row r="7755" spans="1:2" x14ac:dyDescent="0.25">
      <c r="A7755"/>
      <c r="B7755"/>
    </row>
    <row r="7756" spans="1:2" x14ac:dyDescent="0.25">
      <c r="A7756"/>
      <c r="B7756"/>
    </row>
    <row r="7757" spans="1:2" x14ac:dyDescent="0.25">
      <c r="A7757"/>
      <c r="B7757"/>
    </row>
    <row r="7758" spans="1:2" x14ac:dyDescent="0.25">
      <c r="A7758"/>
      <c r="B7758"/>
    </row>
    <row r="7759" spans="1:2" x14ac:dyDescent="0.25">
      <c r="A7759"/>
      <c r="B7759"/>
    </row>
    <row r="7760" spans="1:2" x14ac:dyDescent="0.25">
      <c r="A7760"/>
      <c r="B7760"/>
    </row>
    <row r="7761" spans="1:2" x14ac:dyDescent="0.25">
      <c r="A7761"/>
      <c r="B7761"/>
    </row>
    <row r="7762" spans="1:2" x14ac:dyDescent="0.25">
      <c r="A7762"/>
      <c r="B7762"/>
    </row>
    <row r="7763" spans="1:2" x14ac:dyDescent="0.25">
      <c r="A7763"/>
      <c r="B7763"/>
    </row>
    <row r="7764" spans="1:2" x14ac:dyDescent="0.25">
      <c r="A7764"/>
      <c r="B7764"/>
    </row>
    <row r="7765" spans="1:2" x14ac:dyDescent="0.25">
      <c r="A7765"/>
      <c r="B7765"/>
    </row>
    <row r="7766" spans="1:2" x14ac:dyDescent="0.25">
      <c r="A7766"/>
      <c r="B7766"/>
    </row>
    <row r="7767" spans="1:2" x14ac:dyDescent="0.25">
      <c r="A7767"/>
      <c r="B7767"/>
    </row>
    <row r="7768" spans="1:2" x14ac:dyDescent="0.25">
      <c r="A7768"/>
      <c r="B7768"/>
    </row>
    <row r="7769" spans="1:2" x14ac:dyDescent="0.25">
      <c r="A7769"/>
      <c r="B7769"/>
    </row>
    <row r="7770" spans="1:2" x14ac:dyDescent="0.25">
      <c r="A7770"/>
      <c r="B7770"/>
    </row>
    <row r="7771" spans="1:2" x14ac:dyDescent="0.25">
      <c r="A7771"/>
      <c r="B7771"/>
    </row>
    <row r="7772" spans="1:2" x14ac:dyDescent="0.25">
      <c r="A7772"/>
      <c r="B7772"/>
    </row>
    <row r="7773" spans="1:2" x14ac:dyDescent="0.25">
      <c r="A7773"/>
      <c r="B7773"/>
    </row>
    <row r="7774" spans="1:2" x14ac:dyDescent="0.25">
      <c r="A7774"/>
      <c r="B7774"/>
    </row>
    <row r="7775" spans="1:2" x14ac:dyDescent="0.25">
      <c r="A7775"/>
      <c r="B7775"/>
    </row>
    <row r="7776" spans="1:2" x14ac:dyDescent="0.25">
      <c r="A7776"/>
      <c r="B7776"/>
    </row>
    <row r="7777" spans="1:2" x14ac:dyDescent="0.25">
      <c r="A7777"/>
      <c r="B7777"/>
    </row>
    <row r="7778" spans="1:2" x14ac:dyDescent="0.25">
      <c r="A7778"/>
      <c r="B7778"/>
    </row>
    <row r="7779" spans="1:2" x14ac:dyDescent="0.25">
      <c r="A7779"/>
      <c r="B7779"/>
    </row>
    <row r="7780" spans="1:2" x14ac:dyDescent="0.25">
      <c r="A7780"/>
      <c r="B7780"/>
    </row>
    <row r="7781" spans="1:2" x14ac:dyDescent="0.25">
      <c r="A7781"/>
      <c r="B7781"/>
    </row>
    <row r="7782" spans="1:2" x14ac:dyDescent="0.25">
      <c r="A7782"/>
      <c r="B7782"/>
    </row>
    <row r="7783" spans="1:2" x14ac:dyDescent="0.25">
      <c r="A7783"/>
      <c r="B7783"/>
    </row>
    <row r="7784" spans="1:2" x14ac:dyDescent="0.25">
      <c r="A7784"/>
      <c r="B7784"/>
    </row>
    <row r="7785" spans="1:2" x14ac:dyDescent="0.25">
      <c r="A7785"/>
      <c r="B7785"/>
    </row>
    <row r="7786" spans="1:2" x14ac:dyDescent="0.25">
      <c r="A7786"/>
      <c r="B7786"/>
    </row>
    <row r="7787" spans="1:2" x14ac:dyDescent="0.25">
      <c r="A7787"/>
      <c r="B7787"/>
    </row>
    <row r="7788" spans="1:2" x14ac:dyDescent="0.25">
      <c r="A7788"/>
      <c r="B7788"/>
    </row>
    <row r="7789" spans="1:2" x14ac:dyDescent="0.25">
      <c r="A7789"/>
      <c r="B7789"/>
    </row>
    <row r="7790" spans="1:2" x14ac:dyDescent="0.25">
      <c r="A7790"/>
      <c r="B7790"/>
    </row>
    <row r="7791" spans="1:2" x14ac:dyDescent="0.25">
      <c r="A7791"/>
      <c r="B7791"/>
    </row>
    <row r="7792" spans="1:2" x14ac:dyDescent="0.25">
      <c r="A7792"/>
      <c r="B7792"/>
    </row>
    <row r="7793" spans="1:2" x14ac:dyDescent="0.25">
      <c r="A7793"/>
      <c r="B7793"/>
    </row>
    <row r="7794" spans="1:2" x14ac:dyDescent="0.25">
      <c r="A7794"/>
      <c r="B7794"/>
    </row>
    <row r="7795" spans="1:2" x14ac:dyDescent="0.25">
      <c r="A7795"/>
      <c r="B7795"/>
    </row>
    <row r="7796" spans="1:2" x14ac:dyDescent="0.25">
      <c r="A7796"/>
      <c r="B7796"/>
    </row>
    <row r="7797" spans="1:2" x14ac:dyDescent="0.25">
      <c r="A7797"/>
      <c r="B7797"/>
    </row>
    <row r="7798" spans="1:2" x14ac:dyDescent="0.25">
      <c r="A7798"/>
      <c r="B7798"/>
    </row>
    <row r="7799" spans="1:2" x14ac:dyDescent="0.25">
      <c r="A7799"/>
      <c r="B7799"/>
    </row>
    <row r="7800" spans="1:2" x14ac:dyDescent="0.25">
      <c r="A7800"/>
      <c r="B7800"/>
    </row>
    <row r="7801" spans="1:2" x14ac:dyDescent="0.25">
      <c r="A7801"/>
      <c r="B7801"/>
    </row>
    <row r="7802" spans="1:2" x14ac:dyDescent="0.25">
      <c r="A7802"/>
      <c r="B7802"/>
    </row>
    <row r="7803" spans="1:2" x14ac:dyDescent="0.25">
      <c r="A7803"/>
      <c r="B7803"/>
    </row>
    <row r="7804" spans="1:2" x14ac:dyDescent="0.25">
      <c r="A7804"/>
      <c r="B7804"/>
    </row>
    <row r="7805" spans="1:2" x14ac:dyDescent="0.25">
      <c r="A7805"/>
      <c r="B7805"/>
    </row>
    <row r="7806" spans="1:2" x14ac:dyDescent="0.25">
      <c r="A7806"/>
      <c r="B7806"/>
    </row>
    <row r="7807" spans="1:2" x14ac:dyDescent="0.25">
      <c r="A7807"/>
      <c r="B7807"/>
    </row>
    <row r="7808" spans="1:2" x14ac:dyDescent="0.25">
      <c r="A7808"/>
      <c r="B7808"/>
    </row>
    <row r="7809" spans="1:2" x14ac:dyDescent="0.25">
      <c r="A7809"/>
      <c r="B7809"/>
    </row>
    <row r="7810" spans="1:2" x14ac:dyDescent="0.25">
      <c r="A7810"/>
      <c r="B7810"/>
    </row>
    <row r="7811" spans="1:2" x14ac:dyDescent="0.25">
      <c r="A7811"/>
      <c r="B7811"/>
    </row>
    <row r="7812" spans="1:2" x14ac:dyDescent="0.25">
      <c r="A7812"/>
      <c r="B7812"/>
    </row>
    <row r="7813" spans="1:2" x14ac:dyDescent="0.25">
      <c r="A7813"/>
      <c r="B7813"/>
    </row>
    <row r="7814" spans="1:2" x14ac:dyDescent="0.25">
      <c r="A7814"/>
      <c r="B7814"/>
    </row>
    <row r="7815" spans="1:2" x14ac:dyDescent="0.25">
      <c r="A7815"/>
      <c r="B7815"/>
    </row>
    <row r="7816" spans="1:2" x14ac:dyDescent="0.25">
      <c r="A7816"/>
      <c r="B7816"/>
    </row>
    <row r="7817" spans="1:2" x14ac:dyDescent="0.25">
      <c r="A7817"/>
      <c r="B7817"/>
    </row>
    <row r="7818" spans="1:2" x14ac:dyDescent="0.25">
      <c r="A7818"/>
      <c r="B7818"/>
    </row>
    <row r="7819" spans="1:2" x14ac:dyDescent="0.25">
      <c r="A7819"/>
      <c r="B7819"/>
    </row>
    <row r="7820" spans="1:2" x14ac:dyDescent="0.25">
      <c r="A7820"/>
      <c r="B7820"/>
    </row>
    <row r="7821" spans="1:2" x14ac:dyDescent="0.25">
      <c r="A7821"/>
      <c r="B7821"/>
    </row>
    <row r="7822" spans="1:2" x14ac:dyDescent="0.25">
      <c r="A7822"/>
      <c r="B7822"/>
    </row>
    <row r="7823" spans="1:2" x14ac:dyDescent="0.25">
      <c r="A7823"/>
      <c r="B7823"/>
    </row>
    <row r="7824" spans="1:2" x14ac:dyDescent="0.25">
      <c r="A7824"/>
      <c r="B7824"/>
    </row>
    <row r="7825" spans="1:2" x14ac:dyDescent="0.25">
      <c r="A7825"/>
      <c r="B7825"/>
    </row>
    <row r="7826" spans="1:2" x14ac:dyDescent="0.25">
      <c r="A7826"/>
      <c r="B7826"/>
    </row>
    <row r="7827" spans="1:2" x14ac:dyDescent="0.25">
      <c r="A7827"/>
      <c r="B7827"/>
    </row>
    <row r="7828" spans="1:2" x14ac:dyDescent="0.25">
      <c r="A7828"/>
      <c r="B7828"/>
    </row>
    <row r="7829" spans="1:2" x14ac:dyDescent="0.25">
      <c r="A7829"/>
      <c r="B7829"/>
    </row>
    <row r="7830" spans="1:2" x14ac:dyDescent="0.25">
      <c r="A7830"/>
      <c r="B7830"/>
    </row>
    <row r="7831" spans="1:2" x14ac:dyDescent="0.25">
      <c r="A7831"/>
      <c r="B7831"/>
    </row>
    <row r="7832" spans="1:2" x14ac:dyDescent="0.25">
      <c r="A7832"/>
      <c r="B7832"/>
    </row>
    <row r="7833" spans="1:2" x14ac:dyDescent="0.25">
      <c r="A7833"/>
      <c r="B7833"/>
    </row>
    <row r="7834" spans="1:2" x14ac:dyDescent="0.25">
      <c r="A7834"/>
      <c r="B7834"/>
    </row>
    <row r="7835" spans="1:2" x14ac:dyDescent="0.25">
      <c r="A7835"/>
      <c r="B7835"/>
    </row>
    <row r="7836" spans="1:2" x14ac:dyDescent="0.25">
      <c r="A7836"/>
      <c r="B7836"/>
    </row>
    <row r="7837" spans="1:2" x14ac:dyDescent="0.25">
      <c r="A7837"/>
      <c r="B7837"/>
    </row>
    <row r="7838" spans="1:2" x14ac:dyDescent="0.25">
      <c r="A7838"/>
      <c r="B7838"/>
    </row>
    <row r="7839" spans="1:2" x14ac:dyDescent="0.25">
      <c r="A7839"/>
      <c r="B7839"/>
    </row>
    <row r="7840" spans="1:2" x14ac:dyDescent="0.25">
      <c r="A7840"/>
      <c r="B7840"/>
    </row>
    <row r="7841" spans="1:2" x14ac:dyDescent="0.25">
      <c r="A7841"/>
      <c r="B7841"/>
    </row>
    <row r="7842" spans="1:2" x14ac:dyDescent="0.25">
      <c r="A7842"/>
      <c r="B7842"/>
    </row>
    <row r="7843" spans="1:2" x14ac:dyDescent="0.25">
      <c r="A7843"/>
      <c r="B7843"/>
    </row>
    <row r="7844" spans="1:2" x14ac:dyDescent="0.25">
      <c r="A7844"/>
      <c r="B7844"/>
    </row>
    <row r="7845" spans="1:2" x14ac:dyDescent="0.25">
      <c r="A7845"/>
      <c r="B7845"/>
    </row>
    <row r="7846" spans="1:2" x14ac:dyDescent="0.25">
      <c r="A7846"/>
      <c r="B7846"/>
    </row>
    <row r="7847" spans="1:2" x14ac:dyDescent="0.25">
      <c r="A7847"/>
      <c r="B7847"/>
    </row>
    <row r="7848" spans="1:2" x14ac:dyDescent="0.25">
      <c r="A7848"/>
      <c r="B7848"/>
    </row>
    <row r="7849" spans="1:2" x14ac:dyDescent="0.25">
      <c r="A7849"/>
      <c r="B7849"/>
    </row>
    <row r="7850" spans="1:2" x14ac:dyDescent="0.25">
      <c r="A7850"/>
      <c r="B7850"/>
    </row>
    <row r="7851" spans="1:2" x14ac:dyDescent="0.25">
      <c r="A7851"/>
      <c r="B7851"/>
    </row>
    <row r="7852" spans="1:2" x14ac:dyDescent="0.25">
      <c r="A7852"/>
      <c r="B7852"/>
    </row>
    <row r="7853" spans="1:2" x14ac:dyDescent="0.25">
      <c r="A7853"/>
      <c r="B7853"/>
    </row>
    <row r="7854" spans="1:2" x14ac:dyDescent="0.25">
      <c r="A7854"/>
      <c r="B7854"/>
    </row>
    <row r="7855" spans="1:2" x14ac:dyDescent="0.25">
      <c r="A7855"/>
      <c r="B7855"/>
    </row>
    <row r="7856" spans="1:2" x14ac:dyDescent="0.25">
      <c r="A7856"/>
      <c r="B7856"/>
    </row>
    <row r="7857" spans="1:2" x14ac:dyDescent="0.25">
      <c r="A7857"/>
      <c r="B7857"/>
    </row>
    <row r="7858" spans="1:2" x14ac:dyDescent="0.25">
      <c r="A7858"/>
      <c r="B7858"/>
    </row>
    <row r="7859" spans="1:2" x14ac:dyDescent="0.25">
      <c r="A7859"/>
      <c r="B7859"/>
    </row>
    <row r="7860" spans="1:2" x14ac:dyDescent="0.25">
      <c r="A7860"/>
      <c r="B7860"/>
    </row>
    <row r="7861" spans="1:2" x14ac:dyDescent="0.25">
      <c r="A7861"/>
      <c r="B7861"/>
    </row>
    <row r="7862" spans="1:2" x14ac:dyDescent="0.25">
      <c r="A7862"/>
      <c r="B7862"/>
    </row>
    <row r="7863" spans="1:2" x14ac:dyDescent="0.25">
      <c r="A7863"/>
      <c r="B7863"/>
    </row>
    <row r="7864" spans="1:2" x14ac:dyDescent="0.25">
      <c r="A7864"/>
      <c r="B7864"/>
    </row>
    <row r="7865" spans="1:2" x14ac:dyDescent="0.25">
      <c r="A7865"/>
      <c r="B7865"/>
    </row>
    <row r="7866" spans="1:2" x14ac:dyDescent="0.25">
      <c r="A7866"/>
      <c r="B7866"/>
    </row>
    <row r="7867" spans="1:2" x14ac:dyDescent="0.25">
      <c r="A7867"/>
      <c r="B7867"/>
    </row>
    <row r="7868" spans="1:2" x14ac:dyDescent="0.25">
      <c r="A7868"/>
      <c r="B7868"/>
    </row>
    <row r="7869" spans="1:2" x14ac:dyDescent="0.25">
      <c r="A7869"/>
      <c r="B7869"/>
    </row>
    <row r="7870" spans="1:2" x14ac:dyDescent="0.25">
      <c r="A7870"/>
      <c r="B7870"/>
    </row>
    <row r="7871" spans="1:2" x14ac:dyDescent="0.25">
      <c r="A7871"/>
      <c r="B7871"/>
    </row>
    <row r="7872" spans="1:2" x14ac:dyDescent="0.25">
      <c r="A7872"/>
      <c r="B7872"/>
    </row>
    <row r="7873" spans="1:2" x14ac:dyDescent="0.25">
      <c r="A7873"/>
      <c r="B7873"/>
    </row>
    <row r="7874" spans="1:2" x14ac:dyDescent="0.25">
      <c r="A7874"/>
      <c r="B7874"/>
    </row>
    <row r="7875" spans="1:2" x14ac:dyDescent="0.25">
      <c r="A7875"/>
      <c r="B7875"/>
    </row>
    <row r="7876" spans="1:2" x14ac:dyDescent="0.25">
      <c r="A7876"/>
      <c r="B7876"/>
    </row>
    <row r="7877" spans="1:2" x14ac:dyDescent="0.25">
      <c r="A7877"/>
      <c r="B7877"/>
    </row>
    <row r="7878" spans="1:2" x14ac:dyDescent="0.25">
      <c r="A7878"/>
      <c r="B7878"/>
    </row>
    <row r="7879" spans="1:2" x14ac:dyDescent="0.25">
      <c r="A7879"/>
      <c r="B7879"/>
    </row>
    <row r="7880" spans="1:2" x14ac:dyDescent="0.25">
      <c r="A7880"/>
      <c r="B7880"/>
    </row>
    <row r="7881" spans="1:2" x14ac:dyDescent="0.25">
      <c r="A7881"/>
      <c r="B7881"/>
    </row>
    <row r="7882" spans="1:2" x14ac:dyDescent="0.25">
      <c r="A7882"/>
      <c r="B7882"/>
    </row>
    <row r="7883" spans="1:2" x14ac:dyDescent="0.25">
      <c r="A7883"/>
      <c r="B7883"/>
    </row>
    <row r="7884" spans="1:2" x14ac:dyDescent="0.25">
      <c r="A7884"/>
      <c r="B7884"/>
    </row>
    <row r="7885" spans="1:2" x14ac:dyDescent="0.25">
      <c r="A7885"/>
      <c r="B7885"/>
    </row>
    <row r="7886" spans="1:2" x14ac:dyDescent="0.25">
      <c r="A7886"/>
      <c r="B7886"/>
    </row>
    <row r="7887" spans="1:2" x14ac:dyDescent="0.25">
      <c r="A7887"/>
      <c r="B7887"/>
    </row>
    <row r="7888" spans="1:2" x14ac:dyDescent="0.25">
      <c r="A7888"/>
      <c r="B7888"/>
    </row>
    <row r="7889" spans="1:2" x14ac:dyDescent="0.25">
      <c r="A7889"/>
      <c r="B7889"/>
    </row>
    <row r="7890" spans="1:2" x14ac:dyDescent="0.25">
      <c r="A7890"/>
      <c r="B7890"/>
    </row>
    <row r="7891" spans="1:2" x14ac:dyDescent="0.25">
      <c r="A7891"/>
      <c r="B7891"/>
    </row>
    <row r="7892" spans="1:2" x14ac:dyDescent="0.25">
      <c r="A7892"/>
      <c r="B7892"/>
    </row>
    <row r="7893" spans="1:2" x14ac:dyDescent="0.25">
      <c r="A7893"/>
      <c r="B7893"/>
    </row>
    <row r="7894" spans="1:2" x14ac:dyDescent="0.25">
      <c r="A7894"/>
      <c r="B7894"/>
    </row>
    <row r="7895" spans="1:2" x14ac:dyDescent="0.25">
      <c r="A7895"/>
      <c r="B7895"/>
    </row>
    <row r="7896" spans="1:2" x14ac:dyDescent="0.25">
      <c r="A7896"/>
      <c r="B7896"/>
    </row>
    <row r="7897" spans="1:2" x14ac:dyDescent="0.25">
      <c r="A7897"/>
      <c r="B7897"/>
    </row>
    <row r="7898" spans="1:2" x14ac:dyDescent="0.25">
      <c r="A7898"/>
      <c r="B7898"/>
    </row>
    <row r="7899" spans="1:2" x14ac:dyDescent="0.25">
      <c r="A7899"/>
      <c r="B7899"/>
    </row>
    <row r="7900" spans="1:2" x14ac:dyDescent="0.25">
      <c r="A7900"/>
      <c r="B7900"/>
    </row>
    <row r="7901" spans="1:2" x14ac:dyDescent="0.25">
      <c r="A7901"/>
      <c r="B7901"/>
    </row>
    <row r="7902" spans="1:2" x14ac:dyDescent="0.25">
      <c r="A7902"/>
      <c r="B7902"/>
    </row>
    <row r="7903" spans="1:2" x14ac:dyDescent="0.25">
      <c r="A7903"/>
      <c r="B7903"/>
    </row>
    <row r="7904" spans="1:2" x14ac:dyDescent="0.25">
      <c r="A7904"/>
      <c r="B7904"/>
    </row>
    <row r="7905" spans="1:2" x14ac:dyDescent="0.25">
      <c r="A7905"/>
      <c r="B7905"/>
    </row>
    <row r="7906" spans="1:2" x14ac:dyDescent="0.25">
      <c r="A7906"/>
      <c r="B7906"/>
    </row>
    <row r="7907" spans="1:2" x14ac:dyDescent="0.25">
      <c r="A7907"/>
      <c r="B7907"/>
    </row>
    <row r="7908" spans="1:2" x14ac:dyDescent="0.25">
      <c r="A7908"/>
      <c r="B7908"/>
    </row>
    <row r="7909" spans="1:2" x14ac:dyDescent="0.25">
      <c r="A7909"/>
      <c r="B7909"/>
    </row>
    <row r="7910" spans="1:2" x14ac:dyDescent="0.25">
      <c r="A7910"/>
      <c r="B7910"/>
    </row>
    <row r="7911" spans="1:2" x14ac:dyDescent="0.25">
      <c r="A7911"/>
      <c r="B7911"/>
    </row>
    <row r="7912" spans="1:2" x14ac:dyDescent="0.25">
      <c r="A7912"/>
      <c r="B7912"/>
    </row>
    <row r="7913" spans="1:2" x14ac:dyDescent="0.25">
      <c r="A7913"/>
      <c r="B7913"/>
    </row>
    <row r="7914" spans="1:2" x14ac:dyDescent="0.25">
      <c r="A7914"/>
      <c r="B7914"/>
    </row>
    <row r="7915" spans="1:2" x14ac:dyDescent="0.25">
      <c r="A7915"/>
      <c r="B7915"/>
    </row>
    <row r="7916" spans="1:2" x14ac:dyDescent="0.25">
      <c r="A7916"/>
      <c r="B7916"/>
    </row>
    <row r="7917" spans="1:2" x14ac:dyDescent="0.25">
      <c r="A7917"/>
      <c r="B7917"/>
    </row>
    <row r="7918" spans="1:2" x14ac:dyDescent="0.25">
      <c r="A7918"/>
      <c r="B7918"/>
    </row>
    <row r="7919" spans="1:2" x14ac:dyDescent="0.25">
      <c r="A7919"/>
      <c r="B7919"/>
    </row>
    <row r="7920" spans="1:2" x14ac:dyDescent="0.25">
      <c r="A7920"/>
      <c r="B7920"/>
    </row>
    <row r="7921" spans="1:2" x14ac:dyDescent="0.25">
      <c r="A7921"/>
      <c r="B7921"/>
    </row>
    <row r="7922" spans="1:2" x14ac:dyDescent="0.25">
      <c r="A7922"/>
      <c r="B7922"/>
    </row>
    <row r="7923" spans="1:2" x14ac:dyDescent="0.25">
      <c r="A7923"/>
      <c r="B7923"/>
    </row>
    <row r="7924" spans="1:2" x14ac:dyDescent="0.25">
      <c r="A7924"/>
      <c r="B7924"/>
    </row>
    <row r="7925" spans="1:2" x14ac:dyDescent="0.25">
      <c r="A7925"/>
      <c r="B7925"/>
    </row>
    <row r="7926" spans="1:2" x14ac:dyDescent="0.25">
      <c r="A7926"/>
      <c r="B7926"/>
    </row>
    <row r="7927" spans="1:2" x14ac:dyDescent="0.25">
      <c r="A7927"/>
      <c r="B7927"/>
    </row>
    <row r="7928" spans="1:2" x14ac:dyDescent="0.25">
      <c r="A7928"/>
      <c r="B7928"/>
    </row>
    <row r="7929" spans="1:2" x14ac:dyDescent="0.25">
      <c r="A7929"/>
      <c r="B7929"/>
    </row>
    <row r="7930" spans="1:2" x14ac:dyDescent="0.25">
      <c r="A7930"/>
      <c r="B7930"/>
    </row>
    <row r="7931" spans="1:2" x14ac:dyDescent="0.25">
      <c r="A7931"/>
      <c r="B7931"/>
    </row>
    <row r="7932" spans="1:2" x14ac:dyDescent="0.25">
      <c r="A7932"/>
      <c r="B7932"/>
    </row>
    <row r="7933" spans="1:2" x14ac:dyDescent="0.25">
      <c r="A7933"/>
      <c r="B7933"/>
    </row>
    <row r="7934" spans="1:2" x14ac:dyDescent="0.25">
      <c r="A7934"/>
      <c r="B7934"/>
    </row>
    <row r="7935" spans="1:2" x14ac:dyDescent="0.25">
      <c r="A7935"/>
      <c r="B7935"/>
    </row>
    <row r="7936" spans="1:2" x14ac:dyDescent="0.25">
      <c r="A7936"/>
      <c r="B7936"/>
    </row>
    <row r="7937" spans="1:2" x14ac:dyDescent="0.25">
      <c r="A7937"/>
      <c r="B7937"/>
    </row>
    <row r="7938" spans="1:2" x14ac:dyDescent="0.25">
      <c r="A7938"/>
      <c r="B7938"/>
    </row>
    <row r="7939" spans="1:2" x14ac:dyDescent="0.25">
      <c r="A7939"/>
      <c r="B7939"/>
    </row>
    <row r="7940" spans="1:2" x14ac:dyDescent="0.25">
      <c r="A7940"/>
      <c r="B7940"/>
    </row>
    <row r="7941" spans="1:2" x14ac:dyDescent="0.25">
      <c r="A7941"/>
      <c r="B7941"/>
    </row>
    <row r="7942" spans="1:2" x14ac:dyDescent="0.25">
      <c r="A7942"/>
      <c r="B7942"/>
    </row>
    <row r="7943" spans="1:2" x14ac:dyDescent="0.25">
      <c r="A7943"/>
      <c r="B7943"/>
    </row>
    <row r="7944" spans="1:2" x14ac:dyDescent="0.25">
      <c r="A7944"/>
      <c r="B7944"/>
    </row>
    <row r="7945" spans="1:2" x14ac:dyDescent="0.25">
      <c r="A7945"/>
      <c r="B7945"/>
    </row>
    <row r="7946" spans="1:2" x14ac:dyDescent="0.25">
      <c r="A7946"/>
      <c r="B7946"/>
    </row>
    <row r="7947" spans="1:2" x14ac:dyDescent="0.25">
      <c r="A7947"/>
      <c r="B7947"/>
    </row>
    <row r="7948" spans="1:2" x14ac:dyDescent="0.25">
      <c r="A7948"/>
      <c r="B7948"/>
    </row>
    <row r="7949" spans="1:2" x14ac:dyDescent="0.25">
      <c r="A7949"/>
      <c r="B7949"/>
    </row>
    <row r="7950" spans="1:2" x14ac:dyDescent="0.25">
      <c r="A7950"/>
      <c r="B7950"/>
    </row>
    <row r="7951" spans="1:2" x14ac:dyDescent="0.25">
      <c r="A7951"/>
      <c r="B7951"/>
    </row>
    <row r="7952" spans="1:2" x14ac:dyDescent="0.25">
      <c r="A7952"/>
      <c r="B7952"/>
    </row>
    <row r="7953" spans="1:2" x14ac:dyDescent="0.25">
      <c r="A7953"/>
      <c r="B7953"/>
    </row>
    <row r="7954" spans="1:2" x14ac:dyDescent="0.25">
      <c r="A7954"/>
      <c r="B7954"/>
    </row>
    <row r="7955" spans="1:2" x14ac:dyDescent="0.25">
      <c r="A7955"/>
      <c r="B7955"/>
    </row>
    <row r="7956" spans="1:2" x14ac:dyDescent="0.25">
      <c r="A7956"/>
      <c r="B7956"/>
    </row>
    <row r="7957" spans="1:2" x14ac:dyDescent="0.25">
      <c r="A7957"/>
      <c r="B7957"/>
    </row>
    <row r="7958" spans="1:2" x14ac:dyDescent="0.25">
      <c r="A7958"/>
      <c r="B7958"/>
    </row>
    <row r="7959" spans="1:2" x14ac:dyDescent="0.25">
      <c r="A7959"/>
      <c r="B7959"/>
    </row>
    <row r="7960" spans="1:2" x14ac:dyDescent="0.25">
      <c r="A7960"/>
      <c r="B7960"/>
    </row>
    <row r="7961" spans="1:2" x14ac:dyDescent="0.25">
      <c r="A7961"/>
      <c r="B7961"/>
    </row>
    <row r="7962" spans="1:2" x14ac:dyDescent="0.25">
      <c r="A7962"/>
      <c r="B7962"/>
    </row>
    <row r="7963" spans="1:2" x14ac:dyDescent="0.25">
      <c r="A7963"/>
      <c r="B7963"/>
    </row>
    <row r="7964" spans="1:2" x14ac:dyDescent="0.25">
      <c r="A7964"/>
      <c r="B7964"/>
    </row>
    <row r="7965" spans="1:2" x14ac:dyDescent="0.25">
      <c r="A7965"/>
      <c r="B7965"/>
    </row>
    <row r="7966" spans="1:2" x14ac:dyDescent="0.25">
      <c r="A7966"/>
      <c r="B7966"/>
    </row>
    <row r="7967" spans="1:2" x14ac:dyDescent="0.25">
      <c r="A7967"/>
      <c r="B7967"/>
    </row>
    <row r="7968" spans="1:2" x14ac:dyDescent="0.25">
      <c r="A7968"/>
      <c r="B7968"/>
    </row>
    <row r="7969" spans="1:2" x14ac:dyDescent="0.25">
      <c r="A7969"/>
      <c r="B7969"/>
    </row>
    <row r="7970" spans="1:2" x14ac:dyDescent="0.25">
      <c r="A7970"/>
      <c r="B7970"/>
    </row>
    <row r="7971" spans="1:2" x14ac:dyDescent="0.25">
      <c r="A7971"/>
      <c r="B7971"/>
    </row>
    <row r="7972" spans="1:2" x14ac:dyDescent="0.25">
      <c r="A7972"/>
      <c r="B7972"/>
    </row>
    <row r="7973" spans="1:2" x14ac:dyDescent="0.25">
      <c r="A7973"/>
      <c r="B7973"/>
    </row>
    <row r="7974" spans="1:2" x14ac:dyDescent="0.25">
      <c r="A7974"/>
      <c r="B7974"/>
    </row>
    <row r="7975" spans="1:2" x14ac:dyDescent="0.25">
      <c r="A7975"/>
      <c r="B7975"/>
    </row>
    <row r="7976" spans="1:2" x14ac:dyDescent="0.25">
      <c r="A7976"/>
      <c r="B7976"/>
    </row>
    <row r="7977" spans="1:2" x14ac:dyDescent="0.25">
      <c r="A7977"/>
      <c r="B7977"/>
    </row>
    <row r="7978" spans="1:2" x14ac:dyDescent="0.25">
      <c r="A7978"/>
      <c r="B7978"/>
    </row>
    <row r="7979" spans="1:2" x14ac:dyDescent="0.25">
      <c r="A7979"/>
      <c r="B7979"/>
    </row>
    <row r="7980" spans="1:2" x14ac:dyDescent="0.25">
      <c r="A7980"/>
      <c r="B7980"/>
    </row>
    <row r="7981" spans="1:2" x14ac:dyDescent="0.25">
      <c r="A7981"/>
      <c r="B7981"/>
    </row>
    <row r="7982" spans="1:2" x14ac:dyDescent="0.25">
      <c r="A7982"/>
      <c r="B7982"/>
    </row>
    <row r="7983" spans="1:2" x14ac:dyDescent="0.25">
      <c r="A7983"/>
      <c r="B7983"/>
    </row>
    <row r="7984" spans="1:2" x14ac:dyDescent="0.25">
      <c r="A7984"/>
      <c r="B7984"/>
    </row>
    <row r="7985" spans="1:2" x14ac:dyDescent="0.25">
      <c r="A7985"/>
      <c r="B7985"/>
    </row>
    <row r="7986" spans="1:2" x14ac:dyDescent="0.25">
      <c r="A7986"/>
      <c r="B7986"/>
    </row>
    <row r="7987" spans="1:2" x14ac:dyDescent="0.25">
      <c r="A7987"/>
      <c r="B7987"/>
    </row>
    <row r="7988" spans="1:2" x14ac:dyDescent="0.25">
      <c r="A7988"/>
      <c r="B7988"/>
    </row>
    <row r="7989" spans="1:2" x14ac:dyDescent="0.25">
      <c r="A7989"/>
      <c r="B7989"/>
    </row>
    <row r="7990" spans="1:2" x14ac:dyDescent="0.25">
      <c r="A7990"/>
      <c r="B7990"/>
    </row>
    <row r="7991" spans="1:2" x14ac:dyDescent="0.25">
      <c r="A7991"/>
      <c r="B7991"/>
    </row>
    <row r="7992" spans="1:2" x14ac:dyDescent="0.25">
      <c r="A7992"/>
      <c r="B7992"/>
    </row>
    <row r="7993" spans="1:2" x14ac:dyDescent="0.25">
      <c r="A7993"/>
      <c r="B7993"/>
    </row>
    <row r="7994" spans="1:2" x14ac:dyDescent="0.25">
      <c r="A7994"/>
      <c r="B7994"/>
    </row>
    <row r="7995" spans="1:2" x14ac:dyDescent="0.25">
      <c r="A7995"/>
      <c r="B7995"/>
    </row>
    <row r="7996" spans="1:2" x14ac:dyDescent="0.25">
      <c r="A7996"/>
      <c r="B7996"/>
    </row>
    <row r="7997" spans="1:2" x14ac:dyDescent="0.25">
      <c r="A7997"/>
      <c r="B7997"/>
    </row>
    <row r="7998" spans="1:2" x14ac:dyDescent="0.25">
      <c r="A7998"/>
      <c r="B7998"/>
    </row>
    <row r="7999" spans="1:2" x14ac:dyDescent="0.25">
      <c r="A7999"/>
      <c r="B7999"/>
    </row>
    <row r="8000" spans="1:2" x14ac:dyDescent="0.25">
      <c r="A8000"/>
      <c r="B8000"/>
    </row>
    <row r="8001" spans="1:2" x14ac:dyDescent="0.25">
      <c r="A8001"/>
      <c r="B8001"/>
    </row>
    <row r="8002" spans="1:2" x14ac:dyDescent="0.25">
      <c r="A8002"/>
      <c r="B8002"/>
    </row>
    <row r="8003" spans="1:2" x14ac:dyDescent="0.25">
      <c r="A8003"/>
      <c r="B8003"/>
    </row>
    <row r="8004" spans="1:2" x14ac:dyDescent="0.25">
      <c r="A8004"/>
      <c r="B8004"/>
    </row>
    <row r="8005" spans="1:2" x14ac:dyDescent="0.25">
      <c r="A8005"/>
      <c r="B8005"/>
    </row>
    <row r="8006" spans="1:2" x14ac:dyDescent="0.25">
      <c r="A8006"/>
      <c r="B8006"/>
    </row>
    <row r="8007" spans="1:2" x14ac:dyDescent="0.25">
      <c r="A8007"/>
      <c r="B8007"/>
    </row>
    <row r="8008" spans="1:2" x14ac:dyDescent="0.25">
      <c r="A8008"/>
      <c r="B8008"/>
    </row>
    <row r="8009" spans="1:2" x14ac:dyDescent="0.25">
      <c r="A8009"/>
      <c r="B8009"/>
    </row>
    <row r="8010" spans="1:2" x14ac:dyDescent="0.25">
      <c r="A8010"/>
      <c r="B8010"/>
    </row>
    <row r="8011" spans="1:2" x14ac:dyDescent="0.25">
      <c r="A8011"/>
      <c r="B8011"/>
    </row>
    <row r="8012" spans="1:2" x14ac:dyDescent="0.25">
      <c r="A8012"/>
      <c r="B8012"/>
    </row>
    <row r="8013" spans="1:2" x14ac:dyDescent="0.25">
      <c r="A8013"/>
      <c r="B8013"/>
    </row>
    <row r="8014" spans="1:2" x14ac:dyDescent="0.25">
      <c r="A8014"/>
      <c r="B8014"/>
    </row>
    <row r="8015" spans="1:2" x14ac:dyDescent="0.25">
      <c r="A8015"/>
      <c r="B8015"/>
    </row>
    <row r="8016" spans="1:2" x14ac:dyDescent="0.25">
      <c r="A8016"/>
      <c r="B8016"/>
    </row>
    <row r="8017" spans="1:2" x14ac:dyDescent="0.25">
      <c r="A8017"/>
      <c r="B8017"/>
    </row>
    <row r="8018" spans="1:2" x14ac:dyDescent="0.25">
      <c r="A8018"/>
      <c r="B8018"/>
    </row>
    <row r="8019" spans="1:2" x14ac:dyDescent="0.25">
      <c r="A8019"/>
      <c r="B8019"/>
    </row>
    <row r="8020" spans="1:2" x14ac:dyDescent="0.25">
      <c r="A8020"/>
      <c r="B8020"/>
    </row>
    <row r="8021" spans="1:2" x14ac:dyDescent="0.25">
      <c r="A8021"/>
      <c r="B8021"/>
    </row>
    <row r="8022" spans="1:2" x14ac:dyDescent="0.25">
      <c r="A8022"/>
      <c r="B8022"/>
    </row>
    <row r="8023" spans="1:2" x14ac:dyDescent="0.25">
      <c r="A8023"/>
      <c r="B8023"/>
    </row>
    <row r="8024" spans="1:2" x14ac:dyDescent="0.25">
      <c r="A8024"/>
      <c r="B8024"/>
    </row>
    <row r="8025" spans="1:2" x14ac:dyDescent="0.25">
      <c r="A8025"/>
      <c r="B8025"/>
    </row>
    <row r="8026" spans="1:2" x14ac:dyDescent="0.25">
      <c r="A8026"/>
      <c r="B8026"/>
    </row>
    <row r="8027" spans="1:2" x14ac:dyDescent="0.25">
      <c r="A8027"/>
      <c r="B8027"/>
    </row>
    <row r="8028" spans="1:2" x14ac:dyDescent="0.25">
      <c r="A8028"/>
      <c r="B8028"/>
    </row>
    <row r="8029" spans="1:2" x14ac:dyDescent="0.25">
      <c r="A8029"/>
      <c r="B8029"/>
    </row>
    <row r="8030" spans="1:2" x14ac:dyDescent="0.25">
      <c r="A8030"/>
      <c r="B8030"/>
    </row>
    <row r="8031" spans="1:2" x14ac:dyDescent="0.25">
      <c r="A8031"/>
      <c r="B8031"/>
    </row>
    <row r="8032" spans="1:2" x14ac:dyDescent="0.25">
      <c r="A8032"/>
      <c r="B8032"/>
    </row>
    <row r="8033" spans="1:2" x14ac:dyDescent="0.25">
      <c r="A8033"/>
      <c r="B8033"/>
    </row>
    <row r="8034" spans="1:2" x14ac:dyDescent="0.25">
      <c r="A8034"/>
      <c r="B8034"/>
    </row>
    <row r="8035" spans="1:2" x14ac:dyDescent="0.25">
      <c r="A8035"/>
      <c r="B8035"/>
    </row>
    <row r="8036" spans="1:2" x14ac:dyDescent="0.25">
      <c r="A8036"/>
      <c r="B8036"/>
    </row>
    <row r="8037" spans="1:2" x14ac:dyDescent="0.25">
      <c r="A8037"/>
      <c r="B8037"/>
    </row>
    <row r="8038" spans="1:2" x14ac:dyDescent="0.25">
      <c r="A8038"/>
      <c r="B8038"/>
    </row>
    <row r="8039" spans="1:2" x14ac:dyDescent="0.25">
      <c r="A8039"/>
      <c r="B8039"/>
    </row>
    <row r="8040" spans="1:2" x14ac:dyDescent="0.25">
      <c r="A8040"/>
      <c r="B8040"/>
    </row>
    <row r="8041" spans="1:2" x14ac:dyDescent="0.25">
      <c r="A8041"/>
      <c r="B8041"/>
    </row>
    <row r="8042" spans="1:2" x14ac:dyDescent="0.25">
      <c r="A8042"/>
      <c r="B8042"/>
    </row>
    <row r="8043" spans="1:2" x14ac:dyDescent="0.25">
      <c r="A8043"/>
      <c r="B8043"/>
    </row>
    <row r="8044" spans="1:2" x14ac:dyDescent="0.25">
      <c r="A8044"/>
      <c r="B8044"/>
    </row>
    <row r="8045" spans="1:2" x14ac:dyDescent="0.25">
      <c r="A8045"/>
      <c r="B8045"/>
    </row>
    <row r="8046" spans="1:2" x14ac:dyDescent="0.25">
      <c r="A8046"/>
      <c r="B8046"/>
    </row>
    <row r="8047" spans="1:2" x14ac:dyDescent="0.25">
      <c r="A8047"/>
      <c r="B8047"/>
    </row>
    <row r="8048" spans="1:2" x14ac:dyDescent="0.25">
      <c r="A8048"/>
      <c r="B8048"/>
    </row>
    <row r="8049" spans="1:2" x14ac:dyDescent="0.25">
      <c r="A8049"/>
      <c r="B8049"/>
    </row>
    <row r="8050" spans="1:2" x14ac:dyDescent="0.25">
      <c r="A8050"/>
      <c r="B8050"/>
    </row>
    <row r="8051" spans="1:2" x14ac:dyDescent="0.25">
      <c r="A8051"/>
      <c r="B8051"/>
    </row>
    <row r="8052" spans="1:2" x14ac:dyDescent="0.25">
      <c r="A8052"/>
      <c r="B8052"/>
    </row>
    <row r="8053" spans="1:2" x14ac:dyDescent="0.25">
      <c r="A8053"/>
      <c r="B8053"/>
    </row>
    <row r="8054" spans="1:2" x14ac:dyDescent="0.25">
      <c r="A8054"/>
      <c r="B8054"/>
    </row>
    <row r="8055" spans="1:2" x14ac:dyDescent="0.25">
      <c r="A8055"/>
      <c r="B8055"/>
    </row>
    <row r="8056" spans="1:2" x14ac:dyDescent="0.25">
      <c r="A8056"/>
      <c r="B8056"/>
    </row>
    <row r="8057" spans="1:2" x14ac:dyDescent="0.25">
      <c r="A8057"/>
      <c r="B8057"/>
    </row>
    <row r="8058" spans="1:2" x14ac:dyDescent="0.25">
      <c r="A8058"/>
      <c r="B8058"/>
    </row>
    <row r="8059" spans="1:2" x14ac:dyDescent="0.25">
      <c r="A8059"/>
      <c r="B8059"/>
    </row>
    <row r="8060" spans="1:2" x14ac:dyDescent="0.25">
      <c r="A8060"/>
      <c r="B8060"/>
    </row>
    <row r="8061" spans="1:2" x14ac:dyDescent="0.25">
      <c r="A8061"/>
      <c r="B8061"/>
    </row>
    <row r="8062" spans="1:2" x14ac:dyDescent="0.25">
      <c r="A8062"/>
      <c r="B8062"/>
    </row>
    <row r="8063" spans="1:2" x14ac:dyDescent="0.25">
      <c r="A8063"/>
      <c r="B8063"/>
    </row>
    <row r="8064" spans="1:2" x14ac:dyDescent="0.25">
      <c r="A8064"/>
      <c r="B8064"/>
    </row>
    <row r="8065" spans="1:2" x14ac:dyDescent="0.25">
      <c r="A8065"/>
      <c r="B8065"/>
    </row>
    <row r="8066" spans="1:2" x14ac:dyDescent="0.25">
      <c r="A8066"/>
      <c r="B8066"/>
    </row>
    <row r="8067" spans="1:2" x14ac:dyDescent="0.25">
      <c r="A8067"/>
      <c r="B8067"/>
    </row>
    <row r="8068" spans="1:2" x14ac:dyDescent="0.25">
      <c r="A8068"/>
      <c r="B8068"/>
    </row>
    <row r="8069" spans="1:2" x14ac:dyDescent="0.25">
      <c r="A8069"/>
      <c r="B8069"/>
    </row>
    <row r="8070" spans="1:2" x14ac:dyDescent="0.25">
      <c r="A8070"/>
      <c r="B8070"/>
    </row>
    <row r="8071" spans="1:2" x14ac:dyDescent="0.25">
      <c r="A8071"/>
      <c r="B8071"/>
    </row>
    <row r="8072" spans="1:2" x14ac:dyDescent="0.25">
      <c r="A8072"/>
      <c r="B8072"/>
    </row>
    <row r="8073" spans="1:2" x14ac:dyDescent="0.25">
      <c r="A8073"/>
      <c r="B8073"/>
    </row>
    <row r="8074" spans="1:2" x14ac:dyDescent="0.25">
      <c r="A8074"/>
      <c r="B8074"/>
    </row>
    <row r="8075" spans="1:2" x14ac:dyDescent="0.25">
      <c r="A8075"/>
      <c r="B8075"/>
    </row>
    <row r="8076" spans="1:2" x14ac:dyDescent="0.25">
      <c r="A8076"/>
      <c r="B8076"/>
    </row>
    <row r="8077" spans="1:2" x14ac:dyDescent="0.25">
      <c r="A8077"/>
      <c r="B8077"/>
    </row>
    <row r="8078" spans="1:2" x14ac:dyDescent="0.25">
      <c r="A8078"/>
      <c r="B8078"/>
    </row>
    <row r="8079" spans="1:2" x14ac:dyDescent="0.25">
      <c r="A8079"/>
      <c r="B8079"/>
    </row>
    <row r="8080" spans="1:2" x14ac:dyDescent="0.25">
      <c r="A8080"/>
      <c r="B8080"/>
    </row>
    <row r="8081" spans="1:2" x14ac:dyDescent="0.25">
      <c r="A8081"/>
      <c r="B8081"/>
    </row>
    <row r="8082" spans="1:2" x14ac:dyDescent="0.25">
      <c r="A8082"/>
      <c r="B8082"/>
    </row>
    <row r="8083" spans="1:2" x14ac:dyDescent="0.25">
      <c r="A8083"/>
      <c r="B8083"/>
    </row>
    <row r="8084" spans="1:2" x14ac:dyDescent="0.25">
      <c r="A8084"/>
      <c r="B8084"/>
    </row>
    <row r="8085" spans="1:2" x14ac:dyDescent="0.25">
      <c r="A8085"/>
      <c r="B8085"/>
    </row>
    <row r="8086" spans="1:2" x14ac:dyDescent="0.25">
      <c r="A8086"/>
      <c r="B8086"/>
    </row>
    <row r="8087" spans="1:2" x14ac:dyDescent="0.25">
      <c r="A8087"/>
      <c r="B8087"/>
    </row>
    <row r="8088" spans="1:2" x14ac:dyDescent="0.25">
      <c r="A8088"/>
      <c r="B8088"/>
    </row>
    <row r="8089" spans="1:2" x14ac:dyDescent="0.25">
      <c r="A8089"/>
      <c r="B8089"/>
    </row>
    <row r="8090" spans="1:2" x14ac:dyDescent="0.25">
      <c r="A8090"/>
      <c r="B8090"/>
    </row>
    <row r="8091" spans="1:2" x14ac:dyDescent="0.25">
      <c r="A8091"/>
      <c r="B8091"/>
    </row>
    <row r="8092" spans="1:2" x14ac:dyDescent="0.25">
      <c r="A8092"/>
      <c r="B8092"/>
    </row>
    <row r="8093" spans="1:2" x14ac:dyDescent="0.25">
      <c r="A8093"/>
      <c r="B8093"/>
    </row>
    <row r="8094" spans="1:2" x14ac:dyDescent="0.25">
      <c r="A8094"/>
      <c r="B8094"/>
    </row>
    <row r="8095" spans="1:2" x14ac:dyDescent="0.25">
      <c r="A8095"/>
      <c r="B8095"/>
    </row>
    <row r="8096" spans="1:2" x14ac:dyDescent="0.25">
      <c r="A8096"/>
      <c r="B8096"/>
    </row>
    <row r="8097" spans="1:2" x14ac:dyDescent="0.25">
      <c r="A8097"/>
      <c r="B8097"/>
    </row>
    <row r="8098" spans="1:2" x14ac:dyDescent="0.25">
      <c r="A8098"/>
      <c r="B8098"/>
    </row>
    <row r="8099" spans="1:2" x14ac:dyDescent="0.25">
      <c r="A8099"/>
      <c r="B8099"/>
    </row>
    <row r="8100" spans="1:2" x14ac:dyDescent="0.25">
      <c r="A8100"/>
      <c r="B8100"/>
    </row>
    <row r="8101" spans="1:2" x14ac:dyDescent="0.25">
      <c r="A8101"/>
      <c r="B8101"/>
    </row>
    <row r="8102" spans="1:2" x14ac:dyDescent="0.25">
      <c r="A8102"/>
      <c r="B8102"/>
    </row>
    <row r="8103" spans="1:2" x14ac:dyDescent="0.25">
      <c r="A8103"/>
      <c r="B8103"/>
    </row>
    <row r="8104" spans="1:2" x14ac:dyDescent="0.25">
      <c r="A8104"/>
      <c r="B8104"/>
    </row>
    <row r="8105" spans="1:2" x14ac:dyDescent="0.25">
      <c r="A8105"/>
      <c r="B8105"/>
    </row>
    <row r="8106" spans="1:2" x14ac:dyDescent="0.25">
      <c r="A8106"/>
      <c r="B8106"/>
    </row>
    <row r="8107" spans="1:2" x14ac:dyDescent="0.25">
      <c r="A8107"/>
      <c r="B8107"/>
    </row>
    <row r="8108" spans="1:2" x14ac:dyDescent="0.25">
      <c r="A8108"/>
      <c r="B8108"/>
    </row>
    <row r="8109" spans="1:2" x14ac:dyDescent="0.25">
      <c r="A8109"/>
      <c r="B8109"/>
    </row>
    <row r="8110" spans="1:2" x14ac:dyDescent="0.25">
      <c r="A8110"/>
      <c r="B8110"/>
    </row>
    <row r="8111" spans="1:2" x14ac:dyDescent="0.25">
      <c r="A8111"/>
      <c r="B8111"/>
    </row>
    <row r="8112" spans="1:2" x14ac:dyDescent="0.25">
      <c r="A8112"/>
      <c r="B8112"/>
    </row>
    <row r="8113" spans="1:2" x14ac:dyDescent="0.25">
      <c r="A8113"/>
      <c r="B8113"/>
    </row>
    <row r="8114" spans="1:2" x14ac:dyDescent="0.25">
      <c r="A8114"/>
      <c r="B8114"/>
    </row>
    <row r="8115" spans="1:2" x14ac:dyDescent="0.25">
      <c r="A8115"/>
      <c r="B8115"/>
    </row>
    <row r="8116" spans="1:2" x14ac:dyDescent="0.25">
      <c r="A8116"/>
      <c r="B8116"/>
    </row>
    <row r="8117" spans="1:2" x14ac:dyDescent="0.25">
      <c r="A8117"/>
      <c r="B8117"/>
    </row>
    <row r="8118" spans="1:2" x14ac:dyDescent="0.25">
      <c r="A8118"/>
      <c r="B8118"/>
    </row>
    <row r="8119" spans="1:2" x14ac:dyDescent="0.25">
      <c r="A8119"/>
      <c r="B8119"/>
    </row>
    <row r="8120" spans="1:2" x14ac:dyDescent="0.25">
      <c r="A8120"/>
      <c r="B8120"/>
    </row>
    <row r="8121" spans="1:2" x14ac:dyDescent="0.25">
      <c r="A8121"/>
      <c r="B8121"/>
    </row>
    <row r="8122" spans="1:2" x14ac:dyDescent="0.25">
      <c r="A8122"/>
      <c r="B8122"/>
    </row>
    <row r="8123" spans="1:2" x14ac:dyDescent="0.25">
      <c r="A8123"/>
      <c r="B8123"/>
    </row>
    <row r="8124" spans="1:2" x14ac:dyDescent="0.25">
      <c r="A8124"/>
      <c r="B8124"/>
    </row>
    <row r="8125" spans="1:2" x14ac:dyDescent="0.25">
      <c r="A8125"/>
      <c r="B8125"/>
    </row>
    <row r="8126" spans="1:2" x14ac:dyDescent="0.25">
      <c r="A8126"/>
      <c r="B8126"/>
    </row>
    <row r="8127" spans="1:2" x14ac:dyDescent="0.25">
      <c r="A8127"/>
      <c r="B8127"/>
    </row>
    <row r="8128" spans="1:2" x14ac:dyDescent="0.25">
      <c r="A8128"/>
      <c r="B8128"/>
    </row>
    <row r="8129" spans="1:2" x14ac:dyDescent="0.25">
      <c r="A8129"/>
      <c r="B8129"/>
    </row>
    <row r="8130" spans="1:2" x14ac:dyDescent="0.25">
      <c r="A8130"/>
      <c r="B8130"/>
    </row>
    <row r="8131" spans="1:2" x14ac:dyDescent="0.25">
      <c r="A8131"/>
      <c r="B8131"/>
    </row>
    <row r="8132" spans="1:2" x14ac:dyDescent="0.25">
      <c r="A8132"/>
      <c r="B8132"/>
    </row>
    <row r="8133" spans="1:2" x14ac:dyDescent="0.25">
      <c r="A8133"/>
      <c r="B8133"/>
    </row>
    <row r="8134" spans="1:2" x14ac:dyDescent="0.25">
      <c r="A8134"/>
      <c r="B8134"/>
    </row>
    <row r="8135" spans="1:2" x14ac:dyDescent="0.25">
      <c r="A8135"/>
      <c r="B8135"/>
    </row>
    <row r="8136" spans="1:2" x14ac:dyDescent="0.25">
      <c r="A8136"/>
      <c r="B8136"/>
    </row>
    <row r="8137" spans="1:2" x14ac:dyDescent="0.25">
      <c r="A8137"/>
      <c r="B8137"/>
    </row>
    <row r="8138" spans="1:2" x14ac:dyDescent="0.25">
      <c r="A8138"/>
      <c r="B8138"/>
    </row>
    <row r="8139" spans="1:2" x14ac:dyDescent="0.25">
      <c r="A8139"/>
      <c r="B8139"/>
    </row>
    <row r="8140" spans="1:2" x14ac:dyDescent="0.25">
      <c r="A8140"/>
      <c r="B8140"/>
    </row>
    <row r="8141" spans="1:2" x14ac:dyDescent="0.25">
      <c r="A8141"/>
      <c r="B8141"/>
    </row>
    <row r="8142" spans="1:2" x14ac:dyDescent="0.25">
      <c r="A8142"/>
      <c r="B8142"/>
    </row>
    <row r="8143" spans="1:2" x14ac:dyDescent="0.25">
      <c r="A8143"/>
      <c r="B8143"/>
    </row>
    <row r="8144" spans="1:2" x14ac:dyDescent="0.25">
      <c r="A8144"/>
      <c r="B8144"/>
    </row>
    <row r="8145" spans="1:2" x14ac:dyDescent="0.25">
      <c r="A8145"/>
      <c r="B8145"/>
    </row>
    <row r="8146" spans="1:2" x14ac:dyDescent="0.25">
      <c r="A8146"/>
      <c r="B8146"/>
    </row>
    <row r="8147" spans="1:2" x14ac:dyDescent="0.25">
      <c r="A8147"/>
      <c r="B8147"/>
    </row>
    <row r="8148" spans="1:2" x14ac:dyDescent="0.25">
      <c r="A8148"/>
      <c r="B8148"/>
    </row>
    <row r="8149" spans="1:2" x14ac:dyDescent="0.25">
      <c r="A8149"/>
      <c r="B8149"/>
    </row>
    <row r="8150" spans="1:2" x14ac:dyDescent="0.25">
      <c r="A8150"/>
      <c r="B8150"/>
    </row>
    <row r="8151" spans="1:2" x14ac:dyDescent="0.25">
      <c r="A8151"/>
      <c r="B8151"/>
    </row>
    <row r="8152" spans="1:2" x14ac:dyDescent="0.25">
      <c r="A8152"/>
      <c r="B8152"/>
    </row>
    <row r="8153" spans="1:2" x14ac:dyDescent="0.25">
      <c r="A8153"/>
      <c r="B8153"/>
    </row>
    <row r="8154" spans="1:2" x14ac:dyDescent="0.25">
      <c r="A8154"/>
      <c r="B8154"/>
    </row>
    <row r="8155" spans="1:2" x14ac:dyDescent="0.25">
      <c r="A8155"/>
      <c r="B8155"/>
    </row>
    <row r="8156" spans="1:2" x14ac:dyDescent="0.25">
      <c r="A8156"/>
      <c r="B8156"/>
    </row>
    <row r="8157" spans="1:2" x14ac:dyDescent="0.25">
      <c r="A8157"/>
      <c r="B8157"/>
    </row>
    <row r="8158" spans="1:2" x14ac:dyDescent="0.25">
      <c r="A8158"/>
      <c r="B8158"/>
    </row>
    <row r="8159" spans="1:2" x14ac:dyDescent="0.25">
      <c r="A8159"/>
      <c r="B8159"/>
    </row>
    <row r="8160" spans="1:2" x14ac:dyDescent="0.25">
      <c r="A8160"/>
      <c r="B8160"/>
    </row>
    <row r="8161" spans="1:2" x14ac:dyDescent="0.25">
      <c r="A8161"/>
      <c r="B8161"/>
    </row>
    <row r="8162" spans="1:2" x14ac:dyDescent="0.25">
      <c r="A8162"/>
      <c r="B8162"/>
    </row>
    <row r="8163" spans="1:2" x14ac:dyDescent="0.25">
      <c r="A8163"/>
      <c r="B8163"/>
    </row>
    <row r="8164" spans="1:2" x14ac:dyDescent="0.25">
      <c r="A8164"/>
      <c r="B8164"/>
    </row>
    <row r="8165" spans="1:2" x14ac:dyDescent="0.25">
      <c r="A8165"/>
      <c r="B8165"/>
    </row>
    <row r="8166" spans="1:2" x14ac:dyDescent="0.25">
      <c r="A8166"/>
      <c r="B8166"/>
    </row>
    <row r="8167" spans="1:2" x14ac:dyDescent="0.25">
      <c r="A8167"/>
      <c r="B8167"/>
    </row>
    <row r="8168" spans="1:2" x14ac:dyDescent="0.25">
      <c r="A8168"/>
      <c r="B8168"/>
    </row>
    <row r="8169" spans="1:2" x14ac:dyDescent="0.25">
      <c r="A8169"/>
      <c r="B8169"/>
    </row>
    <row r="8170" spans="1:2" x14ac:dyDescent="0.25">
      <c r="A8170"/>
      <c r="B8170"/>
    </row>
    <row r="8171" spans="1:2" x14ac:dyDescent="0.25">
      <c r="A8171"/>
      <c r="B8171"/>
    </row>
    <row r="8172" spans="1:2" x14ac:dyDescent="0.25">
      <c r="A8172"/>
      <c r="B8172"/>
    </row>
    <row r="8173" spans="1:2" x14ac:dyDescent="0.25">
      <c r="A8173"/>
      <c r="B8173"/>
    </row>
    <row r="8174" spans="1:2" x14ac:dyDescent="0.25">
      <c r="A8174"/>
      <c r="B8174"/>
    </row>
    <row r="8175" spans="1:2" x14ac:dyDescent="0.25">
      <c r="A8175"/>
      <c r="B8175"/>
    </row>
    <row r="8176" spans="1:2" x14ac:dyDescent="0.25">
      <c r="A8176"/>
      <c r="B8176"/>
    </row>
    <row r="8177" spans="1:2" x14ac:dyDescent="0.25">
      <c r="A8177"/>
      <c r="B8177"/>
    </row>
    <row r="8178" spans="1:2" x14ac:dyDescent="0.25">
      <c r="A8178"/>
      <c r="B8178"/>
    </row>
    <row r="8179" spans="1:2" x14ac:dyDescent="0.25">
      <c r="A8179"/>
      <c r="B8179"/>
    </row>
    <row r="8180" spans="1:2" x14ac:dyDescent="0.25">
      <c r="A8180"/>
      <c r="B8180"/>
    </row>
    <row r="8181" spans="1:2" x14ac:dyDescent="0.25">
      <c r="A8181"/>
      <c r="B8181"/>
    </row>
    <row r="8182" spans="1:2" x14ac:dyDescent="0.25">
      <c r="A8182"/>
      <c r="B8182"/>
    </row>
    <row r="8183" spans="1:2" x14ac:dyDescent="0.25">
      <c r="A8183"/>
      <c r="B8183"/>
    </row>
    <row r="8184" spans="1:2" x14ac:dyDescent="0.25">
      <c r="A8184"/>
      <c r="B8184"/>
    </row>
    <row r="8185" spans="1:2" x14ac:dyDescent="0.25">
      <c r="A8185"/>
      <c r="B8185"/>
    </row>
    <row r="8186" spans="1:2" x14ac:dyDescent="0.25">
      <c r="A8186"/>
      <c r="B8186"/>
    </row>
    <row r="8187" spans="1:2" x14ac:dyDescent="0.25">
      <c r="A8187"/>
      <c r="B8187"/>
    </row>
    <row r="8188" spans="1:2" x14ac:dyDescent="0.25">
      <c r="A8188"/>
      <c r="B8188"/>
    </row>
    <row r="8189" spans="1:2" x14ac:dyDescent="0.25">
      <c r="A8189"/>
      <c r="B8189"/>
    </row>
    <row r="8190" spans="1:2" x14ac:dyDescent="0.25">
      <c r="A8190"/>
      <c r="B8190"/>
    </row>
    <row r="8191" spans="1:2" x14ac:dyDescent="0.25">
      <c r="A8191"/>
      <c r="B8191"/>
    </row>
    <row r="8192" spans="1:2" x14ac:dyDescent="0.25">
      <c r="A8192"/>
      <c r="B8192"/>
    </row>
    <row r="8193" spans="1:2" x14ac:dyDescent="0.25">
      <c r="A8193"/>
      <c r="B8193"/>
    </row>
    <row r="8194" spans="1:2" x14ac:dyDescent="0.25">
      <c r="A8194"/>
      <c r="B8194"/>
    </row>
    <row r="8195" spans="1:2" x14ac:dyDescent="0.25">
      <c r="A8195"/>
      <c r="B8195"/>
    </row>
    <row r="8196" spans="1:2" x14ac:dyDescent="0.25">
      <c r="A8196"/>
      <c r="B8196"/>
    </row>
    <row r="8197" spans="1:2" x14ac:dyDescent="0.25">
      <c r="A8197"/>
      <c r="B8197"/>
    </row>
    <row r="8198" spans="1:2" x14ac:dyDescent="0.25">
      <c r="A8198"/>
      <c r="B8198"/>
    </row>
    <row r="8199" spans="1:2" x14ac:dyDescent="0.25">
      <c r="A8199"/>
      <c r="B8199"/>
    </row>
    <row r="8200" spans="1:2" x14ac:dyDescent="0.25">
      <c r="A8200"/>
      <c r="B8200"/>
    </row>
    <row r="8201" spans="1:2" x14ac:dyDescent="0.25">
      <c r="A8201"/>
      <c r="B8201"/>
    </row>
    <row r="8202" spans="1:2" x14ac:dyDescent="0.25">
      <c r="A8202"/>
      <c r="B8202"/>
    </row>
    <row r="8203" spans="1:2" x14ac:dyDescent="0.25">
      <c r="A8203"/>
      <c r="B8203"/>
    </row>
    <row r="8204" spans="1:2" x14ac:dyDescent="0.25">
      <c r="A8204"/>
      <c r="B8204"/>
    </row>
    <row r="8205" spans="1:2" x14ac:dyDescent="0.25">
      <c r="A8205"/>
      <c r="B8205"/>
    </row>
    <row r="8206" spans="1:2" x14ac:dyDescent="0.25">
      <c r="A8206"/>
      <c r="B8206"/>
    </row>
    <row r="8207" spans="1:2" x14ac:dyDescent="0.25">
      <c r="A8207"/>
      <c r="B8207"/>
    </row>
    <row r="8208" spans="1:2" x14ac:dyDescent="0.25">
      <c r="A8208"/>
      <c r="B8208"/>
    </row>
    <row r="8209" spans="1:2" x14ac:dyDescent="0.25">
      <c r="A8209"/>
      <c r="B8209"/>
    </row>
    <row r="8210" spans="1:2" x14ac:dyDescent="0.25">
      <c r="A8210"/>
      <c r="B8210"/>
    </row>
    <row r="8211" spans="1:2" x14ac:dyDescent="0.25">
      <c r="A8211"/>
      <c r="B8211"/>
    </row>
    <row r="8212" spans="1:2" x14ac:dyDescent="0.25">
      <c r="A8212"/>
      <c r="B8212"/>
    </row>
    <row r="8213" spans="1:2" x14ac:dyDescent="0.25">
      <c r="A8213"/>
      <c r="B8213"/>
    </row>
    <row r="8214" spans="1:2" x14ac:dyDescent="0.25">
      <c r="A8214"/>
      <c r="B8214"/>
    </row>
    <row r="8215" spans="1:2" x14ac:dyDescent="0.25">
      <c r="A8215"/>
      <c r="B8215"/>
    </row>
    <row r="8216" spans="1:2" x14ac:dyDescent="0.25">
      <c r="A8216"/>
      <c r="B8216"/>
    </row>
    <row r="8217" spans="1:2" x14ac:dyDescent="0.25">
      <c r="A8217"/>
      <c r="B8217"/>
    </row>
    <row r="8218" spans="1:2" x14ac:dyDescent="0.25">
      <c r="A8218"/>
      <c r="B8218"/>
    </row>
    <row r="8219" spans="1:2" x14ac:dyDescent="0.25">
      <c r="A8219"/>
      <c r="B8219"/>
    </row>
    <row r="8220" spans="1:2" x14ac:dyDescent="0.25">
      <c r="A8220"/>
      <c r="B8220"/>
    </row>
    <row r="8221" spans="1:2" x14ac:dyDescent="0.25">
      <c r="A8221"/>
      <c r="B8221"/>
    </row>
    <row r="8222" spans="1:2" x14ac:dyDescent="0.25">
      <c r="A8222"/>
      <c r="B8222"/>
    </row>
    <row r="8223" spans="1:2" x14ac:dyDescent="0.25">
      <c r="A8223"/>
      <c r="B8223"/>
    </row>
    <row r="8224" spans="1:2" x14ac:dyDescent="0.25">
      <c r="A8224"/>
      <c r="B8224"/>
    </row>
    <row r="8225" spans="1:2" x14ac:dyDescent="0.25">
      <c r="A8225"/>
      <c r="B8225"/>
    </row>
    <row r="8226" spans="1:2" x14ac:dyDescent="0.25">
      <c r="A8226"/>
      <c r="B8226"/>
    </row>
    <row r="8227" spans="1:2" x14ac:dyDescent="0.25">
      <c r="A8227"/>
      <c r="B8227"/>
    </row>
    <row r="8228" spans="1:2" x14ac:dyDescent="0.25">
      <c r="A8228"/>
      <c r="B8228"/>
    </row>
    <row r="8229" spans="1:2" x14ac:dyDescent="0.25">
      <c r="A8229"/>
      <c r="B8229"/>
    </row>
    <row r="8230" spans="1:2" x14ac:dyDescent="0.25">
      <c r="A8230"/>
      <c r="B8230"/>
    </row>
    <row r="8231" spans="1:2" x14ac:dyDescent="0.25">
      <c r="A8231"/>
      <c r="B8231"/>
    </row>
    <row r="8232" spans="1:2" x14ac:dyDescent="0.25">
      <c r="A8232"/>
      <c r="B8232"/>
    </row>
    <row r="8233" spans="1:2" x14ac:dyDescent="0.25">
      <c r="A8233"/>
      <c r="B8233"/>
    </row>
    <row r="8234" spans="1:2" x14ac:dyDescent="0.25">
      <c r="A8234"/>
      <c r="B8234"/>
    </row>
    <row r="8235" spans="1:2" x14ac:dyDescent="0.25">
      <c r="A8235"/>
      <c r="B8235"/>
    </row>
    <row r="8236" spans="1:2" x14ac:dyDescent="0.25">
      <c r="A8236"/>
      <c r="B8236"/>
    </row>
    <row r="8237" spans="1:2" x14ac:dyDescent="0.25">
      <c r="A8237"/>
      <c r="B8237"/>
    </row>
    <row r="8238" spans="1:2" x14ac:dyDescent="0.25">
      <c r="A8238"/>
      <c r="B8238"/>
    </row>
    <row r="8239" spans="1:2" x14ac:dyDescent="0.25">
      <c r="A8239"/>
      <c r="B8239"/>
    </row>
    <row r="8240" spans="1:2" x14ac:dyDescent="0.25">
      <c r="A8240"/>
      <c r="B8240"/>
    </row>
    <row r="8241" spans="1:2" x14ac:dyDescent="0.25">
      <c r="A8241"/>
      <c r="B8241"/>
    </row>
    <row r="8242" spans="1:2" x14ac:dyDescent="0.25">
      <c r="A8242"/>
      <c r="B8242"/>
    </row>
    <row r="8243" spans="1:2" x14ac:dyDescent="0.25">
      <c r="A8243"/>
      <c r="B8243"/>
    </row>
    <row r="8244" spans="1:2" x14ac:dyDescent="0.25">
      <c r="A8244"/>
      <c r="B8244"/>
    </row>
    <row r="8245" spans="1:2" x14ac:dyDescent="0.25">
      <c r="A8245"/>
      <c r="B8245"/>
    </row>
    <row r="8246" spans="1:2" x14ac:dyDescent="0.25">
      <c r="A8246"/>
      <c r="B8246"/>
    </row>
    <row r="8247" spans="1:2" x14ac:dyDescent="0.25">
      <c r="A8247"/>
      <c r="B8247"/>
    </row>
    <row r="8248" spans="1:2" x14ac:dyDescent="0.25">
      <c r="A8248"/>
      <c r="B8248"/>
    </row>
    <row r="8249" spans="1:2" x14ac:dyDescent="0.25">
      <c r="A8249"/>
      <c r="B8249"/>
    </row>
    <row r="8250" spans="1:2" x14ac:dyDescent="0.25">
      <c r="A8250"/>
      <c r="B8250"/>
    </row>
    <row r="8251" spans="1:2" x14ac:dyDescent="0.25">
      <c r="A8251"/>
      <c r="B8251"/>
    </row>
    <row r="8252" spans="1:2" x14ac:dyDescent="0.25">
      <c r="A8252"/>
      <c r="B8252"/>
    </row>
    <row r="8253" spans="1:2" x14ac:dyDescent="0.25">
      <c r="A8253"/>
      <c r="B8253"/>
    </row>
    <row r="8254" spans="1:2" x14ac:dyDescent="0.25">
      <c r="A8254"/>
      <c r="B8254"/>
    </row>
    <row r="8255" spans="1:2" x14ac:dyDescent="0.25">
      <c r="A8255"/>
      <c r="B8255"/>
    </row>
    <row r="8256" spans="1:2" x14ac:dyDescent="0.25">
      <c r="A8256"/>
      <c r="B8256"/>
    </row>
    <row r="8257" spans="1:2" x14ac:dyDescent="0.25">
      <c r="A8257"/>
      <c r="B8257"/>
    </row>
    <row r="8258" spans="1:2" x14ac:dyDescent="0.25">
      <c r="A8258"/>
      <c r="B8258"/>
    </row>
    <row r="8259" spans="1:2" x14ac:dyDescent="0.25">
      <c r="A8259"/>
      <c r="B8259"/>
    </row>
    <row r="8260" spans="1:2" x14ac:dyDescent="0.25">
      <c r="A8260"/>
      <c r="B8260"/>
    </row>
    <row r="8261" spans="1:2" x14ac:dyDescent="0.25">
      <c r="A8261"/>
      <c r="B8261"/>
    </row>
    <row r="8262" spans="1:2" x14ac:dyDescent="0.25">
      <c r="A8262"/>
      <c r="B8262"/>
    </row>
    <row r="8263" spans="1:2" x14ac:dyDescent="0.25">
      <c r="A8263"/>
      <c r="B8263"/>
    </row>
    <row r="8264" spans="1:2" x14ac:dyDescent="0.25">
      <c r="A8264"/>
      <c r="B8264"/>
    </row>
    <row r="8265" spans="1:2" x14ac:dyDescent="0.25">
      <c r="A8265"/>
      <c r="B8265"/>
    </row>
    <row r="8266" spans="1:2" x14ac:dyDescent="0.25">
      <c r="A8266"/>
      <c r="B8266"/>
    </row>
    <row r="8267" spans="1:2" x14ac:dyDescent="0.25">
      <c r="A8267"/>
      <c r="B8267"/>
    </row>
    <row r="8268" spans="1:2" x14ac:dyDescent="0.25">
      <c r="A8268"/>
      <c r="B8268"/>
    </row>
    <row r="8269" spans="1:2" x14ac:dyDescent="0.25">
      <c r="A8269"/>
      <c r="B8269"/>
    </row>
    <row r="8270" spans="1:2" x14ac:dyDescent="0.25">
      <c r="A8270"/>
      <c r="B8270"/>
    </row>
    <row r="8271" spans="1:2" x14ac:dyDescent="0.25">
      <c r="A8271"/>
      <c r="B8271"/>
    </row>
    <row r="8272" spans="1:2" x14ac:dyDescent="0.25">
      <c r="A8272"/>
      <c r="B8272"/>
    </row>
    <row r="8273" spans="1:2" x14ac:dyDescent="0.25">
      <c r="A8273"/>
      <c r="B8273"/>
    </row>
    <row r="8274" spans="1:2" x14ac:dyDescent="0.25">
      <c r="A8274"/>
      <c r="B8274"/>
    </row>
    <row r="8275" spans="1:2" x14ac:dyDescent="0.25">
      <c r="A8275"/>
      <c r="B8275"/>
    </row>
    <row r="8276" spans="1:2" x14ac:dyDescent="0.25">
      <c r="A8276"/>
      <c r="B8276"/>
    </row>
    <row r="8277" spans="1:2" x14ac:dyDescent="0.25">
      <c r="A8277"/>
      <c r="B8277"/>
    </row>
    <row r="8278" spans="1:2" x14ac:dyDescent="0.25">
      <c r="A8278"/>
      <c r="B8278"/>
    </row>
    <row r="8279" spans="1:2" x14ac:dyDescent="0.25">
      <c r="A8279"/>
      <c r="B8279"/>
    </row>
    <row r="8280" spans="1:2" x14ac:dyDescent="0.25">
      <c r="A8280"/>
      <c r="B8280"/>
    </row>
    <row r="8281" spans="1:2" x14ac:dyDescent="0.25">
      <c r="A8281"/>
      <c r="B8281"/>
    </row>
    <row r="8282" spans="1:2" x14ac:dyDescent="0.25">
      <c r="A8282"/>
      <c r="B8282"/>
    </row>
    <row r="8283" spans="1:2" x14ac:dyDescent="0.25">
      <c r="A8283"/>
      <c r="B8283"/>
    </row>
    <row r="8284" spans="1:2" x14ac:dyDescent="0.25">
      <c r="A8284"/>
      <c r="B8284"/>
    </row>
    <row r="8285" spans="1:2" x14ac:dyDescent="0.25">
      <c r="A8285"/>
      <c r="B8285"/>
    </row>
    <row r="8286" spans="1:2" x14ac:dyDescent="0.25">
      <c r="A8286"/>
      <c r="B8286"/>
    </row>
    <row r="8287" spans="1:2" x14ac:dyDescent="0.25">
      <c r="A8287"/>
      <c r="B8287"/>
    </row>
    <row r="8288" spans="1:2" x14ac:dyDescent="0.25">
      <c r="A8288"/>
      <c r="B8288"/>
    </row>
    <row r="8289" spans="1:2" x14ac:dyDescent="0.25">
      <c r="A8289"/>
      <c r="B8289"/>
    </row>
    <row r="8290" spans="1:2" x14ac:dyDescent="0.25">
      <c r="A8290"/>
      <c r="B8290"/>
    </row>
    <row r="8291" spans="1:2" x14ac:dyDescent="0.25">
      <c r="A8291"/>
      <c r="B8291"/>
    </row>
    <row r="8292" spans="1:2" x14ac:dyDescent="0.25">
      <c r="A8292"/>
      <c r="B8292"/>
    </row>
    <row r="8293" spans="1:2" x14ac:dyDescent="0.25">
      <c r="A8293"/>
      <c r="B8293"/>
    </row>
    <row r="8294" spans="1:2" x14ac:dyDescent="0.25">
      <c r="A8294"/>
      <c r="B8294"/>
    </row>
    <row r="8295" spans="1:2" x14ac:dyDescent="0.25">
      <c r="A8295"/>
      <c r="B8295"/>
    </row>
    <row r="8296" spans="1:2" x14ac:dyDescent="0.25">
      <c r="A8296"/>
      <c r="B8296"/>
    </row>
    <row r="8297" spans="1:2" x14ac:dyDescent="0.25">
      <c r="A8297"/>
      <c r="B8297"/>
    </row>
    <row r="8298" spans="1:2" x14ac:dyDescent="0.25">
      <c r="A8298"/>
      <c r="B8298"/>
    </row>
    <row r="8299" spans="1:2" x14ac:dyDescent="0.25">
      <c r="A8299"/>
      <c r="B8299"/>
    </row>
    <row r="8300" spans="1:2" x14ac:dyDescent="0.25">
      <c r="A8300"/>
      <c r="B8300"/>
    </row>
    <row r="8301" spans="1:2" x14ac:dyDescent="0.25">
      <c r="A8301"/>
      <c r="B8301"/>
    </row>
    <row r="8302" spans="1:2" x14ac:dyDescent="0.25">
      <c r="A8302"/>
      <c r="B8302"/>
    </row>
    <row r="8303" spans="1:2" x14ac:dyDescent="0.25">
      <c r="A8303"/>
      <c r="B8303"/>
    </row>
    <row r="8304" spans="1:2" x14ac:dyDescent="0.25">
      <c r="A8304"/>
      <c r="B8304"/>
    </row>
    <row r="8305" spans="1:2" x14ac:dyDescent="0.25">
      <c r="A8305"/>
      <c r="B8305"/>
    </row>
    <row r="8306" spans="1:2" x14ac:dyDescent="0.25">
      <c r="A8306"/>
      <c r="B8306"/>
    </row>
    <row r="8307" spans="1:2" x14ac:dyDescent="0.25">
      <c r="A8307"/>
      <c r="B8307"/>
    </row>
    <row r="8308" spans="1:2" x14ac:dyDescent="0.25">
      <c r="A8308"/>
      <c r="B8308"/>
    </row>
    <row r="8309" spans="1:2" x14ac:dyDescent="0.25">
      <c r="A8309"/>
      <c r="B8309"/>
    </row>
    <row r="8310" spans="1:2" x14ac:dyDescent="0.25">
      <c r="A8310"/>
      <c r="B8310"/>
    </row>
    <row r="8311" spans="1:2" x14ac:dyDescent="0.25">
      <c r="A8311"/>
      <c r="B8311"/>
    </row>
    <row r="8312" spans="1:2" x14ac:dyDescent="0.25">
      <c r="A8312"/>
      <c r="B8312"/>
    </row>
    <row r="8313" spans="1:2" x14ac:dyDescent="0.25">
      <c r="A8313"/>
      <c r="B8313"/>
    </row>
    <row r="8314" spans="1:2" x14ac:dyDescent="0.25">
      <c r="A8314"/>
      <c r="B8314"/>
    </row>
    <row r="8315" spans="1:2" x14ac:dyDescent="0.25">
      <c r="A8315"/>
      <c r="B8315"/>
    </row>
    <row r="8316" spans="1:2" x14ac:dyDescent="0.25">
      <c r="A8316"/>
      <c r="B8316"/>
    </row>
    <row r="8317" spans="1:2" x14ac:dyDescent="0.25">
      <c r="A8317"/>
      <c r="B8317"/>
    </row>
    <row r="8318" spans="1:2" x14ac:dyDescent="0.25">
      <c r="A8318"/>
      <c r="B8318"/>
    </row>
    <row r="8319" spans="1:2" x14ac:dyDescent="0.25">
      <c r="A8319"/>
      <c r="B8319"/>
    </row>
    <row r="8320" spans="1:2" x14ac:dyDescent="0.25">
      <c r="A8320"/>
      <c r="B8320"/>
    </row>
    <row r="8321" spans="1:2" x14ac:dyDescent="0.25">
      <c r="A8321"/>
      <c r="B8321"/>
    </row>
    <row r="8322" spans="1:2" x14ac:dyDescent="0.25">
      <c r="A8322"/>
      <c r="B8322"/>
    </row>
    <row r="8323" spans="1:2" x14ac:dyDescent="0.25">
      <c r="A8323"/>
      <c r="B8323"/>
    </row>
    <row r="8324" spans="1:2" x14ac:dyDescent="0.25">
      <c r="A8324"/>
      <c r="B8324"/>
    </row>
    <row r="8325" spans="1:2" x14ac:dyDescent="0.25">
      <c r="A8325"/>
      <c r="B8325"/>
    </row>
    <row r="8326" spans="1:2" x14ac:dyDescent="0.25">
      <c r="A8326"/>
      <c r="B8326"/>
    </row>
    <row r="8327" spans="1:2" x14ac:dyDescent="0.25">
      <c r="A8327"/>
      <c r="B8327"/>
    </row>
    <row r="8328" spans="1:2" x14ac:dyDescent="0.25">
      <c r="A8328"/>
      <c r="B8328"/>
    </row>
    <row r="8329" spans="1:2" x14ac:dyDescent="0.25">
      <c r="A8329"/>
      <c r="B8329"/>
    </row>
    <row r="8330" spans="1:2" x14ac:dyDescent="0.25">
      <c r="A8330"/>
      <c r="B8330"/>
    </row>
    <row r="8331" spans="1:2" x14ac:dyDescent="0.25">
      <c r="A8331"/>
      <c r="B8331"/>
    </row>
    <row r="8332" spans="1:2" x14ac:dyDescent="0.25">
      <c r="A8332"/>
      <c r="B8332"/>
    </row>
    <row r="8333" spans="1:2" x14ac:dyDescent="0.25">
      <c r="A8333"/>
      <c r="B8333"/>
    </row>
    <row r="8334" spans="1:2" x14ac:dyDescent="0.25">
      <c r="A8334"/>
      <c r="B8334"/>
    </row>
    <row r="8335" spans="1:2" x14ac:dyDescent="0.25">
      <c r="A8335"/>
      <c r="B8335"/>
    </row>
    <row r="8336" spans="1:2" x14ac:dyDescent="0.25">
      <c r="A8336"/>
      <c r="B8336"/>
    </row>
    <row r="8337" spans="1:2" x14ac:dyDescent="0.25">
      <c r="A8337"/>
      <c r="B8337"/>
    </row>
    <row r="8338" spans="1:2" x14ac:dyDescent="0.25">
      <c r="A8338"/>
      <c r="B8338"/>
    </row>
    <row r="8339" spans="1:2" x14ac:dyDescent="0.25">
      <c r="A8339"/>
      <c r="B8339"/>
    </row>
    <row r="8340" spans="1:2" x14ac:dyDescent="0.25">
      <c r="A8340"/>
      <c r="B8340"/>
    </row>
    <row r="8341" spans="1:2" x14ac:dyDescent="0.25">
      <c r="A8341"/>
      <c r="B8341"/>
    </row>
    <row r="8342" spans="1:2" x14ac:dyDescent="0.25">
      <c r="A8342"/>
      <c r="B8342"/>
    </row>
    <row r="8343" spans="1:2" x14ac:dyDescent="0.25">
      <c r="A8343"/>
      <c r="B8343"/>
    </row>
    <row r="8344" spans="1:2" x14ac:dyDescent="0.25">
      <c r="A8344"/>
      <c r="B8344"/>
    </row>
    <row r="8345" spans="1:2" x14ac:dyDescent="0.25">
      <c r="A8345"/>
      <c r="B8345"/>
    </row>
    <row r="8346" spans="1:2" x14ac:dyDescent="0.25">
      <c r="A8346"/>
      <c r="B8346"/>
    </row>
    <row r="8347" spans="1:2" x14ac:dyDescent="0.25">
      <c r="A8347"/>
      <c r="B8347"/>
    </row>
    <row r="8348" spans="1:2" x14ac:dyDescent="0.25">
      <c r="A8348"/>
      <c r="B8348"/>
    </row>
    <row r="8349" spans="1:2" x14ac:dyDescent="0.25">
      <c r="A8349"/>
      <c r="B8349"/>
    </row>
    <row r="8350" spans="1:2" x14ac:dyDescent="0.25">
      <c r="A8350"/>
      <c r="B8350"/>
    </row>
    <row r="8351" spans="1:2" x14ac:dyDescent="0.25">
      <c r="A8351"/>
      <c r="B8351"/>
    </row>
    <row r="8352" spans="1:2" x14ac:dyDescent="0.25">
      <c r="A8352"/>
      <c r="B8352"/>
    </row>
    <row r="8353" spans="1:2" x14ac:dyDescent="0.25">
      <c r="A8353"/>
      <c r="B8353"/>
    </row>
    <row r="8354" spans="1:2" x14ac:dyDescent="0.25">
      <c r="A8354"/>
      <c r="B8354"/>
    </row>
    <row r="8355" spans="1:2" x14ac:dyDescent="0.25">
      <c r="A8355"/>
      <c r="B8355"/>
    </row>
    <row r="8356" spans="1:2" x14ac:dyDescent="0.25">
      <c r="A8356"/>
      <c r="B8356"/>
    </row>
    <row r="8357" spans="1:2" x14ac:dyDescent="0.25">
      <c r="A8357"/>
      <c r="B8357"/>
    </row>
    <row r="8358" spans="1:2" x14ac:dyDescent="0.25">
      <c r="A8358"/>
      <c r="B8358"/>
    </row>
    <row r="8359" spans="1:2" x14ac:dyDescent="0.25">
      <c r="A8359"/>
      <c r="B8359"/>
    </row>
    <row r="8360" spans="1:2" x14ac:dyDescent="0.25">
      <c r="A8360"/>
      <c r="B8360"/>
    </row>
    <row r="8361" spans="1:2" x14ac:dyDescent="0.25">
      <c r="A8361"/>
      <c r="B8361"/>
    </row>
    <row r="8362" spans="1:2" x14ac:dyDescent="0.25">
      <c r="A8362"/>
      <c r="B8362"/>
    </row>
    <row r="8363" spans="1:2" x14ac:dyDescent="0.25">
      <c r="A8363"/>
      <c r="B8363"/>
    </row>
    <row r="8364" spans="1:2" x14ac:dyDescent="0.25">
      <c r="A8364"/>
      <c r="B8364"/>
    </row>
    <row r="8365" spans="1:2" x14ac:dyDescent="0.25">
      <c r="A8365"/>
      <c r="B8365"/>
    </row>
    <row r="8366" spans="1:2" x14ac:dyDescent="0.25">
      <c r="A8366"/>
      <c r="B8366"/>
    </row>
    <row r="8367" spans="1:2" x14ac:dyDescent="0.25">
      <c r="A8367"/>
      <c r="B8367"/>
    </row>
    <row r="8368" spans="1:2" x14ac:dyDescent="0.25">
      <c r="A8368"/>
      <c r="B8368"/>
    </row>
    <row r="8369" spans="1:2" x14ac:dyDescent="0.25">
      <c r="A8369"/>
      <c r="B8369"/>
    </row>
    <row r="8370" spans="1:2" x14ac:dyDescent="0.25">
      <c r="A8370"/>
      <c r="B8370"/>
    </row>
    <row r="8371" spans="1:2" x14ac:dyDescent="0.25">
      <c r="A8371"/>
      <c r="B8371"/>
    </row>
    <row r="8372" spans="1:2" x14ac:dyDescent="0.25">
      <c r="A8372"/>
      <c r="B8372"/>
    </row>
    <row r="8373" spans="1:2" x14ac:dyDescent="0.25">
      <c r="A8373"/>
      <c r="B8373"/>
    </row>
    <row r="8374" spans="1:2" x14ac:dyDescent="0.25">
      <c r="A8374"/>
      <c r="B8374"/>
    </row>
    <row r="8375" spans="1:2" x14ac:dyDescent="0.25">
      <c r="A8375"/>
      <c r="B8375"/>
    </row>
    <row r="8376" spans="1:2" x14ac:dyDescent="0.25">
      <c r="A8376"/>
      <c r="B8376"/>
    </row>
    <row r="8377" spans="1:2" x14ac:dyDescent="0.25">
      <c r="A8377"/>
      <c r="B8377"/>
    </row>
    <row r="8378" spans="1:2" x14ac:dyDescent="0.25">
      <c r="A8378"/>
      <c r="B8378"/>
    </row>
    <row r="8379" spans="1:2" x14ac:dyDescent="0.25">
      <c r="A8379"/>
      <c r="B8379"/>
    </row>
    <row r="8380" spans="1:2" x14ac:dyDescent="0.25">
      <c r="A8380"/>
      <c r="B8380"/>
    </row>
    <row r="8381" spans="1:2" x14ac:dyDescent="0.25">
      <c r="A8381"/>
      <c r="B8381"/>
    </row>
    <row r="8382" spans="1:2" x14ac:dyDescent="0.25">
      <c r="A8382"/>
      <c r="B8382"/>
    </row>
    <row r="8383" spans="1:2" x14ac:dyDescent="0.25">
      <c r="A8383"/>
      <c r="B8383"/>
    </row>
    <row r="8384" spans="1:2" x14ac:dyDescent="0.25">
      <c r="A8384"/>
      <c r="B8384"/>
    </row>
    <row r="8385" spans="1:2" x14ac:dyDescent="0.25">
      <c r="A8385"/>
      <c r="B8385"/>
    </row>
    <row r="8386" spans="1:2" x14ac:dyDescent="0.25">
      <c r="A8386"/>
      <c r="B8386"/>
    </row>
    <row r="8387" spans="1:2" x14ac:dyDescent="0.25">
      <c r="A8387"/>
      <c r="B8387"/>
    </row>
    <row r="8388" spans="1:2" x14ac:dyDescent="0.25">
      <c r="A8388"/>
      <c r="B8388"/>
    </row>
    <row r="8389" spans="1:2" x14ac:dyDescent="0.25">
      <c r="A8389"/>
      <c r="B8389"/>
    </row>
    <row r="8390" spans="1:2" x14ac:dyDescent="0.25">
      <c r="A8390"/>
      <c r="B8390"/>
    </row>
    <row r="8391" spans="1:2" x14ac:dyDescent="0.25">
      <c r="A8391"/>
      <c r="B8391"/>
    </row>
    <row r="8392" spans="1:2" x14ac:dyDescent="0.25">
      <c r="A8392"/>
      <c r="B8392"/>
    </row>
    <row r="8393" spans="1:2" x14ac:dyDescent="0.25">
      <c r="A8393"/>
      <c r="B8393"/>
    </row>
    <row r="8394" spans="1:2" x14ac:dyDescent="0.25">
      <c r="A8394"/>
      <c r="B8394"/>
    </row>
    <row r="8395" spans="1:2" x14ac:dyDescent="0.25">
      <c r="A8395"/>
      <c r="B8395"/>
    </row>
    <row r="8396" spans="1:2" x14ac:dyDescent="0.25">
      <c r="A8396"/>
      <c r="B8396"/>
    </row>
    <row r="8397" spans="1:2" x14ac:dyDescent="0.25">
      <c r="A8397"/>
      <c r="B8397"/>
    </row>
    <row r="8398" spans="1:2" x14ac:dyDescent="0.25">
      <c r="A8398"/>
      <c r="B8398"/>
    </row>
    <row r="8399" spans="1:2" x14ac:dyDescent="0.25">
      <c r="A8399"/>
      <c r="B8399"/>
    </row>
    <row r="8400" spans="1:2" x14ac:dyDescent="0.25">
      <c r="A8400"/>
      <c r="B8400"/>
    </row>
    <row r="8401" spans="1:2" x14ac:dyDescent="0.25">
      <c r="A8401"/>
      <c r="B8401"/>
    </row>
    <row r="8402" spans="1:2" x14ac:dyDescent="0.25">
      <c r="A8402"/>
      <c r="B8402"/>
    </row>
    <row r="8403" spans="1:2" x14ac:dyDescent="0.25">
      <c r="A8403"/>
      <c r="B8403"/>
    </row>
    <row r="8404" spans="1:2" x14ac:dyDescent="0.25">
      <c r="A8404"/>
      <c r="B8404"/>
    </row>
    <row r="8405" spans="1:2" x14ac:dyDescent="0.25">
      <c r="A8405"/>
      <c r="B8405"/>
    </row>
    <row r="8406" spans="1:2" x14ac:dyDescent="0.25">
      <c r="A8406"/>
      <c r="B8406"/>
    </row>
    <row r="8407" spans="1:2" x14ac:dyDescent="0.25">
      <c r="A8407"/>
      <c r="B8407"/>
    </row>
    <row r="8408" spans="1:2" x14ac:dyDescent="0.25">
      <c r="A8408"/>
      <c r="B8408"/>
    </row>
    <row r="8409" spans="1:2" x14ac:dyDescent="0.25">
      <c r="A8409"/>
      <c r="B8409"/>
    </row>
    <row r="8410" spans="1:2" x14ac:dyDescent="0.25">
      <c r="A8410"/>
      <c r="B8410"/>
    </row>
    <row r="8411" spans="1:2" x14ac:dyDescent="0.25">
      <c r="A8411"/>
      <c r="B8411"/>
    </row>
    <row r="8412" spans="1:2" x14ac:dyDescent="0.25">
      <c r="A8412"/>
      <c r="B8412"/>
    </row>
    <row r="8413" spans="1:2" x14ac:dyDescent="0.25">
      <c r="A8413"/>
      <c r="B8413"/>
    </row>
    <row r="8414" spans="1:2" x14ac:dyDescent="0.25">
      <c r="A8414"/>
      <c r="B8414"/>
    </row>
    <row r="8415" spans="1:2" x14ac:dyDescent="0.25">
      <c r="A8415"/>
      <c r="B8415"/>
    </row>
    <row r="8416" spans="1:2" x14ac:dyDescent="0.25">
      <c r="A8416"/>
      <c r="B8416"/>
    </row>
    <row r="8417" spans="1:2" x14ac:dyDescent="0.25">
      <c r="A8417"/>
      <c r="B8417"/>
    </row>
    <row r="8418" spans="1:2" x14ac:dyDescent="0.25">
      <c r="A8418"/>
      <c r="B8418"/>
    </row>
    <row r="8419" spans="1:2" x14ac:dyDescent="0.25">
      <c r="A8419"/>
      <c r="B8419"/>
    </row>
    <row r="8420" spans="1:2" x14ac:dyDescent="0.25">
      <c r="A8420"/>
      <c r="B8420"/>
    </row>
    <row r="8421" spans="1:2" x14ac:dyDescent="0.25">
      <c r="A8421"/>
      <c r="B8421"/>
    </row>
    <row r="8422" spans="1:2" x14ac:dyDescent="0.25">
      <c r="A8422"/>
      <c r="B8422"/>
    </row>
    <row r="8423" spans="1:2" x14ac:dyDescent="0.25">
      <c r="A8423"/>
      <c r="B8423"/>
    </row>
    <row r="8424" spans="1:2" x14ac:dyDescent="0.25">
      <c r="A8424"/>
      <c r="B8424"/>
    </row>
    <row r="8425" spans="1:2" x14ac:dyDescent="0.25">
      <c r="A8425"/>
      <c r="B8425"/>
    </row>
    <row r="8426" spans="1:2" x14ac:dyDescent="0.25">
      <c r="A8426"/>
      <c r="B8426"/>
    </row>
    <row r="8427" spans="1:2" x14ac:dyDescent="0.25">
      <c r="A8427"/>
      <c r="B8427"/>
    </row>
    <row r="8428" spans="1:2" x14ac:dyDescent="0.25">
      <c r="A8428"/>
      <c r="B8428"/>
    </row>
    <row r="8429" spans="1:2" x14ac:dyDescent="0.25">
      <c r="A8429"/>
      <c r="B8429"/>
    </row>
    <row r="8430" spans="1:2" x14ac:dyDescent="0.25">
      <c r="A8430"/>
      <c r="B8430"/>
    </row>
    <row r="8431" spans="1:2" x14ac:dyDescent="0.25">
      <c r="A8431"/>
      <c r="B8431"/>
    </row>
    <row r="8432" spans="1:2" x14ac:dyDescent="0.25">
      <c r="A8432"/>
      <c r="B8432"/>
    </row>
    <row r="8433" spans="1:2" x14ac:dyDescent="0.25">
      <c r="A8433"/>
      <c r="B8433"/>
    </row>
    <row r="8434" spans="1:2" x14ac:dyDescent="0.25">
      <c r="A8434"/>
      <c r="B8434"/>
    </row>
    <row r="8435" spans="1:2" x14ac:dyDescent="0.25">
      <c r="A8435"/>
      <c r="B8435"/>
    </row>
    <row r="8436" spans="1:2" x14ac:dyDescent="0.25">
      <c r="A8436"/>
      <c r="B8436"/>
    </row>
    <row r="8437" spans="1:2" x14ac:dyDescent="0.25">
      <c r="A8437"/>
      <c r="B8437"/>
    </row>
    <row r="8438" spans="1:2" x14ac:dyDescent="0.25">
      <c r="A8438"/>
      <c r="B8438"/>
    </row>
    <row r="8439" spans="1:2" x14ac:dyDescent="0.25">
      <c r="A8439"/>
      <c r="B8439"/>
    </row>
    <row r="8440" spans="1:2" x14ac:dyDescent="0.25">
      <c r="A8440"/>
      <c r="B8440"/>
    </row>
    <row r="8441" spans="1:2" x14ac:dyDescent="0.25">
      <c r="A8441"/>
      <c r="B8441"/>
    </row>
    <row r="8442" spans="1:2" x14ac:dyDescent="0.25">
      <c r="A8442"/>
      <c r="B8442"/>
    </row>
    <row r="8443" spans="1:2" x14ac:dyDescent="0.25">
      <c r="A8443"/>
      <c r="B8443"/>
    </row>
    <row r="8444" spans="1:2" x14ac:dyDescent="0.25">
      <c r="A8444"/>
      <c r="B8444"/>
    </row>
    <row r="8445" spans="1:2" x14ac:dyDescent="0.25">
      <c r="A8445"/>
      <c r="B8445"/>
    </row>
    <row r="8446" spans="1:2" x14ac:dyDescent="0.25">
      <c r="A8446"/>
      <c r="B8446"/>
    </row>
    <row r="8447" spans="1:2" x14ac:dyDescent="0.25">
      <c r="A8447"/>
      <c r="B8447"/>
    </row>
    <row r="8448" spans="1:2" x14ac:dyDescent="0.25">
      <c r="A8448"/>
      <c r="B8448"/>
    </row>
    <row r="8449" spans="1:2" x14ac:dyDescent="0.25">
      <c r="A8449"/>
      <c r="B8449"/>
    </row>
    <row r="8450" spans="1:2" x14ac:dyDescent="0.25">
      <c r="A8450"/>
      <c r="B8450"/>
    </row>
    <row r="8451" spans="1:2" x14ac:dyDescent="0.25">
      <c r="A8451"/>
      <c r="B8451"/>
    </row>
    <row r="8452" spans="1:2" x14ac:dyDescent="0.25">
      <c r="A8452"/>
      <c r="B8452"/>
    </row>
    <row r="8453" spans="1:2" x14ac:dyDescent="0.25">
      <c r="A8453"/>
      <c r="B8453"/>
    </row>
    <row r="8454" spans="1:2" x14ac:dyDescent="0.25">
      <c r="A8454"/>
      <c r="B8454"/>
    </row>
    <row r="8455" spans="1:2" x14ac:dyDescent="0.25">
      <c r="A8455"/>
      <c r="B8455"/>
    </row>
    <row r="8456" spans="1:2" x14ac:dyDescent="0.25">
      <c r="A8456"/>
      <c r="B8456"/>
    </row>
    <row r="8457" spans="1:2" x14ac:dyDescent="0.25">
      <c r="A8457"/>
      <c r="B8457"/>
    </row>
    <row r="8458" spans="1:2" x14ac:dyDescent="0.25">
      <c r="A8458"/>
      <c r="B8458"/>
    </row>
    <row r="8459" spans="1:2" x14ac:dyDescent="0.25">
      <c r="A8459"/>
      <c r="B8459"/>
    </row>
    <row r="8460" spans="1:2" x14ac:dyDescent="0.25">
      <c r="A8460"/>
      <c r="B8460"/>
    </row>
    <row r="8461" spans="1:2" x14ac:dyDescent="0.25">
      <c r="A8461"/>
      <c r="B8461"/>
    </row>
    <row r="8462" spans="1:2" x14ac:dyDescent="0.25">
      <c r="A8462"/>
      <c r="B8462"/>
    </row>
    <row r="8463" spans="1:2" x14ac:dyDescent="0.25">
      <c r="A8463"/>
      <c r="B8463"/>
    </row>
    <row r="8464" spans="1:2" x14ac:dyDescent="0.25">
      <c r="A8464"/>
      <c r="B8464"/>
    </row>
    <row r="8465" spans="1:2" x14ac:dyDescent="0.25">
      <c r="A8465"/>
      <c r="B8465"/>
    </row>
    <row r="8466" spans="1:2" x14ac:dyDescent="0.25">
      <c r="A8466"/>
      <c r="B8466"/>
    </row>
    <row r="8467" spans="1:2" x14ac:dyDescent="0.25">
      <c r="A8467"/>
      <c r="B8467"/>
    </row>
    <row r="8468" spans="1:2" x14ac:dyDescent="0.25">
      <c r="A8468"/>
      <c r="B8468"/>
    </row>
    <row r="8469" spans="1:2" x14ac:dyDescent="0.25">
      <c r="A8469"/>
      <c r="B8469"/>
    </row>
    <row r="8470" spans="1:2" x14ac:dyDescent="0.25">
      <c r="A8470"/>
      <c r="B8470"/>
    </row>
    <row r="8471" spans="1:2" x14ac:dyDescent="0.25">
      <c r="A8471"/>
      <c r="B8471"/>
    </row>
    <row r="8472" spans="1:2" x14ac:dyDescent="0.25">
      <c r="A8472"/>
      <c r="B8472"/>
    </row>
    <row r="8473" spans="1:2" x14ac:dyDescent="0.25">
      <c r="A8473"/>
      <c r="B8473"/>
    </row>
    <row r="8474" spans="1:2" x14ac:dyDescent="0.25">
      <c r="A8474"/>
      <c r="B8474"/>
    </row>
    <row r="8475" spans="1:2" x14ac:dyDescent="0.25">
      <c r="A8475"/>
      <c r="B8475"/>
    </row>
    <row r="8476" spans="1:2" x14ac:dyDescent="0.25">
      <c r="A8476"/>
      <c r="B8476"/>
    </row>
    <row r="8477" spans="1:2" x14ac:dyDescent="0.25">
      <c r="A8477"/>
      <c r="B8477"/>
    </row>
    <row r="8478" spans="1:2" x14ac:dyDescent="0.25">
      <c r="A8478"/>
      <c r="B8478"/>
    </row>
    <row r="8479" spans="1:2" x14ac:dyDescent="0.25">
      <c r="A8479"/>
      <c r="B8479"/>
    </row>
    <row r="8480" spans="1:2" x14ac:dyDescent="0.25">
      <c r="A8480"/>
      <c r="B8480"/>
    </row>
    <row r="8481" spans="1:2" x14ac:dyDescent="0.25">
      <c r="A8481"/>
      <c r="B8481"/>
    </row>
    <row r="8482" spans="1:2" x14ac:dyDescent="0.25">
      <c r="A8482"/>
      <c r="B8482"/>
    </row>
    <row r="8483" spans="1:2" x14ac:dyDescent="0.25">
      <c r="A8483"/>
      <c r="B8483"/>
    </row>
    <row r="8484" spans="1:2" x14ac:dyDescent="0.25">
      <c r="A8484"/>
      <c r="B8484"/>
    </row>
    <row r="8485" spans="1:2" x14ac:dyDescent="0.25">
      <c r="A8485"/>
      <c r="B8485"/>
    </row>
    <row r="8486" spans="1:2" x14ac:dyDescent="0.25">
      <c r="A8486"/>
      <c r="B8486"/>
    </row>
    <row r="8487" spans="1:2" x14ac:dyDescent="0.25">
      <c r="A8487"/>
      <c r="B8487"/>
    </row>
    <row r="8488" spans="1:2" x14ac:dyDescent="0.25">
      <c r="A8488"/>
      <c r="B8488"/>
    </row>
    <row r="8489" spans="1:2" x14ac:dyDescent="0.25">
      <c r="A8489"/>
      <c r="B8489"/>
    </row>
    <row r="8490" spans="1:2" x14ac:dyDescent="0.25">
      <c r="A8490"/>
      <c r="B8490"/>
    </row>
    <row r="8491" spans="1:2" x14ac:dyDescent="0.25">
      <c r="A8491"/>
      <c r="B8491"/>
    </row>
    <row r="8492" spans="1:2" x14ac:dyDescent="0.25">
      <c r="A8492"/>
      <c r="B8492"/>
    </row>
    <row r="8493" spans="1:2" x14ac:dyDescent="0.25">
      <c r="A8493"/>
      <c r="B8493"/>
    </row>
    <row r="8494" spans="1:2" x14ac:dyDescent="0.25">
      <c r="A8494"/>
      <c r="B8494"/>
    </row>
    <row r="8495" spans="1:2" x14ac:dyDescent="0.25">
      <c r="A8495"/>
      <c r="B8495"/>
    </row>
    <row r="8496" spans="1:2" x14ac:dyDescent="0.25">
      <c r="A8496"/>
      <c r="B8496"/>
    </row>
    <row r="8497" spans="1:2" x14ac:dyDescent="0.25">
      <c r="A8497"/>
      <c r="B8497"/>
    </row>
    <row r="8498" spans="1:2" x14ac:dyDescent="0.25">
      <c r="A8498"/>
      <c r="B8498"/>
    </row>
    <row r="8499" spans="1:2" x14ac:dyDescent="0.25">
      <c r="A8499"/>
      <c r="B8499"/>
    </row>
    <row r="8500" spans="1:2" x14ac:dyDescent="0.25">
      <c r="A8500"/>
      <c r="B8500"/>
    </row>
    <row r="8501" spans="1:2" x14ac:dyDescent="0.25">
      <c r="A8501"/>
      <c r="B8501"/>
    </row>
    <row r="8502" spans="1:2" x14ac:dyDescent="0.25">
      <c r="A8502"/>
      <c r="B8502"/>
    </row>
    <row r="8503" spans="1:2" x14ac:dyDescent="0.25">
      <c r="A8503"/>
      <c r="B8503"/>
    </row>
    <row r="8504" spans="1:2" x14ac:dyDescent="0.25">
      <c r="A8504"/>
      <c r="B8504"/>
    </row>
    <row r="8505" spans="1:2" x14ac:dyDescent="0.25">
      <c r="A8505"/>
      <c r="B8505"/>
    </row>
    <row r="8506" spans="1:2" x14ac:dyDescent="0.25">
      <c r="A8506"/>
      <c r="B8506"/>
    </row>
    <row r="8507" spans="1:2" x14ac:dyDescent="0.25">
      <c r="A8507"/>
      <c r="B8507"/>
    </row>
    <row r="8508" spans="1:2" x14ac:dyDescent="0.25">
      <c r="A8508"/>
      <c r="B8508"/>
    </row>
    <row r="8509" spans="1:2" x14ac:dyDescent="0.25">
      <c r="A8509"/>
      <c r="B8509"/>
    </row>
    <row r="8510" spans="1:2" x14ac:dyDescent="0.25">
      <c r="A8510"/>
      <c r="B8510"/>
    </row>
    <row r="8511" spans="1:2" x14ac:dyDescent="0.25">
      <c r="A8511"/>
      <c r="B8511"/>
    </row>
    <row r="8512" spans="1:2" x14ac:dyDescent="0.25">
      <c r="A8512"/>
      <c r="B8512"/>
    </row>
    <row r="8513" spans="1:2" x14ac:dyDescent="0.25">
      <c r="A8513"/>
      <c r="B8513"/>
    </row>
    <row r="8514" spans="1:2" x14ac:dyDescent="0.25">
      <c r="A8514"/>
      <c r="B8514"/>
    </row>
    <row r="8515" spans="1:2" x14ac:dyDescent="0.25">
      <c r="A8515"/>
      <c r="B8515"/>
    </row>
    <row r="8516" spans="1:2" x14ac:dyDescent="0.25">
      <c r="A8516"/>
      <c r="B8516"/>
    </row>
    <row r="8517" spans="1:2" x14ac:dyDescent="0.25">
      <c r="A8517"/>
      <c r="B8517"/>
    </row>
    <row r="8518" spans="1:2" x14ac:dyDescent="0.25">
      <c r="A8518"/>
      <c r="B8518"/>
    </row>
    <row r="8519" spans="1:2" x14ac:dyDescent="0.25">
      <c r="A8519"/>
      <c r="B8519"/>
    </row>
    <row r="8520" spans="1:2" x14ac:dyDescent="0.25">
      <c r="A8520"/>
      <c r="B8520"/>
    </row>
    <row r="8521" spans="1:2" x14ac:dyDescent="0.25">
      <c r="A8521"/>
      <c r="B8521"/>
    </row>
    <row r="8522" spans="1:2" x14ac:dyDescent="0.25">
      <c r="A8522"/>
      <c r="B8522"/>
    </row>
    <row r="8523" spans="1:2" x14ac:dyDescent="0.25">
      <c r="A8523"/>
      <c r="B8523"/>
    </row>
    <row r="8524" spans="1:2" x14ac:dyDescent="0.25">
      <c r="A8524"/>
      <c r="B8524"/>
    </row>
    <row r="8525" spans="1:2" x14ac:dyDescent="0.25">
      <c r="A8525"/>
      <c r="B8525"/>
    </row>
    <row r="8526" spans="1:2" x14ac:dyDescent="0.25">
      <c r="A8526"/>
      <c r="B8526"/>
    </row>
    <row r="8527" spans="1:2" x14ac:dyDescent="0.25">
      <c r="A8527"/>
      <c r="B8527"/>
    </row>
    <row r="8528" spans="1:2" x14ac:dyDescent="0.25">
      <c r="A8528"/>
      <c r="B8528"/>
    </row>
    <row r="8529" spans="1:2" x14ac:dyDescent="0.25">
      <c r="A8529"/>
      <c r="B8529"/>
    </row>
    <row r="8530" spans="1:2" x14ac:dyDescent="0.25">
      <c r="A8530"/>
      <c r="B8530"/>
    </row>
    <row r="8531" spans="1:2" x14ac:dyDescent="0.25">
      <c r="A8531"/>
      <c r="B8531"/>
    </row>
    <row r="8532" spans="1:2" x14ac:dyDescent="0.25">
      <c r="A8532"/>
      <c r="B8532"/>
    </row>
    <row r="8533" spans="1:2" x14ac:dyDescent="0.25">
      <c r="A8533"/>
      <c r="B8533"/>
    </row>
    <row r="8534" spans="1:2" x14ac:dyDescent="0.25">
      <c r="A8534"/>
      <c r="B8534"/>
    </row>
    <row r="8535" spans="1:2" x14ac:dyDescent="0.25">
      <c r="A8535"/>
      <c r="B8535"/>
    </row>
    <row r="8536" spans="1:2" x14ac:dyDescent="0.25">
      <c r="A8536"/>
      <c r="B8536"/>
    </row>
    <row r="8537" spans="1:2" x14ac:dyDescent="0.25">
      <c r="A8537"/>
      <c r="B8537"/>
    </row>
    <row r="8538" spans="1:2" x14ac:dyDescent="0.25">
      <c r="A8538"/>
      <c r="B8538"/>
    </row>
    <row r="8539" spans="1:2" x14ac:dyDescent="0.25">
      <c r="A8539"/>
      <c r="B8539"/>
    </row>
    <row r="8540" spans="1:2" x14ac:dyDescent="0.25">
      <c r="A8540"/>
      <c r="B8540"/>
    </row>
    <row r="8541" spans="1:2" x14ac:dyDescent="0.25">
      <c r="A8541"/>
      <c r="B8541"/>
    </row>
    <row r="8542" spans="1:2" x14ac:dyDescent="0.25">
      <c r="A8542"/>
      <c r="B8542"/>
    </row>
    <row r="8543" spans="1:2" x14ac:dyDescent="0.25">
      <c r="A8543"/>
      <c r="B8543"/>
    </row>
    <row r="8544" spans="1:2" x14ac:dyDescent="0.25">
      <c r="A8544"/>
      <c r="B8544"/>
    </row>
    <row r="8545" spans="1:2" x14ac:dyDescent="0.25">
      <c r="A8545"/>
      <c r="B8545"/>
    </row>
    <row r="8546" spans="1:2" x14ac:dyDescent="0.25">
      <c r="A8546"/>
      <c r="B8546"/>
    </row>
    <row r="8547" spans="1:2" x14ac:dyDescent="0.25">
      <c r="A8547"/>
      <c r="B8547"/>
    </row>
    <row r="8548" spans="1:2" x14ac:dyDescent="0.25">
      <c r="A8548"/>
      <c r="B8548"/>
    </row>
    <row r="8549" spans="1:2" x14ac:dyDescent="0.25">
      <c r="A8549"/>
      <c r="B8549"/>
    </row>
    <row r="8550" spans="1:2" x14ac:dyDescent="0.25">
      <c r="A8550"/>
      <c r="B8550"/>
    </row>
    <row r="8551" spans="1:2" x14ac:dyDescent="0.25">
      <c r="A8551"/>
      <c r="B8551"/>
    </row>
    <row r="8552" spans="1:2" x14ac:dyDescent="0.25">
      <c r="A8552"/>
      <c r="B8552"/>
    </row>
    <row r="8553" spans="1:2" x14ac:dyDescent="0.25">
      <c r="A8553"/>
      <c r="B8553"/>
    </row>
    <row r="8554" spans="1:2" x14ac:dyDescent="0.25">
      <c r="A8554"/>
      <c r="B8554"/>
    </row>
    <row r="8555" spans="1:2" x14ac:dyDescent="0.25">
      <c r="A8555"/>
      <c r="B8555"/>
    </row>
    <row r="8556" spans="1:2" x14ac:dyDescent="0.25">
      <c r="A8556"/>
      <c r="B8556"/>
    </row>
    <row r="8557" spans="1:2" x14ac:dyDescent="0.25">
      <c r="A8557"/>
      <c r="B8557"/>
    </row>
    <row r="8558" spans="1:2" x14ac:dyDescent="0.25">
      <c r="A8558"/>
      <c r="B8558"/>
    </row>
    <row r="8559" spans="1:2" x14ac:dyDescent="0.25">
      <c r="A8559"/>
      <c r="B8559"/>
    </row>
    <row r="8560" spans="1:2" x14ac:dyDescent="0.25">
      <c r="A8560"/>
      <c r="B8560"/>
    </row>
    <row r="8561" spans="1:2" x14ac:dyDescent="0.25">
      <c r="A8561"/>
      <c r="B8561"/>
    </row>
    <row r="8562" spans="1:2" x14ac:dyDescent="0.25">
      <c r="A8562"/>
      <c r="B8562"/>
    </row>
    <row r="8563" spans="1:2" x14ac:dyDescent="0.25">
      <c r="A8563"/>
      <c r="B8563"/>
    </row>
    <row r="8564" spans="1:2" x14ac:dyDescent="0.25">
      <c r="A8564"/>
      <c r="B8564"/>
    </row>
    <row r="8565" spans="1:2" x14ac:dyDescent="0.25">
      <c r="A8565"/>
      <c r="B8565"/>
    </row>
    <row r="8566" spans="1:2" x14ac:dyDescent="0.25">
      <c r="A8566"/>
      <c r="B8566"/>
    </row>
    <row r="8567" spans="1:2" x14ac:dyDescent="0.25">
      <c r="A8567"/>
      <c r="B8567"/>
    </row>
    <row r="8568" spans="1:2" x14ac:dyDescent="0.25">
      <c r="A8568"/>
      <c r="B8568"/>
    </row>
    <row r="8569" spans="1:2" x14ac:dyDescent="0.25">
      <c r="A8569"/>
      <c r="B8569"/>
    </row>
    <row r="8570" spans="1:2" x14ac:dyDescent="0.25">
      <c r="A8570"/>
      <c r="B8570"/>
    </row>
    <row r="8571" spans="1:2" x14ac:dyDescent="0.25">
      <c r="A8571"/>
      <c r="B8571"/>
    </row>
    <row r="8572" spans="1:2" x14ac:dyDescent="0.25">
      <c r="A8572"/>
      <c r="B8572"/>
    </row>
    <row r="8573" spans="1:2" x14ac:dyDescent="0.25">
      <c r="A8573"/>
      <c r="B8573"/>
    </row>
    <row r="8574" spans="1:2" x14ac:dyDescent="0.25">
      <c r="A8574"/>
      <c r="B8574"/>
    </row>
    <row r="8575" spans="1:2" x14ac:dyDescent="0.25">
      <c r="A8575"/>
      <c r="B8575"/>
    </row>
    <row r="8576" spans="1:2" x14ac:dyDescent="0.25">
      <c r="A8576"/>
      <c r="B8576"/>
    </row>
    <row r="8577" spans="1:2" x14ac:dyDescent="0.25">
      <c r="A8577"/>
      <c r="B8577"/>
    </row>
    <row r="8578" spans="1:2" x14ac:dyDescent="0.25">
      <c r="A8578"/>
      <c r="B8578"/>
    </row>
    <row r="8579" spans="1:2" x14ac:dyDescent="0.25">
      <c r="A8579"/>
      <c r="B8579"/>
    </row>
    <row r="8580" spans="1:2" x14ac:dyDescent="0.25">
      <c r="A8580"/>
      <c r="B8580"/>
    </row>
    <row r="8581" spans="1:2" x14ac:dyDescent="0.25">
      <c r="A8581"/>
      <c r="B8581"/>
    </row>
    <row r="8582" spans="1:2" x14ac:dyDescent="0.25">
      <c r="A8582"/>
      <c r="B8582"/>
    </row>
    <row r="8583" spans="1:2" x14ac:dyDescent="0.25">
      <c r="A8583"/>
      <c r="B8583"/>
    </row>
    <row r="8584" spans="1:2" x14ac:dyDescent="0.25">
      <c r="A8584"/>
      <c r="B8584"/>
    </row>
    <row r="8585" spans="1:2" x14ac:dyDescent="0.25">
      <c r="A8585"/>
      <c r="B8585"/>
    </row>
    <row r="8586" spans="1:2" x14ac:dyDescent="0.25">
      <c r="A8586"/>
      <c r="B8586"/>
    </row>
    <row r="8587" spans="1:2" x14ac:dyDescent="0.25">
      <c r="A8587"/>
      <c r="B8587"/>
    </row>
    <row r="8588" spans="1:2" x14ac:dyDescent="0.25">
      <c r="A8588"/>
      <c r="B8588"/>
    </row>
    <row r="8589" spans="1:2" x14ac:dyDescent="0.25">
      <c r="A8589"/>
      <c r="B8589"/>
    </row>
    <row r="8590" spans="1:2" x14ac:dyDescent="0.25">
      <c r="A8590"/>
      <c r="B8590"/>
    </row>
    <row r="8591" spans="1:2" x14ac:dyDescent="0.25">
      <c r="A8591"/>
      <c r="B8591"/>
    </row>
    <row r="8592" spans="1:2" x14ac:dyDescent="0.25">
      <c r="A8592"/>
      <c r="B8592"/>
    </row>
    <row r="8593" spans="1:2" x14ac:dyDescent="0.25">
      <c r="A8593"/>
      <c r="B8593"/>
    </row>
    <row r="8594" spans="1:2" x14ac:dyDescent="0.25">
      <c r="A8594"/>
      <c r="B8594"/>
    </row>
    <row r="8595" spans="1:2" x14ac:dyDescent="0.25">
      <c r="A8595"/>
      <c r="B8595"/>
    </row>
    <row r="8596" spans="1:2" x14ac:dyDescent="0.25">
      <c r="A8596"/>
      <c r="B8596"/>
    </row>
    <row r="8597" spans="1:2" x14ac:dyDescent="0.25">
      <c r="A8597"/>
      <c r="B8597"/>
    </row>
    <row r="8598" spans="1:2" x14ac:dyDescent="0.25">
      <c r="A8598"/>
      <c r="B8598"/>
    </row>
    <row r="8599" spans="1:2" x14ac:dyDescent="0.25">
      <c r="A8599"/>
      <c r="B8599"/>
    </row>
    <row r="8600" spans="1:2" x14ac:dyDescent="0.25">
      <c r="A8600"/>
      <c r="B8600"/>
    </row>
    <row r="8601" spans="1:2" x14ac:dyDescent="0.25">
      <c r="A8601"/>
      <c r="B8601"/>
    </row>
    <row r="8602" spans="1:2" x14ac:dyDescent="0.25">
      <c r="A8602"/>
      <c r="B8602"/>
    </row>
    <row r="8603" spans="1:2" x14ac:dyDescent="0.25">
      <c r="A8603"/>
      <c r="B8603"/>
    </row>
    <row r="8604" spans="1:2" x14ac:dyDescent="0.25">
      <c r="A8604"/>
      <c r="B8604"/>
    </row>
    <row r="8605" spans="1:2" x14ac:dyDescent="0.25">
      <c r="A8605"/>
      <c r="B8605"/>
    </row>
    <row r="8606" spans="1:2" x14ac:dyDescent="0.25">
      <c r="A8606"/>
      <c r="B8606"/>
    </row>
    <row r="8607" spans="1:2" x14ac:dyDescent="0.25">
      <c r="A8607"/>
      <c r="B8607"/>
    </row>
    <row r="8608" spans="1:2" x14ac:dyDescent="0.25">
      <c r="A8608"/>
      <c r="B8608"/>
    </row>
    <row r="8609" spans="1:2" x14ac:dyDescent="0.25">
      <c r="A8609"/>
      <c r="B8609"/>
    </row>
    <row r="8610" spans="1:2" x14ac:dyDescent="0.25">
      <c r="A8610"/>
      <c r="B8610"/>
    </row>
    <row r="8611" spans="1:2" x14ac:dyDescent="0.25">
      <c r="A8611"/>
      <c r="B8611"/>
    </row>
    <row r="8612" spans="1:2" x14ac:dyDescent="0.25">
      <c r="A8612"/>
      <c r="B8612"/>
    </row>
    <row r="8613" spans="1:2" x14ac:dyDescent="0.25">
      <c r="A8613"/>
      <c r="B8613"/>
    </row>
    <row r="8614" spans="1:2" x14ac:dyDescent="0.25">
      <c r="A8614"/>
      <c r="B8614"/>
    </row>
    <row r="8615" spans="1:2" x14ac:dyDescent="0.25">
      <c r="A8615"/>
      <c r="B8615"/>
    </row>
    <row r="8616" spans="1:2" x14ac:dyDescent="0.25">
      <c r="A8616"/>
      <c r="B8616"/>
    </row>
    <row r="8617" spans="1:2" x14ac:dyDescent="0.25">
      <c r="A8617"/>
      <c r="B8617"/>
    </row>
    <row r="8618" spans="1:2" x14ac:dyDescent="0.25">
      <c r="A8618"/>
      <c r="B8618"/>
    </row>
    <row r="8619" spans="1:2" x14ac:dyDescent="0.25">
      <c r="A8619"/>
      <c r="B8619"/>
    </row>
    <row r="8620" spans="1:2" x14ac:dyDescent="0.25">
      <c r="A8620"/>
      <c r="B8620"/>
    </row>
    <row r="8621" spans="1:2" x14ac:dyDescent="0.25">
      <c r="A8621"/>
      <c r="B8621"/>
    </row>
    <row r="8622" spans="1:2" x14ac:dyDescent="0.25">
      <c r="A8622"/>
      <c r="B8622"/>
    </row>
    <row r="8623" spans="1:2" x14ac:dyDescent="0.25">
      <c r="A8623"/>
      <c r="B8623"/>
    </row>
    <row r="8624" spans="1:2" x14ac:dyDescent="0.25">
      <c r="A8624"/>
      <c r="B8624"/>
    </row>
    <row r="8625" spans="1:2" x14ac:dyDescent="0.25">
      <c r="A8625"/>
      <c r="B8625"/>
    </row>
    <row r="8626" spans="1:2" x14ac:dyDescent="0.25">
      <c r="A8626"/>
      <c r="B8626"/>
    </row>
    <row r="8627" spans="1:2" x14ac:dyDescent="0.25">
      <c r="A8627"/>
      <c r="B8627"/>
    </row>
    <row r="8628" spans="1:2" x14ac:dyDescent="0.25">
      <c r="A8628"/>
      <c r="B8628"/>
    </row>
    <row r="8629" spans="1:2" x14ac:dyDescent="0.25">
      <c r="A8629"/>
      <c r="B8629"/>
    </row>
    <row r="8630" spans="1:2" x14ac:dyDescent="0.25">
      <c r="A8630"/>
      <c r="B8630"/>
    </row>
    <row r="8631" spans="1:2" x14ac:dyDescent="0.25">
      <c r="A8631"/>
      <c r="B8631"/>
    </row>
    <row r="8632" spans="1:2" x14ac:dyDescent="0.25">
      <c r="A8632"/>
      <c r="B8632"/>
    </row>
    <row r="8633" spans="1:2" x14ac:dyDescent="0.25">
      <c r="A8633"/>
      <c r="B8633"/>
    </row>
    <row r="8634" spans="1:2" x14ac:dyDescent="0.25">
      <c r="A8634"/>
      <c r="B8634"/>
    </row>
    <row r="8635" spans="1:2" x14ac:dyDescent="0.25">
      <c r="A8635"/>
      <c r="B8635"/>
    </row>
    <row r="8636" spans="1:2" x14ac:dyDescent="0.25">
      <c r="A8636"/>
      <c r="B8636"/>
    </row>
    <row r="8637" spans="1:2" x14ac:dyDescent="0.25">
      <c r="A8637"/>
      <c r="B8637"/>
    </row>
    <row r="8638" spans="1:2" x14ac:dyDescent="0.25">
      <c r="A8638"/>
      <c r="B8638"/>
    </row>
    <row r="8639" spans="1:2" x14ac:dyDescent="0.25">
      <c r="A8639"/>
      <c r="B8639"/>
    </row>
    <row r="8640" spans="1:2" x14ac:dyDescent="0.25">
      <c r="A8640"/>
      <c r="B8640"/>
    </row>
    <row r="8641" spans="1:2" x14ac:dyDescent="0.25">
      <c r="A8641"/>
      <c r="B8641"/>
    </row>
    <row r="8642" spans="1:2" x14ac:dyDescent="0.25">
      <c r="A8642"/>
      <c r="B8642"/>
    </row>
    <row r="8643" spans="1:2" x14ac:dyDescent="0.25">
      <c r="A8643"/>
      <c r="B8643"/>
    </row>
    <row r="8644" spans="1:2" x14ac:dyDescent="0.25">
      <c r="A8644"/>
      <c r="B8644"/>
    </row>
    <row r="8645" spans="1:2" x14ac:dyDescent="0.25">
      <c r="A8645"/>
      <c r="B8645"/>
    </row>
    <row r="8646" spans="1:2" x14ac:dyDescent="0.25">
      <c r="A8646"/>
      <c r="B8646"/>
    </row>
    <row r="8647" spans="1:2" x14ac:dyDescent="0.25">
      <c r="A8647"/>
      <c r="B8647"/>
    </row>
    <row r="8648" spans="1:2" x14ac:dyDescent="0.25">
      <c r="A8648"/>
      <c r="B8648"/>
    </row>
    <row r="8649" spans="1:2" x14ac:dyDescent="0.25">
      <c r="A8649"/>
      <c r="B8649"/>
    </row>
    <row r="8650" spans="1:2" x14ac:dyDescent="0.25">
      <c r="A8650"/>
      <c r="B8650"/>
    </row>
    <row r="8651" spans="1:2" x14ac:dyDescent="0.25">
      <c r="A8651"/>
      <c r="B8651"/>
    </row>
    <row r="8652" spans="1:2" x14ac:dyDescent="0.25">
      <c r="A8652"/>
      <c r="B8652"/>
    </row>
    <row r="8653" spans="1:2" x14ac:dyDescent="0.25">
      <c r="A8653"/>
      <c r="B8653"/>
    </row>
    <row r="8654" spans="1:2" x14ac:dyDescent="0.25">
      <c r="A8654"/>
      <c r="B8654"/>
    </row>
    <row r="8655" spans="1:2" x14ac:dyDescent="0.25">
      <c r="A8655"/>
      <c r="B8655"/>
    </row>
    <row r="8656" spans="1:2" x14ac:dyDescent="0.25">
      <c r="A8656"/>
      <c r="B8656"/>
    </row>
    <row r="8657" spans="1:2" x14ac:dyDescent="0.25">
      <c r="A8657"/>
      <c r="B8657"/>
    </row>
    <row r="8658" spans="1:2" x14ac:dyDescent="0.25">
      <c r="A8658"/>
      <c r="B8658"/>
    </row>
    <row r="8659" spans="1:2" x14ac:dyDescent="0.25">
      <c r="A8659"/>
      <c r="B8659"/>
    </row>
    <row r="8660" spans="1:2" x14ac:dyDescent="0.25">
      <c r="A8660"/>
      <c r="B8660"/>
    </row>
    <row r="8661" spans="1:2" x14ac:dyDescent="0.25">
      <c r="A8661"/>
      <c r="B8661"/>
    </row>
    <row r="8662" spans="1:2" x14ac:dyDescent="0.25">
      <c r="A8662"/>
      <c r="B8662"/>
    </row>
    <row r="8663" spans="1:2" x14ac:dyDescent="0.25">
      <c r="A8663"/>
      <c r="B8663"/>
    </row>
    <row r="8664" spans="1:2" x14ac:dyDescent="0.25">
      <c r="A8664"/>
      <c r="B8664"/>
    </row>
    <row r="8665" spans="1:2" x14ac:dyDescent="0.25">
      <c r="A8665"/>
      <c r="B8665"/>
    </row>
    <row r="8666" spans="1:2" x14ac:dyDescent="0.25">
      <c r="A8666"/>
      <c r="B8666"/>
    </row>
    <row r="8667" spans="1:2" x14ac:dyDescent="0.25">
      <c r="A8667"/>
      <c r="B8667"/>
    </row>
    <row r="8668" spans="1:2" x14ac:dyDescent="0.25">
      <c r="A8668"/>
      <c r="B8668"/>
    </row>
    <row r="8669" spans="1:2" x14ac:dyDescent="0.25">
      <c r="A8669"/>
      <c r="B8669"/>
    </row>
    <row r="8670" spans="1:2" x14ac:dyDescent="0.25">
      <c r="A8670"/>
      <c r="B8670"/>
    </row>
    <row r="8671" spans="1:2" x14ac:dyDescent="0.25">
      <c r="A8671"/>
      <c r="B8671"/>
    </row>
    <row r="8672" spans="1:2" x14ac:dyDescent="0.25">
      <c r="A8672"/>
      <c r="B8672"/>
    </row>
    <row r="8673" spans="1:2" x14ac:dyDescent="0.25">
      <c r="A8673"/>
      <c r="B8673"/>
    </row>
    <row r="8674" spans="1:2" x14ac:dyDescent="0.25">
      <c r="A8674"/>
      <c r="B8674"/>
    </row>
    <row r="8675" spans="1:2" x14ac:dyDescent="0.25">
      <c r="A8675"/>
      <c r="B8675"/>
    </row>
    <row r="8676" spans="1:2" x14ac:dyDescent="0.25">
      <c r="A8676"/>
      <c r="B8676"/>
    </row>
    <row r="8677" spans="1:2" x14ac:dyDescent="0.25">
      <c r="A8677"/>
      <c r="B8677"/>
    </row>
    <row r="8678" spans="1:2" x14ac:dyDescent="0.25">
      <c r="A8678"/>
      <c r="B8678"/>
    </row>
    <row r="8679" spans="1:2" x14ac:dyDescent="0.25">
      <c r="A8679"/>
      <c r="B8679"/>
    </row>
    <row r="8680" spans="1:2" x14ac:dyDescent="0.25">
      <c r="A8680"/>
      <c r="B8680"/>
    </row>
    <row r="8681" spans="1:2" x14ac:dyDescent="0.25">
      <c r="A8681"/>
      <c r="B8681"/>
    </row>
    <row r="8682" spans="1:2" x14ac:dyDescent="0.25">
      <c r="A8682"/>
      <c r="B8682"/>
    </row>
    <row r="8683" spans="1:2" x14ac:dyDescent="0.25">
      <c r="A8683"/>
      <c r="B8683"/>
    </row>
    <row r="8684" spans="1:2" x14ac:dyDescent="0.25">
      <c r="A8684"/>
      <c r="B8684"/>
    </row>
    <row r="8685" spans="1:2" x14ac:dyDescent="0.25">
      <c r="A8685"/>
      <c r="B8685"/>
    </row>
    <row r="8686" spans="1:2" x14ac:dyDescent="0.25">
      <c r="A8686"/>
      <c r="B8686"/>
    </row>
    <row r="8687" spans="1:2" x14ac:dyDescent="0.25">
      <c r="A8687"/>
      <c r="B8687"/>
    </row>
    <row r="8688" spans="1:2" x14ac:dyDescent="0.25">
      <c r="A8688"/>
      <c r="B8688"/>
    </row>
    <row r="8689" spans="1:2" x14ac:dyDescent="0.25">
      <c r="A8689"/>
      <c r="B8689"/>
    </row>
    <row r="8690" spans="1:2" x14ac:dyDescent="0.25">
      <c r="A8690"/>
      <c r="B8690"/>
    </row>
    <row r="8691" spans="1:2" x14ac:dyDescent="0.25">
      <c r="A8691"/>
      <c r="B8691"/>
    </row>
    <row r="8692" spans="1:2" x14ac:dyDescent="0.25">
      <c r="A8692"/>
      <c r="B8692"/>
    </row>
    <row r="8693" spans="1:2" x14ac:dyDescent="0.25">
      <c r="A8693"/>
      <c r="B8693"/>
    </row>
    <row r="8694" spans="1:2" x14ac:dyDescent="0.25">
      <c r="A8694"/>
      <c r="B8694"/>
    </row>
    <row r="8695" spans="1:2" x14ac:dyDescent="0.25">
      <c r="A8695"/>
      <c r="B8695"/>
    </row>
    <row r="8696" spans="1:2" x14ac:dyDescent="0.25">
      <c r="A8696"/>
      <c r="B8696"/>
    </row>
    <row r="8697" spans="1:2" x14ac:dyDescent="0.25">
      <c r="A8697"/>
      <c r="B8697"/>
    </row>
    <row r="8698" spans="1:2" x14ac:dyDescent="0.25">
      <c r="A8698"/>
      <c r="B8698"/>
    </row>
    <row r="8699" spans="1:2" x14ac:dyDescent="0.25">
      <c r="A8699"/>
      <c r="B8699"/>
    </row>
    <row r="8700" spans="1:2" x14ac:dyDescent="0.25">
      <c r="A8700"/>
      <c r="B8700"/>
    </row>
    <row r="8701" spans="1:2" x14ac:dyDescent="0.25">
      <c r="A8701"/>
      <c r="B8701"/>
    </row>
    <row r="8702" spans="1:2" x14ac:dyDescent="0.25">
      <c r="A8702"/>
      <c r="B8702"/>
    </row>
    <row r="8703" spans="1:2" x14ac:dyDescent="0.25">
      <c r="A8703"/>
      <c r="B8703"/>
    </row>
    <row r="8704" spans="1:2" x14ac:dyDescent="0.25">
      <c r="A8704"/>
      <c r="B8704"/>
    </row>
    <row r="8705" spans="1:2" x14ac:dyDescent="0.25">
      <c r="A8705"/>
      <c r="B8705"/>
    </row>
    <row r="8706" spans="1:2" x14ac:dyDescent="0.25">
      <c r="A8706"/>
      <c r="B8706"/>
    </row>
    <row r="8707" spans="1:2" x14ac:dyDescent="0.25">
      <c r="A8707"/>
      <c r="B8707"/>
    </row>
    <row r="8708" spans="1:2" x14ac:dyDescent="0.25">
      <c r="A8708"/>
      <c r="B8708"/>
    </row>
    <row r="8709" spans="1:2" x14ac:dyDescent="0.25">
      <c r="A8709"/>
      <c r="B8709"/>
    </row>
    <row r="8710" spans="1:2" x14ac:dyDescent="0.25">
      <c r="A8710"/>
      <c r="B8710"/>
    </row>
    <row r="8711" spans="1:2" x14ac:dyDescent="0.25">
      <c r="A8711"/>
      <c r="B8711"/>
    </row>
    <row r="8712" spans="1:2" x14ac:dyDescent="0.25">
      <c r="A8712"/>
      <c r="B8712"/>
    </row>
    <row r="8713" spans="1:2" x14ac:dyDescent="0.25">
      <c r="A8713"/>
      <c r="B8713"/>
    </row>
    <row r="8714" spans="1:2" x14ac:dyDescent="0.25">
      <c r="A8714"/>
      <c r="B8714"/>
    </row>
    <row r="8715" spans="1:2" x14ac:dyDescent="0.25">
      <c r="A8715"/>
      <c r="B8715"/>
    </row>
    <row r="8716" spans="1:2" x14ac:dyDescent="0.25">
      <c r="A8716"/>
      <c r="B8716"/>
    </row>
    <row r="8717" spans="1:2" x14ac:dyDescent="0.25">
      <c r="A8717"/>
      <c r="B8717"/>
    </row>
    <row r="8718" spans="1:2" x14ac:dyDescent="0.25">
      <c r="A8718"/>
      <c r="B8718"/>
    </row>
    <row r="8719" spans="1:2" x14ac:dyDescent="0.25">
      <c r="A8719"/>
      <c r="B8719"/>
    </row>
    <row r="8720" spans="1:2" x14ac:dyDescent="0.25">
      <c r="A8720"/>
      <c r="B8720"/>
    </row>
    <row r="8721" spans="1:2" x14ac:dyDescent="0.25">
      <c r="A8721"/>
      <c r="B8721"/>
    </row>
    <row r="8722" spans="1:2" x14ac:dyDescent="0.25">
      <c r="A8722"/>
      <c r="B8722"/>
    </row>
    <row r="8723" spans="1:2" x14ac:dyDescent="0.25">
      <c r="A8723"/>
      <c r="B8723"/>
    </row>
    <row r="8724" spans="1:2" x14ac:dyDescent="0.25">
      <c r="A8724"/>
      <c r="B8724"/>
    </row>
    <row r="8725" spans="1:2" x14ac:dyDescent="0.25">
      <c r="A8725"/>
      <c r="B8725"/>
    </row>
    <row r="8726" spans="1:2" x14ac:dyDescent="0.25">
      <c r="A8726"/>
      <c r="B8726"/>
    </row>
    <row r="8727" spans="1:2" x14ac:dyDescent="0.25">
      <c r="A8727"/>
      <c r="B8727"/>
    </row>
    <row r="8728" spans="1:2" x14ac:dyDescent="0.25">
      <c r="A8728"/>
      <c r="B8728"/>
    </row>
    <row r="8729" spans="1:2" x14ac:dyDescent="0.25">
      <c r="A8729"/>
      <c r="B8729"/>
    </row>
    <row r="8730" spans="1:2" x14ac:dyDescent="0.25">
      <c r="A8730"/>
      <c r="B8730"/>
    </row>
    <row r="8731" spans="1:2" x14ac:dyDescent="0.25">
      <c r="A8731"/>
      <c r="B8731"/>
    </row>
    <row r="8732" spans="1:2" x14ac:dyDescent="0.25">
      <c r="A8732"/>
      <c r="B8732"/>
    </row>
    <row r="8733" spans="1:2" x14ac:dyDescent="0.25">
      <c r="A8733"/>
      <c r="B8733"/>
    </row>
    <row r="8734" spans="1:2" x14ac:dyDescent="0.25">
      <c r="A8734"/>
      <c r="B8734"/>
    </row>
    <row r="8735" spans="1:2" x14ac:dyDescent="0.25">
      <c r="A8735"/>
      <c r="B8735"/>
    </row>
    <row r="8736" spans="1:2" x14ac:dyDescent="0.25">
      <c r="A8736"/>
      <c r="B8736"/>
    </row>
    <row r="8737" spans="1:2" x14ac:dyDescent="0.25">
      <c r="A8737"/>
      <c r="B8737"/>
    </row>
    <row r="8738" spans="1:2" x14ac:dyDescent="0.25">
      <c r="A8738"/>
      <c r="B8738"/>
    </row>
    <row r="8739" spans="1:2" x14ac:dyDescent="0.25">
      <c r="A8739"/>
      <c r="B8739"/>
    </row>
    <row r="8740" spans="1:2" x14ac:dyDescent="0.25">
      <c r="A8740"/>
      <c r="B8740"/>
    </row>
    <row r="8741" spans="1:2" x14ac:dyDescent="0.25">
      <c r="A8741"/>
      <c r="B8741"/>
    </row>
    <row r="8742" spans="1:2" x14ac:dyDescent="0.25">
      <c r="A8742"/>
      <c r="B8742"/>
    </row>
    <row r="8743" spans="1:2" x14ac:dyDescent="0.25">
      <c r="A8743"/>
      <c r="B8743"/>
    </row>
    <row r="8744" spans="1:2" x14ac:dyDescent="0.25">
      <c r="A8744"/>
      <c r="B8744"/>
    </row>
    <row r="8745" spans="1:2" x14ac:dyDescent="0.25">
      <c r="A8745"/>
      <c r="B8745"/>
    </row>
    <row r="8746" spans="1:2" x14ac:dyDescent="0.25">
      <c r="A8746"/>
      <c r="B8746"/>
    </row>
    <row r="8747" spans="1:2" x14ac:dyDescent="0.25">
      <c r="A8747"/>
      <c r="B8747"/>
    </row>
    <row r="8748" spans="1:2" x14ac:dyDescent="0.25">
      <c r="A8748"/>
      <c r="B8748"/>
    </row>
    <row r="8749" spans="1:2" x14ac:dyDescent="0.25">
      <c r="A8749"/>
      <c r="B8749"/>
    </row>
    <row r="8750" spans="1:2" x14ac:dyDescent="0.25">
      <c r="A8750"/>
      <c r="B8750"/>
    </row>
    <row r="8751" spans="1:2" x14ac:dyDescent="0.25">
      <c r="A8751"/>
      <c r="B8751"/>
    </row>
    <row r="8752" spans="1:2" x14ac:dyDescent="0.25">
      <c r="A8752"/>
      <c r="B8752"/>
    </row>
    <row r="8753" spans="1:2" x14ac:dyDescent="0.25">
      <c r="A8753"/>
      <c r="B8753"/>
    </row>
    <row r="8754" spans="1:2" x14ac:dyDescent="0.25">
      <c r="A8754"/>
      <c r="B8754"/>
    </row>
    <row r="8755" spans="1:2" x14ac:dyDescent="0.25">
      <c r="A8755"/>
      <c r="B8755"/>
    </row>
    <row r="8756" spans="1:2" x14ac:dyDescent="0.25">
      <c r="A8756"/>
      <c r="B8756"/>
    </row>
    <row r="8757" spans="1:2" x14ac:dyDescent="0.25">
      <c r="A8757"/>
      <c r="B8757"/>
    </row>
    <row r="8758" spans="1:2" x14ac:dyDescent="0.25">
      <c r="A8758"/>
      <c r="B8758"/>
    </row>
    <row r="8759" spans="1:2" x14ac:dyDescent="0.25">
      <c r="A8759"/>
      <c r="B8759"/>
    </row>
    <row r="8760" spans="1:2" x14ac:dyDescent="0.25">
      <c r="A8760"/>
      <c r="B8760"/>
    </row>
    <row r="8761" spans="1:2" x14ac:dyDescent="0.25">
      <c r="A8761"/>
      <c r="B8761"/>
    </row>
    <row r="8762" spans="1:2" x14ac:dyDescent="0.25">
      <c r="A8762"/>
      <c r="B8762"/>
    </row>
    <row r="8763" spans="1:2" x14ac:dyDescent="0.25">
      <c r="A8763"/>
      <c r="B8763"/>
    </row>
    <row r="8764" spans="1:2" x14ac:dyDescent="0.25">
      <c r="A8764"/>
      <c r="B8764"/>
    </row>
    <row r="8765" spans="1:2" x14ac:dyDescent="0.25">
      <c r="A8765"/>
      <c r="B8765"/>
    </row>
    <row r="8766" spans="1:2" x14ac:dyDescent="0.25">
      <c r="A8766"/>
      <c r="B8766"/>
    </row>
    <row r="8767" spans="1:2" x14ac:dyDescent="0.25">
      <c r="A8767"/>
      <c r="B8767"/>
    </row>
    <row r="8768" spans="1:2" x14ac:dyDescent="0.25">
      <c r="A8768"/>
      <c r="B8768"/>
    </row>
    <row r="8769" spans="1:2" x14ac:dyDescent="0.25">
      <c r="A8769"/>
      <c r="B8769"/>
    </row>
    <row r="8770" spans="1:2" x14ac:dyDescent="0.25">
      <c r="A8770"/>
      <c r="B8770"/>
    </row>
    <row r="8771" spans="1:2" x14ac:dyDescent="0.25">
      <c r="A8771"/>
      <c r="B8771"/>
    </row>
    <row r="8772" spans="1:2" x14ac:dyDescent="0.25">
      <c r="A8772"/>
      <c r="B8772"/>
    </row>
    <row r="8773" spans="1:2" x14ac:dyDescent="0.25">
      <c r="A8773"/>
      <c r="B8773"/>
    </row>
    <row r="8774" spans="1:2" x14ac:dyDescent="0.25">
      <c r="A8774"/>
      <c r="B8774"/>
    </row>
    <row r="8775" spans="1:2" x14ac:dyDescent="0.25">
      <c r="A8775"/>
      <c r="B8775"/>
    </row>
    <row r="8776" spans="1:2" x14ac:dyDescent="0.25">
      <c r="A8776"/>
      <c r="B8776"/>
    </row>
    <row r="8777" spans="1:2" x14ac:dyDescent="0.25">
      <c r="A8777"/>
      <c r="B8777"/>
    </row>
    <row r="8778" spans="1:2" x14ac:dyDescent="0.25">
      <c r="A8778"/>
      <c r="B8778"/>
    </row>
    <row r="8779" spans="1:2" x14ac:dyDescent="0.25">
      <c r="A8779"/>
      <c r="B8779"/>
    </row>
    <row r="8780" spans="1:2" x14ac:dyDescent="0.25">
      <c r="A8780"/>
      <c r="B8780"/>
    </row>
    <row r="8781" spans="1:2" x14ac:dyDescent="0.25">
      <c r="A8781"/>
      <c r="B8781"/>
    </row>
    <row r="8782" spans="1:2" x14ac:dyDescent="0.25">
      <c r="A8782"/>
      <c r="B8782"/>
    </row>
    <row r="8783" spans="1:2" x14ac:dyDescent="0.25">
      <c r="A8783"/>
      <c r="B8783"/>
    </row>
    <row r="8784" spans="1:2" x14ac:dyDescent="0.25">
      <c r="A8784"/>
      <c r="B8784"/>
    </row>
    <row r="8785" spans="1:2" x14ac:dyDescent="0.25">
      <c r="A8785"/>
      <c r="B8785"/>
    </row>
    <row r="8786" spans="1:2" x14ac:dyDescent="0.25">
      <c r="A8786"/>
      <c r="B8786"/>
    </row>
    <row r="8787" spans="1:2" x14ac:dyDescent="0.25">
      <c r="A8787"/>
      <c r="B8787"/>
    </row>
    <row r="8788" spans="1:2" x14ac:dyDescent="0.25">
      <c r="A8788"/>
      <c r="B8788"/>
    </row>
    <row r="8789" spans="1:2" x14ac:dyDescent="0.25">
      <c r="A8789"/>
      <c r="B8789"/>
    </row>
    <row r="8790" spans="1:2" x14ac:dyDescent="0.25">
      <c r="A8790"/>
      <c r="B8790"/>
    </row>
    <row r="8791" spans="1:2" x14ac:dyDescent="0.25">
      <c r="A8791"/>
      <c r="B8791"/>
    </row>
    <row r="8792" spans="1:2" x14ac:dyDescent="0.25">
      <c r="A8792"/>
      <c r="B8792"/>
    </row>
    <row r="8793" spans="1:2" x14ac:dyDescent="0.25">
      <c r="A8793"/>
      <c r="B8793"/>
    </row>
    <row r="8794" spans="1:2" x14ac:dyDescent="0.25">
      <c r="A8794"/>
      <c r="B8794"/>
    </row>
    <row r="8795" spans="1:2" x14ac:dyDescent="0.25">
      <c r="A8795"/>
      <c r="B8795"/>
    </row>
    <row r="8796" spans="1:2" x14ac:dyDescent="0.25">
      <c r="A8796"/>
      <c r="B8796"/>
    </row>
    <row r="8797" spans="1:2" x14ac:dyDescent="0.25">
      <c r="A8797"/>
      <c r="B8797"/>
    </row>
    <row r="8798" spans="1:2" x14ac:dyDescent="0.25">
      <c r="A8798"/>
      <c r="B8798"/>
    </row>
    <row r="8799" spans="1:2" x14ac:dyDescent="0.25">
      <c r="A8799"/>
      <c r="B8799"/>
    </row>
    <row r="8800" spans="1:2" x14ac:dyDescent="0.25">
      <c r="A8800"/>
      <c r="B8800"/>
    </row>
    <row r="8801" spans="1:2" x14ac:dyDescent="0.25">
      <c r="A8801"/>
      <c r="B8801"/>
    </row>
    <row r="8802" spans="1:2" x14ac:dyDescent="0.25">
      <c r="A8802"/>
      <c r="B8802"/>
    </row>
    <row r="8803" spans="1:2" x14ac:dyDescent="0.25">
      <c r="A8803"/>
      <c r="B8803"/>
    </row>
    <row r="8804" spans="1:2" x14ac:dyDescent="0.25">
      <c r="A8804"/>
      <c r="B8804"/>
    </row>
    <row r="8805" spans="1:2" x14ac:dyDescent="0.25">
      <c r="A8805"/>
      <c r="B8805"/>
    </row>
    <row r="8806" spans="1:2" x14ac:dyDescent="0.25">
      <c r="A8806"/>
      <c r="B8806"/>
    </row>
    <row r="8807" spans="1:2" x14ac:dyDescent="0.25">
      <c r="A8807"/>
      <c r="B8807"/>
    </row>
    <row r="8808" spans="1:2" x14ac:dyDescent="0.25">
      <c r="A8808"/>
      <c r="B8808"/>
    </row>
    <row r="8809" spans="1:2" x14ac:dyDescent="0.25">
      <c r="A8809"/>
      <c r="B8809"/>
    </row>
    <row r="8810" spans="1:2" x14ac:dyDescent="0.25">
      <c r="A8810"/>
      <c r="B8810"/>
    </row>
    <row r="8811" spans="1:2" x14ac:dyDescent="0.25">
      <c r="A8811"/>
      <c r="B8811"/>
    </row>
    <row r="8812" spans="1:2" x14ac:dyDescent="0.25">
      <c r="A8812"/>
      <c r="B8812"/>
    </row>
    <row r="8813" spans="1:2" x14ac:dyDescent="0.25">
      <c r="A8813"/>
      <c r="B8813"/>
    </row>
    <row r="8814" spans="1:2" x14ac:dyDescent="0.25">
      <c r="A8814"/>
      <c r="B8814"/>
    </row>
    <row r="8815" spans="1:2" x14ac:dyDescent="0.25">
      <c r="A8815"/>
      <c r="B8815"/>
    </row>
    <row r="8816" spans="1:2" x14ac:dyDescent="0.25">
      <c r="A8816"/>
      <c r="B8816"/>
    </row>
    <row r="8817" spans="1:2" x14ac:dyDescent="0.25">
      <c r="A8817"/>
      <c r="B8817"/>
    </row>
    <row r="8818" spans="1:2" x14ac:dyDescent="0.25">
      <c r="A8818"/>
      <c r="B8818"/>
    </row>
    <row r="8819" spans="1:2" x14ac:dyDescent="0.25">
      <c r="A8819"/>
      <c r="B8819"/>
    </row>
    <row r="8820" spans="1:2" x14ac:dyDescent="0.25">
      <c r="A8820"/>
      <c r="B8820"/>
    </row>
    <row r="8821" spans="1:2" x14ac:dyDescent="0.25">
      <c r="A8821"/>
      <c r="B8821"/>
    </row>
    <row r="8822" spans="1:2" x14ac:dyDescent="0.25">
      <c r="A8822"/>
      <c r="B8822"/>
    </row>
    <row r="8823" spans="1:2" x14ac:dyDescent="0.25">
      <c r="A8823"/>
      <c r="B8823"/>
    </row>
    <row r="8824" spans="1:2" x14ac:dyDescent="0.25">
      <c r="A8824"/>
      <c r="B8824"/>
    </row>
    <row r="8825" spans="1:2" x14ac:dyDescent="0.25">
      <c r="A8825"/>
      <c r="B8825"/>
    </row>
    <row r="8826" spans="1:2" x14ac:dyDescent="0.25">
      <c r="A8826"/>
      <c r="B8826"/>
    </row>
    <row r="8827" spans="1:2" x14ac:dyDescent="0.25">
      <c r="A8827"/>
      <c r="B8827"/>
    </row>
    <row r="8828" spans="1:2" x14ac:dyDescent="0.25">
      <c r="A8828"/>
      <c r="B8828"/>
    </row>
    <row r="8829" spans="1:2" x14ac:dyDescent="0.25">
      <c r="A8829"/>
      <c r="B8829"/>
    </row>
    <row r="8830" spans="1:2" x14ac:dyDescent="0.25">
      <c r="A8830"/>
      <c r="B8830"/>
    </row>
    <row r="8831" spans="1:2" x14ac:dyDescent="0.25">
      <c r="A8831"/>
      <c r="B8831"/>
    </row>
    <row r="8832" spans="1:2" x14ac:dyDescent="0.25">
      <c r="A8832"/>
      <c r="B8832"/>
    </row>
    <row r="8833" spans="1:2" x14ac:dyDescent="0.25">
      <c r="A8833"/>
      <c r="B8833"/>
    </row>
    <row r="8834" spans="1:2" x14ac:dyDescent="0.25">
      <c r="A8834"/>
      <c r="B8834"/>
    </row>
    <row r="8835" spans="1:2" x14ac:dyDescent="0.25">
      <c r="A8835"/>
      <c r="B8835"/>
    </row>
    <row r="8836" spans="1:2" x14ac:dyDescent="0.25">
      <c r="A8836"/>
      <c r="B8836"/>
    </row>
    <row r="8837" spans="1:2" x14ac:dyDescent="0.25">
      <c r="A8837"/>
      <c r="B8837"/>
    </row>
    <row r="8838" spans="1:2" x14ac:dyDescent="0.25">
      <c r="A8838"/>
      <c r="B8838"/>
    </row>
    <row r="8839" spans="1:2" x14ac:dyDescent="0.25">
      <c r="A8839"/>
      <c r="B8839"/>
    </row>
    <row r="8840" spans="1:2" x14ac:dyDescent="0.25">
      <c r="A8840"/>
      <c r="B8840"/>
    </row>
    <row r="8841" spans="1:2" x14ac:dyDescent="0.25">
      <c r="A8841"/>
      <c r="B8841"/>
    </row>
    <row r="8842" spans="1:2" x14ac:dyDescent="0.25">
      <c r="A8842"/>
      <c r="B8842"/>
    </row>
    <row r="8843" spans="1:2" x14ac:dyDescent="0.25">
      <c r="A8843"/>
      <c r="B8843"/>
    </row>
    <row r="8844" spans="1:2" x14ac:dyDescent="0.25">
      <c r="A8844"/>
      <c r="B8844"/>
    </row>
    <row r="8845" spans="1:2" x14ac:dyDescent="0.25">
      <c r="A8845"/>
      <c r="B8845"/>
    </row>
    <row r="8846" spans="1:2" x14ac:dyDescent="0.25">
      <c r="A8846"/>
      <c r="B8846"/>
    </row>
    <row r="8847" spans="1:2" x14ac:dyDescent="0.25">
      <c r="A8847"/>
      <c r="B8847"/>
    </row>
    <row r="8848" spans="1:2" x14ac:dyDescent="0.25">
      <c r="A8848"/>
      <c r="B8848"/>
    </row>
    <row r="8849" spans="1:2" x14ac:dyDescent="0.25">
      <c r="A8849"/>
      <c r="B8849"/>
    </row>
    <row r="8850" spans="1:2" x14ac:dyDescent="0.25">
      <c r="A8850"/>
      <c r="B8850"/>
    </row>
    <row r="8851" spans="1:2" x14ac:dyDescent="0.25">
      <c r="A8851"/>
      <c r="B8851"/>
    </row>
    <row r="8852" spans="1:2" x14ac:dyDescent="0.25">
      <c r="A8852"/>
      <c r="B8852"/>
    </row>
    <row r="8853" spans="1:2" x14ac:dyDescent="0.25">
      <c r="A8853"/>
      <c r="B8853"/>
    </row>
    <row r="8854" spans="1:2" x14ac:dyDescent="0.25">
      <c r="A8854"/>
      <c r="B8854"/>
    </row>
    <row r="8855" spans="1:2" x14ac:dyDescent="0.25">
      <c r="A8855"/>
      <c r="B8855"/>
    </row>
    <row r="8856" spans="1:2" x14ac:dyDescent="0.25">
      <c r="A8856"/>
      <c r="B8856"/>
    </row>
    <row r="8857" spans="1:2" x14ac:dyDescent="0.25">
      <c r="A8857"/>
      <c r="B8857"/>
    </row>
    <row r="8858" spans="1:2" x14ac:dyDescent="0.25">
      <c r="A8858"/>
      <c r="B8858"/>
    </row>
    <row r="8859" spans="1:2" x14ac:dyDescent="0.25">
      <c r="A8859"/>
      <c r="B8859"/>
    </row>
    <row r="8860" spans="1:2" x14ac:dyDescent="0.25">
      <c r="A8860"/>
      <c r="B8860"/>
    </row>
    <row r="8861" spans="1:2" x14ac:dyDescent="0.25">
      <c r="A8861"/>
      <c r="B8861"/>
    </row>
    <row r="8862" spans="1:2" x14ac:dyDescent="0.25">
      <c r="A8862"/>
      <c r="B8862"/>
    </row>
    <row r="8863" spans="1:2" x14ac:dyDescent="0.25">
      <c r="A8863"/>
      <c r="B8863"/>
    </row>
    <row r="8864" spans="1:2" x14ac:dyDescent="0.25">
      <c r="A8864"/>
      <c r="B8864"/>
    </row>
    <row r="8865" spans="1:2" x14ac:dyDescent="0.25">
      <c r="A8865"/>
      <c r="B8865"/>
    </row>
    <row r="8866" spans="1:2" x14ac:dyDescent="0.25">
      <c r="A8866"/>
      <c r="B8866"/>
    </row>
    <row r="8867" spans="1:2" x14ac:dyDescent="0.25">
      <c r="A8867"/>
      <c r="B8867"/>
    </row>
    <row r="8868" spans="1:2" x14ac:dyDescent="0.25">
      <c r="A8868"/>
      <c r="B8868"/>
    </row>
    <row r="8869" spans="1:2" x14ac:dyDescent="0.25">
      <c r="A8869"/>
      <c r="B8869"/>
    </row>
    <row r="8870" spans="1:2" x14ac:dyDescent="0.25">
      <c r="A8870"/>
      <c r="B8870"/>
    </row>
    <row r="8871" spans="1:2" x14ac:dyDescent="0.25">
      <c r="A8871"/>
      <c r="B8871"/>
    </row>
    <row r="8872" spans="1:2" x14ac:dyDescent="0.25">
      <c r="A8872"/>
      <c r="B8872"/>
    </row>
    <row r="8873" spans="1:2" x14ac:dyDescent="0.25">
      <c r="A8873"/>
      <c r="B8873"/>
    </row>
    <row r="8874" spans="1:2" x14ac:dyDescent="0.25">
      <c r="A8874"/>
      <c r="B8874"/>
    </row>
    <row r="8875" spans="1:2" x14ac:dyDescent="0.25">
      <c r="A8875"/>
      <c r="B8875"/>
    </row>
    <row r="8876" spans="1:2" x14ac:dyDescent="0.25">
      <c r="A8876"/>
      <c r="B8876"/>
    </row>
    <row r="8877" spans="1:2" x14ac:dyDescent="0.25">
      <c r="A8877"/>
      <c r="B8877"/>
    </row>
    <row r="8878" spans="1:2" x14ac:dyDescent="0.25">
      <c r="A8878"/>
      <c r="B8878"/>
    </row>
    <row r="8879" spans="1:2" x14ac:dyDescent="0.25">
      <c r="A8879"/>
      <c r="B8879"/>
    </row>
    <row r="8880" spans="1:2" x14ac:dyDescent="0.25">
      <c r="A8880"/>
      <c r="B8880"/>
    </row>
    <row r="8881" spans="1:2" x14ac:dyDescent="0.25">
      <c r="A8881"/>
      <c r="B8881"/>
    </row>
    <row r="8882" spans="1:2" x14ac:dyDescent="0.25">
      <c r="A8882"/>
      <c r="B8882"/>
    </row>
    <row r="8883" spans="1:2" x14ac:dyDescent="0.25">
      <c r="A8883"/>
      <c r="B8883"/>
    </row>
    <row r="8884" spans="1:2" x14ac:dyDescent="0.25">
      <c r="A8884"/>
      <c r="B8884"/>
    </row>
    <row r="8885" spans="1:2" x14ac:dyDescent="0.25">
      <c r="A8885"/>
      <c r="B8885"/>
    </row>
    <row r="8886" spans="1:2" x14ac:dyDescent="0.25">
      <c r="A8886"/>
      <c r="B8886"/>
    </row>
    <row r="8887" spans="1:2" x14ac:dyDescent="0.25">
      <c r="A8887"/>
      <c r="B8887"/>
    </row>
    <row r="8888" spans="1:2" x14ac:dyDescent="0.25">
      <c r="A8888"/>
      <c r="B8888"/>
    </row>
    <row r="8889" spans="1:2" x14ac:dyDescent="0.25">
      <c r="A8889"/>
      <c r="B8889"/>
    </row>
    <row r="8890" spans="1:2" x14ac:dyDescent="0.25">
      <c r="A8890"/>
      <c r="B8890"/>
    </row>
    <row r="8891" spans="1:2" x14ac:dyDescent="0.25">
      <c r="A8891"/>
      <c r="B8891"/>
    </row>
    <row r="8892" spans="1:2" x14ac:dyDescent="0.25">
      <c r="A8892"/>
      <c r="B8892"/>
    </row>
    <row r="8893" spans="1:2" x14ac:dyDescent="0.25">
      <c r="A8893"/>
      <c r="B8893"/>
    </row>
    <row r="8894" spans="1:2" x14ac:dyDescent="0.25">
      <c r="A8894"/>
      <c r="B8894"/>
    </row>
    <row r="8895" spans="1:2" x14ac:dyDescent="0.25">
      <c r="A8895"/>
      <c r="B8895"/>
    </row>
    <row r="8896" spans="1:2" x14ac:dyDescent="0.25">
      <c r="A8896"/>
      <c r="B8896"/>
    </row>
    <row r="8897" spans="1:2" x14ac:dyDescent="0.25">
      <c r="A8897"/>
      <c r="B8897"/>
    </row>
    <row r="8898" spans="1:2" x14ac:dyDescent="0.25">
      <c r="A8898"/>
      <c r="B8898"/>
    </row>
    <row r="8899" spans="1:2" x14ac:dyDescent="0.25">
      <c r="A8899"/>
      <c r="B8899"/>
    </row>
    <row r="8900" spans="1:2" x14ac:dyDescent="0.25">
      <c r="A8900"/>
      <c r="B8900"/>
    </row>
    <row r="8901" spans="1:2" x14ac:dyDescent="0.25">
      <c r="A8901"/>
      <c r="B8901"/>
    </row>
    <row r="8902" spans="1:2" x14ac:dyDescent="0.25">
      <c r="A8902"/>
      <c r="B8902"/>
    </row>
    <row r="8903" spans="1:2" x14ac:dyDescent="0.25">
      <c r="A8903"/>
      <c r="B8903"/>
    </row>
    <row r="8904" spans="1:2" x14ac:dyDescent="0.25">
      <c r="A8904"/>
      <c r="B8904"/>
    </row>
    <row r="8905" spans="1:2" x14ac:dyDescent="0.25">
      <c r="A8905"/>
      <c r="B8905"/>
    </row>
    <row r="8906" spans="1:2" x14ac:dyDescent="0.25">
      <c r="A8906"/>
      <c r="B8906"/>
    </row>
    <row r="8907" spans="1:2" x14ac:dyDescent="0.25">
      <c r="A8907"/>
      <c r="B8907"/>
    </row>
    <row r="8908" spans="1:2" x14ac:dyDescent="0.25">
      <c r="A8908"/>
      <c r="B8908"/>
    </row>
    <row r="8909" spans="1:2" x14ac:dyDescent="0.25">
      <c r="A8909"/>
      <c r="B8909"/>
    </row>
    <row r="8910" spans="1:2" x14ac:dyDescent="0.25">
      <c r="A8910"/>
      <c r="B8910"/>
    </row>
    <row r="8911" spans="1:2" x14ac:dyDescent="0.25">
      <c r="A8911"/>
      <c r="B8911"/>
    </row>
    <row r="8912" spans="1:2" x14ac:dyDescent="0.25">
      <c r="A8912"/>
      <c r="B8912"/>
    </row>
    <row r="8913" spans="1:2" x14ac:dyDescent="0.25">
      <c r="A8913"/>
      <c r="B8913"/>
    </row>
    <row r="8914" spans="1:2" x14ac:dyDescent="0.25">
      <c r="A8914"/>
      <c r="B8914"/>
    </row>
    <row r="8915" spans="1:2" x14ac:dyDescent="0.25">
      <c r="A8915"/>
      <c r="B8915"/>
    </row>
    <row r="8916" spans="1:2" x14ac:dyDescent="0.25">
      <c r="A8916"/>
      <c r="B8916"/>
    </row>
    <row r="8917" spans="1:2" x14ac:dyDescent="0.25">
      <c r="A8917"/>
      <c r="B8917"/>
    </row>
    <row r="8918" spans="1:2" x14ac:dyDescent="0.25">
      <c r="A8918"/>
      <c r="B8918"/>
    </row>
    <row r="8919" spans="1:2" x14ac:dyDescent="0.25">
      <c r="A8919"/>
      <c r="B8919"/>
    </row>
    <row r="8920" spans="1:2" x14ac:dyDescent="0.25">
      <c r="A8920"/>
      <c r="B8920"/>
    </row>
    <row r="8921" spans="1:2" x14ac:dyDescent="0.25">
      <c r="A8921"/>
      <c r="B8921"/>
    </row>
    <row r="8922" spans="1:2" x14ac:dyDescent="0.25">
      <c r="A8922"/>
      <c r="B8922"/>
    </row>
    <row r="8923" spans="1:2" x14ac:dyDescent="0.25">
      <c r="A8923"/>
      <c r="B8923"/>
    </row>
    <row r="8924" spans="1:2" x14ac:dyDescent="0.25">
      <c r="A8924"/>
      <c r="B8924"/>
    </row>
    <row r="8925" spans="1:2" x14ac:dyDescent="0.25">
      <c r="A8925"/>
      <c r="B8925"/>
    </row>
    <row r="8926" spans="1:2" x14ac:dyDescent="0.25">
      <c r="A8926"/>
      <c r="B8926"/>
    </row>
    <row r="8927" spans="1:2" x14ac:dyDescent="0.25">
      <c r="A8927"/>
      <c r="B8927"/>
    </row>
    <row r="8928" spans="1:2" x14ac:dyDescent="0.25">
      <c r="A8928"/>
      <c r="B8928"/>
    </row>
    <row r="8929" spans="1:2" x14ac:dyDescent="0.25">
      <c r="A8929"/>
      <c r="B8929"/>
    </row>
    <row r="8930" spans="1:2" x14ac:dyDescent="0.25">
      <c r="A8930"/>
      <c r="B8930"/>
    </row>
    <row r="8931" spans="1:2" x14ac:dyDescent="0.25">
      <c r="A8931"/>
      <c r="B8931"/>
    </row>
    <row r="8932" spans="1:2" x14ac:dyDescent="0.25">
      <c r="A8932"/>
      <c r="B8932"/>
    </row>
    <row r="8933" spans="1:2" x14ac:dyDescent="0.25">
      <c r="A8933"/>
      <c r="B8933"/>
    </row>
    <row r="8934" spans="1:2" x14ac:dyDescent="0.25">
      <c r="A8934"/>
      <c r="B8934"/>
    </row>
    <row r="8935" spans="1:2" x14ac:dyDescent="0.25">
      <c r="A8935"/>
      <c r="B8935"/>
    </row>
    <row r="8936" spans="1:2" x14ac:dyDescent="0.25">
      <c r="A8936"/>
      <c r="B8936"/>
    </row>
    <row r="8937" spans="1:2" x14ac:dyDescent="0.25">
      <c r="A8937"/>
      <c r="B8937"/>
    </row>
    <row r="8938" spans="1:2" x14ac:dyDescent="0.25">
      <c r="A8938"/>
      <c r="B8938"/>
    </row>
    <row r="8939" spans="1:2" x14ac:dyDescent="0.25">
      <c r="A8939"/>
      <c r="B8939"/>
    </row>
    <row r="8940" spans="1:2" x14ac:dyDescent="0.25">
      <c r="A8940"/>
      <c r="B8940"/>
    </row>
    <row r="8941" spans="1:2" x14ac:dyDescent="0.25">
      <c r="A8941"/>
      <c r="B8941"/>
    </row>
    <row r="8942" spans="1:2" x14ac:dyDescent="0.25">
      <c r="A8942"/>
      <c r="B8942"/>
    </row>
    <row r="8943" spans="1:2" x14ac:dyDescent="0.25">
      <c r="A8943"/>
      <c r="B8943"/>
    </row>
    <row r="8944" spans="1:2" x14ac:dyDescent="0.25">
      <c r="A8944"/>
      <c r="B8944"/>
    </row>
    <row r="8945" spans="1:2" x14ac:dyDescent="0.25">
      <c r="A8945"/>
      <c r="B8945"/>
    </row>
    <row r="8946" spans="1:2" x14ac:dyDescent="0.25">
      <c r="A8946"/>
      <c r="B8946"/>
    </row>
    <row r="8947" spans="1:2" x14ac:dyDescent="0.25">
      <c r="A8947"/>
      <c r="B8947"/>
    </row>
    <row r="8948" spans="1:2" x14ac:dyDescent="0.25">
      <c r="A8948"/>
      <c r="B8948"/>
    </row>
    <row r="8949" spans="1:2" x14ac:dyDescent="0.25">
      <c r="A8949"/>
      <c r="B8949"/>
    </row>
    <row r="8950" spans="1:2" x14ac:dyDescent="0.25">
      <c r="A8950"/>
      <c r="B8950"/>
    </row>
    <row r="8951" spans="1:2" x14ac:dyDescent="0.25">
      <c r="A8951"/>
      <c r="B8951"/>
    </row>
    <row r="8952" spans="1:2" x14ac:dyDescent="0.25">
      <c r="A8952"/>
      <c r="B8952"/>
    </row>
    <row r="8953" spans="1:2" x14ac:dyDescent="0.25">
      <c r="A8953"/>
      <c r="B8953"/>
    </row>
    <row r="8954" spans="1:2" x14ac:dyDescent="0.25">
      <c r="A8954"/>
      <c r="B8954"/>
    </row>
    <row r="8955" spans="1:2" x14ac:dyDescent="0.25">
      <c r="A8955"/>
      <c r="B8955"/>
    </row>
    <row r="8956" spans="1:2" x14ac:dyDescent="0.25">
      <c r="A8956"/>
      <c r="B8956"/>
    </row>
    <row r="8957" spans="1:2" x14ac:dyDescent="0.25">
      <c r="A8957"/>
      <c r="B8957"/>
    </row>
    <row r="8958" spans="1:2" x14ac:dyDescent="0.25">
      <c r="A8958"/>
      <c r="B8958"/>
    </row>
    <row r="8959" spans="1:2" x14ac:dyDescent="0.25">
      <c r="A8959"/>
      <c r="B8959"/>
    </row>
    <row r="8960" spans="1:2" x14ac:dyDescent="0.25">
      <c r="A8960"/>
      <c r="B8960"/>
    </row>
    <row r="8961" spans="1:2" x14ac:dyDescent="0.25">
      <c r="A8961"/>
      <c r="B8961"/>
    </row>
    <row r="8962" spans="1:2" x14ac:dyDescent="0.25">
      <c r="A8962"/>
      <c r="B8962"/>
    </row>
    <row r="8963" spans="1:2" x14ac:dyDescent="0.25">
      <c r="A8963"/>
      <c r="B8963"/>
    </row>
    <row r="8964" spans="1:2" x14ac:dyDescent="0.25">
      <c r="A8964"/>
      <c r="B8964"/>
    </row>
    <row r="8965" spans="1:2" x14ac:dyDescent="0.25">
      <c r="A8965"/>
      <c r="B8965"/>
    </row>
    <row r="8966" spans="1:2" x14ac:dyDescent="0.25">
      <c r="A8966"/>
      <c r="B8966"/>
    </row>
    <row r="8967" spans="1:2" x14ac:dyDescent="0.25">
      <c r="A8967"/>
      <c r="B8967"/>
    </row>
    <row r="8968" spans="1:2" x14ac:dyDescent="0.25">
      <c r="A8968"/>
      <c r="B8968"/>
    </row>
    <row r="8969" spans="1:2" x14ac:dyDescent="0.25">
      <c r="A8969"/>
      <c r="B8969"/>
    </row>
    <row r="8970" spans="1:2" x14ac:dyDescent="0.25">
      <c r="A8970"/>
      <c r="B8970"/>
    </row>
    <row r="8971" spans="1:2" x14ac:dyDescent="0.25">
      <c r="A8971"/>
      <c r="B8971"/>
    </row>
    <row r="8972" spans="1:2" x14ac:dyDescent="0.25">
      <c r="A8972"/>
      <c r="B8972"/>
    </row>
    <row r="8973" spans="1:2" x14ac:dyDescent="0.25">
      <c r="A8973"/>
      <c r="B8973"/>
    </row>
    <row r="8974" spans="1:2" x14ac:dyDescent="0.25">
      <c r="A8974"/>
      <c r="B8974"/>
    </row>
    <row r="8975" spans="1:2" x14ac:dyDescent="0.25">
      <c r="A8975"/>
      <c r="B8975"/>
    </row>
    <row r="8976" spans="1:2" x14ac:dyDescent="0.25">
      <c r="A8976"/>
      <c r="B8976"/>
    </row>
    <row r="8977" spans="1:2" x14ac:dyDescent="0.25">
      <c r="A8977"/>
      <c r="B8977"/>
    </row>
    <row r="8978" spans="1:2" x14ac:dyDescent="0.25">
      <c r="A8978"/>
      <c r="B8978"/>
    </row>
    <row r="8979" spans="1:2" x14ac:dyDescent="0.25">
      <c r="A8979"/>
      <c r="B8979"/>
    </row>
    <row r="8980" spans="1:2" x14ac:dyDescent="0.25">
      <c r="A8980"/>
      <c r="B8980"/>
    </row>
    <row r="8981" spans="1:2" x14ac:dyDescent="0.25">
      <c r="A8981"/>
      <c r="B8981"/>
    </row>
    <row r="8982" spans="1:2" x14ac:dyDescent="0.25">
      <c r="A8982"/>
      <c r="B8982"/>
    </row>
    <row r="8983" spans="1:2" x14ac:dyDescent="0.25">
      <c r="A8983"/>
      <c r="B8983"/>
    </row>
    <row r="8984" spans="1:2" x14ac:dyDescent="0.25">
      <c r="A8984"/>
      <c r="B8984"/>
    </row>
    <row r="8985" spans="1:2" x14ac:dyDescent="0.25">
      <c r="A8985"/>
      <c r="B8985"/>
    </row>
    <row r="8986" spans="1:2" x14ac:dyDescent="0.25">
      <c r="A8986"/>
      <c r="B8986"/>
    </row>
    <row r="8987" spans="1:2" x14ac:dyDescent="0.25">
      <c r="A8987"/>
      <c r="B8987"/>
    </row>
    <row r="8988" spans="1:2" x14ac:dyDescent="0.25">
      <c r="A8988"/>
      <c r="B8988"/>
    </row>
    <row r="8989" spans="1:2" x14ac:dyDescent="0.25">
      <c r="A8989"/>
      <c r="B8989"/>
    </row>
    <row r="8990" spans="1:2" x14ac:dyDescent="0.25">
      <c r="A8990"/>
      <c r="B8990"/>
    </row>
    <row r="8991" spans="1:2" x14ac:dyDescent="0.25">
      <c r="A8991"/>
      <c r="B8991"/>
    </row>
    <row r="8992" spans="1:2" x14ac:dyDescent="0.25">
      <c r="A8992"/>
      <c r="B8992"/>
    </row>
    <row r="8993" spans="1:2" x14ac:dyDescent="0.25">
      <c r="A8993"/>
      <c r="B8993"/>
    </row>
    <row r="8994" spans="1:2" x14ac:dyDescent="0.25">
      <c r="A8994"/>
      <c r="B8994"/>
    </row>
    <row r="8995" spans="1:2" x14ac:dyDescent="0.25">
      <c r="A8995"/>
      <c r="B8995"/>
    </row>
    <row r="8996" spans="1:2" x14ac:dyDescent="0.25">
      <c r="A8996"/>
      <c r="B8996"/>
    </row>
    <row r="8997" spans="1:2" x14ac:dyDescent="0.25">
      <c r="A8997"/>
      <c r="B8997"/>
    </row>
    <row r="8998" spans="1:2" x14ac:dyDescent="0.25">
      <c r="A8998"/>
      <c r="B8998"/>
    </row>
    <row r="8999" spans="1:2" x14ac:dyDescent="0.25">
      <c r="A8999"/>
      <c r="B8999"/>
    </row>
    <row r="9000" spans="1:2" x14ac:dyDescent="0.25">
      <c r="A9000"/>
      <c r="B9000"/>
    </row>
    <row r="9001" spans="1:2" x14ac:dyDescent="0.25">
      <c r="A9001"/>
      <c r="B9001"/>
    </row>
    <row r="9002" spans="1:2" x14ac:dyDescent="0.25">
      <c r="A9002"/>
      <c r="B9002"/>
    </row>
    <row r="9003" spans="1:2" x14ac:dyDescent="0.25">
      <c r="A9003"/>
      <c r="B9003"/>
    </row>
    <row r="9004" spans="1:2" x14ac:dyDescent="0.25">
      <c r="A9004"/>
      <c r="B9004"/>
    </row>
    <row r="9005" spans="1:2" x14ac:dyDescent="0.25">
      <c r="A9005"/>
      <c r="B9005"/>
    </row>
    <row r="9006" spans="1:2" x14ac:dyDescent="0.25">
      <c r="A9006"/>
      <c r="B9006"/>
    </row>
    <row r="9007" spans="1:2" x14ac:dyDescent="0.25">
      <c r="A9007"/>
      <c r="B9007"/>
    </row>
    <row r="9008" spans="1:2" x14ac:dyDescent="0.25">
      <c r="A9008"/>
      <c r="B9008"/>
    </row>
    <row r="9009" spans="1:2" x14ac:dyDescent="0.25">
      <c r="A9009"/>
      <c r="B9009"/>
    </row>
    <row r="9010" spans="1:2" x14ac:dyDescent="0.25">
      <c r="A9010"/>
      <c r="B9010"/>
    </row>
    <row r="9011" spans="1:2" x14ac:dyDescent="0.25">
      <c r="A9011"/>
      <c r="B9011"/>
    </row>
    <row r="9012" spans="1:2" x14ac:dyDescent="0.25">
      <c r="A9012"/>
      <c r="B9012"/>
    </row>
    <row r="9013" spans="1:2" x14ac:dyDescent="0.25">
      <c r="A9013"/>
      <c r="B9013"/>
    </row>
    <row r="9014" spans="1:2" x14ac:dyDescent="0.25">
      <c r="A9014"/>
      <c r="B9014"/>
    </row>
    <row r="9015" spans="1:2" x14ac:dyDescent="0.25">
      <c r="A9015"/>
      <c r="B9015"/>
    </row>
    <row r="9016" spans="1:2" x14ac:dyDescent="0.25">
      <c r="A9016"/>
      <c r="B9016"/>
    </row>
    <row r="9017" spans="1:2" x14ac:dyDescent="0.25">
      <c r="A9017"/>
      <c r="B9017"/>
    </row>
    <row r="9018" spans="1:2" x14ac:dyDescent="0.25">
      <c r="A9018"/>
      <c r="B9018"/>
    </row>
    <row r="9019" spans="1:2" x14ac:dyDescent="0.25">
      <c r="A9019"/>
      <c r="B9019"/>
    </row>
    <row r="9020" spans="1:2" x14ac:dyDescent="0.25">
      <c r="A9020"/>
      <c r="B9020"/>
    </row>
    <row r="9021" spans="1:2" x14ac:dyDescent="0.25">
      <c r="A9021"/>
      <c r="B9021"/>
    </row>
    <row r="9022" spans="1:2" x14ac:dyDescent="0.25">
      <c r="A9022"/>
      <c r="B9022"/>
    </row>
    <row r="9023" spans="1:2" x14ac:dyDescent="0.25">
      <c r="A9023"/>
      <c r="B9023"/>
    </row>
    <row r="9024" spans="1:2" x14ac:dyDescent="0.25">
      <c r="A9024"/>
      <c r="B9024"/>
    </row>
    <row r="9025" spans="1:2" x14ac:dyDescent="0.25">
      <c r="A9025"/>
      <c r="B9025"/>
    </row>
    <row r="9026" spans="1:2" x14ac:dyDescent="0.25">
      <c r="A9026"/>
      <c r="B9026"/>
    </row>
    <row r="9027" spans="1:2" x14ac:dyDescent="0.25">
      <c r="A9027"/>
      <c r="B9027"/>
    </row>
    <row r="9028" spans="1:2" x14ac:dyDescent="0.25">
      <c r="A9028"/>
      <c r="B9028"/>
    </row>
    <row r="9029" spans="1:2" x14ac:dyDescent="0.25">
      <c r="A9029"/>
      <c r="B9029"/>
    </row>
    <row r="9030" spans="1:2" x14ac:dyDescent="0.25">
      <c r="A9030"/>
      <c r="B9030"/>
    </row>
    <row r="9031" spans="1:2" x14ac:dyDescent="0.25">
      <c r="A9031"/>
      <c r="B9031"/>
    </row>
    <row r="9032" spans="1:2" x14ac:dyDescent="0.25">
      <c r="A9032"/>
      <c r="B9032"/>
    </row>
    <row r="9033" spans="1:2" x14ac:dyDescent="0.25">
      <c r="A9033"/>
      <c r="B9033"/>
    </row>
    <row r="9034" spans="1:2" x14ac:dyDescent="0.25">
      <c r="A9034"/>
      <c r="B9034"/>
    </row>
    <row r="9035" spans="1:2" x14ac:dyDescent="0.25">
      <c r="A9035"/>
      <c r="B9035"/>
    </row>
    <row r="9036" spans="1:2" x14ac:dyDescent="0.25">
      <c r="A9036"/>
      <c r="B9036"/>
    </row>
    <row r="9037" spans="1:2" x14ac:dyDescent="0.25">
      <c r="A9037"/>
      <c r="B9037"/>
    </row>
    <row r="9038" spans="1:2" x14ac:dyDescent="0.25">
      <c r="A9038"/>
      <c r="B9038"/>
    </row>
    <row r="9039" spans="1:2" x14ac:dyDescent="0.25">
      <c r="A9039"/>
      <c r="B9039"/>
    </row>
    <row r="9040" spans="1:2" x14ac:dyDescent="0.25">
      <c r="A9040"/>
      <c r="B9040"/>
    </row>
    <row r="9041" spans="1:2" x14ac:dyDescent="0.25">
      <c r="A9041"/>
      <c r="B9041"/>
    </row>
    <row r="9042" spans="1:2" x14ac:dyDescent="0.25">
      <c r="A9042"/>
      <c r="B9042"/>
    </row>
    <row r="9043" spans="1:2" x14ac:dyDescent="0.25">
      <c r="A9043"/>
      <c r="B9043"/>
    </row>
    <row r="9044" spans="1:2" x14ac:dyDescent="0.25">
      <c r="A9044"/>
      <c r="B9044"/>
    </row>
    <row r="9045" spans="1:2" x14ac:dyDescent="0.25">
      <c r="A9045"/>
      <c r="B9045"/>
    </row>
    <row r="9046" spans="1:2" x14ac:dyDescent="0.25">
      <c r="A9046"/>
      <c r="B9046"/>
    </row>
    <row r="9047" spans="1:2" x14ac:dyDescent="0.25">
      <c r="A9047"/>
      <c r="B9047"/>
    </row>
    <row r="9048" spans="1:2" x14ac:dyDescent="0.25">
      <c r="A9048"/>
      <c r="B9048"/>
    </row>
    <row r="9049" spans="1:2" x14ac:dyDescent="0.25">
      <c r="A9049"/>
      <c r="B9049"/>
    </row>
    <row r="9050" spans="1:2" x14ac:dyDescent="0.25">
      <c r="A9050"/>
      <c r="B9050"/>
    </row>
    <row r="9051" spans="1:2" x14ac:dyDescent="0.25">
      <c r="A9051"/>
      <c r="B9051"/>
    </row>
    <row r="9052" spans="1:2" x14ac:dyDescent="0.25">
      <c r="A9052"/>
      <c r="B9052"/>
    </row>
    <row r="9053" spans="1:2" x14ac:dyDescent="0.25">
      <c r="A9053"/>
      <c r="B9053"/>
    </row>
    <row r="9054" spans="1:2" x14ac:dyDescent="0.25">
      <c r="A9054"/>
      <c r="B9054"/>
    </row>
    <row r="9055" spans="1:2" x14ac:dyDescent="0.25">
      <c r="A9055"/>
      <c r="B9055"/>
    </row>
    <row r="9056" spans="1:2" x14ac:dyDescent="0.25">
      <c r="A9056"/>
      <c r="B9056"/>
    </row>
    <row r="9057" spans="1:2" x14ac:dyDescent="0.25">
      <c r="A9057"/>
      <c r="B9057"/>
    </row>
    <row r="9058" spans="1:2" x14ac:dyDescent="0.25">
      <c r="A9058"/>
      <c r="B9058"/>
    </row>
    <row r="9059" spans="1:2" x14ac:dyDescent="0.25">
      <c r="A9059"/>
      <c r="B9059"/>
    </row>
    <row r="9060" spans="1:2" x14ac:dyDescent="0.25">
      <c r="A9060"/>
      <c r="B9060"/>
    </row>
    <row r="9061" spans="1:2" x14ac:dyDescent="0.25">
      <c r="A9061"/>
      <c r="B9061"/>
    </row>
    <row r="9062" spans="1:2" x14ac:dyDescent="0.25">
      <c r="A9062"/>
      <c r="B9062"/>
    </row>
    <row r="9063" spans="1:2" x14ac:dyDescent="0.25">
      <c r="A9063"/>
      <c r="B9063"/>
    </row>
    <row r="9064" spans="1:2" x14ac:dyDescent="0.25">
      <c r="A9064"/>
      <c r="B9064"/>
    </row>
    <row r="9065" spans="1:2" x14ac:dyDescent="0.25">
      <c r="A9065"/>
      <c r="B9065"/>
    </row>
    <row r="9066" spans="1:2" x14ac:dyDescent="0.25">
      <c r="A9066"/>
      <c r="B9066"/>
    </row>
    <row r="9067" spans="1:2" x14ac:dyDescent="0.25">
      <c r="A9067"/>
      <c r="B9067"/>
    </row>
    <row r="9068" spans="1:2" x14ac:dyDescent="0.25">
      <c r="A9068"/>
      <c r="B9068"/>
    </row>
    <row r="9069" spans="1:2" x14ac:dyDescent="0.25">
      <c r="A9069"/>
      <c r="B9069"/>
    </row>
    <row r="9070" spans="1:2" x14ac:dyDescent="0.25">
      <c r="A9070"/>
      <c r="B9070"/>
    </row>
    <row r="9071" spans="1:2" x14ac:dyDescent="0.25">
      <c r="A9071"/>
      <c r="B9071"/>
    </row>
    <row r="9072" spans="1:2" x14ac:dyDescent="0.25">
      <c r="A9072"/>
      <c r="B9072"/>
    </row>
    <row r="9073" spans="1:2" x14ac:dyDescent="0.25">
      <c r="A9073"/>
      <c r="B9073"/>
    </row>
    <row r="9074" spans="1:2" x14ac:dyDescent="0.25">
      <c r="A9074"/>
      <c r="B9074"/>
    </row>
    <row r="9075" spans="1:2" x14ac:dyDescent="0.25">
      <c r="A9075"/>
      <c r="B9075"/>
    </row>
    <row r="9076" spans="1:2" x14ac:dyDescent="0.25">
      <c r="A9076"/>
      <c r="B9076"/>
    </row>
    <row r="9077" spans="1:2" x14ac:dyDescent="0.25">
      <c r="A9077"/>
      <c r="B9077"/>
    </row>
    <row r="9078" spans="1:2" x14ac:dyDescent="0.25">
      <c r="A9078"/>
      <c r="B9078"/>
    </row>
    <row r="9079" spans="1:2" x14ac:dyDescent="0.25">
      <c r="A9079"/>
      <c r="B9079"/>
    </row>
    <row r="9080" spans="1:2" x14ac:dyDescent="0.25">
      <c r="A9080"/>
      <c r="B9080"/>
    </row>
    <row r="9081" spans="1:2" x14ac:dyDescent="0.25">
      <c r="A9081"/>
      <c r="B9081"/>
    </row>
    <row r="9082" spans="1:2" x14ac:dyDescent="0.25">
      <c r="A9082"/>
      <c r="B9082"/>
    </row>
    <row r="9083" spans="1:2" x14ac:dyDescent="0.25">
      <c r="A9083"/>
      <c r="B9083"/>
    </row>
    <row r="9084" spans="1:2" x14ac:dyDescent="0.25">
      <c r="A9084"/>
      <c r="B9084"/>
    </row>
    <row r="9085" spans="1:2" x14ac:dyDescent="0.25">
      <c r="A9085"/>
      <c r="B9085"/>
    </row>
    <row r="9086" spans="1:2" x14ac:dyDescent="0.25">
      <c r="A9086"/>
      <c r="B9086"/>
    </row>
    <row r="9087" spans="1:2" x14ac:dyDescent="0.25">
      <c r="A9087"/>
      <c r="B9087"/>
    </row>
    <row r="9088" spans="1:2" x14ac:dyDescent="0.25">
      <c r="A9088"/>
      <c r="B9088"/>
    </row>
    <row r="9089" spans="1:2" x14ac:dyDescent="0.25">
      <c r="A9089"/>
      <c r="B9089"/>
    </row>
    <row r="9090" spans="1:2" x14ac:dyDescent="0.25">
      <c r="A9090"/>
      <c r="B9090"/>
    </row>
    <row r="9091" spans="1:2" x14ac:dyDescent="0.25">
      <c r="A9091"/>
      <c r="B9091"/>
    </row>
    <row r="9092" spans="1:2" x14ac:dyDescent="0.25">
      <c r="A9092"/>
      <c r="B9092"/>
    </row>
    <row r="9093" spans="1:2" x14ac:dyDescent="0.25">
      <c r="A9093"/>
      <c r="B9093"/>
    </row>
    <row r="9094" spans="1:2" x14ac:dyDescent="0.25">
      <c r="A9094"/>
      <c r="B9094"/>
    </row>
    <row r="9095" spans="1:2" x14ac:dyDescent="0.25">
      <c r="A9095"/>
      <c r="B9095"/>
    </row>
    <row r="9096" spans="1:2" x14ac:dyDescent="0.25">
      <c r="A9096"/>
      <c r="B9096"/>
    </row>
    <row r="9097" spans="1:2" x14ac:dyDescent="0.25">
      <c r="A9097"/>
      <c r="B9097"/>
    </row>
    <row r="9098" spans="1:2" x14ac:dyDescent="0.25">
      <c r="A9098"/>
      <c r="B9098"/>
    </row>
    <row r="9099" spans="1:2" x14ac:dyDescent="0.25">
      <c r="A9099"/>
      <c r="B9099"/>
    </row>
    <row r="9100" spans="1:2" x14ac:dyDescent="0.25">
      <c r="A9100"/>
      <c r="B9100"/>
    </row>
    <row r="9101" spans="1:2" x14ac:dyDescent="0.25">
      <c r="A9101"/>
      <c r="B9101"/>
    </row>
    <row r="9102" spans="1:2" x14ac:dyDescent="0.25">
      <c r="A9102"/>
      <c r="B9102"/>
    </row>
    <row r="9103" spans="1:2" x14ac:dyDescent="0.25">
      <c r="A9103"/>
      <c r="B9103"/>
    </row>
    <row r="9104" spans="1:2" x14ac:dyDescent="0.25">
      <c r="A9104"/>
      <c r="B9104"/>
    </row>
    <row r="9105" spans="1:2" x14ac:dyDescent="0.25">
      <c r="A9105"/>
      <c r="B9105"/>
    </row>
    <row r="9106" spans="1:2" x14ac:dyDescent="0.25">
      <c r="A9106"/>
      <c r="B9106"/>
    </row>
    <row r="9107" spans="1:2" x14ac:dyDescent="0.25">
      <c r="A9107"/>
      <c r="B9107"/>
    </row>
    <row r="9108" spans="1:2" x14ac:dyDescent="0.25">
      <c r="A9108"/>
      <c r="B9108"/>
    </row>
    <row r="9109" spans="1:2" x14ac:dyDescent="0.25">
      <c r="A9109"/>
      <c r="B9109"/>
    </row>
    <row r="9110" spans="1:2" x14ac:dyDescent="0.25">
      <c r="A9110"/>
      <c r="B9110"/>
    </row>
    <row r="9111" spans="1:2" x14ac:dyDescent="0.25">
      <c r="A9111"/>
      <c r="B9111"/>
    </row>
    <row r="9112" spans="1:2" x14ac:dyDescent="0.25">
      <c r="A9112"/>
      <c r="B9112"/>
    </row>
    <row r="9113" spans="1:2" x14ac:dyDescent="0.25">
      <c r="A9113"/>
      <c r="B9113"/>
    </row>
    <row r="9114" spans="1:2" x14ac:dyDescent="0.25">
      <c r="A9114"/>
      <c r="B9114"/>
    </row>
    <row r="9115" spans="1:2" x14ac:dyDescent="0.25">
      <c r="A9115"/>
      <c r="B9115"/>
    </row>
    <row r="9116" spans="1:2" x14ac:dyDescent="0.25">
      <c r="A9116"/>
      <c r="B9116"/>
    </row>
    <row r="9117" spans="1:2" x14ac:dyDescent="0.25">
      <c r="A9117"/>
      <c r="B9117"/>
    </row>
    <row r="9118" spans="1:2" x14ac:dyDescent="0.25">
      <c r="A9118"/>
      <c r="B9118"/>
    </row>
    <row r="9119" spans="1:2" x14ac:dyDescent="0.25">
      <c r="A9119"/>
      <c r="B9119"/>
    </row>
    <row r="9120" spans="1:2" x14ac:dyDescent="0.25">
      <c r="A9120"/>
      <c r="B9120"/>
    </row>
    <row r="9121" spans="1:2" x14ac:dyDescent="0.25">
      <c r="A9121"/>
      <c r="B9121"/>
    </row>
    <row r="9122" spans="1:2" x14ac:dyDescent="0.25">
      <c r="A9122"/>
      <c r="B9122"/>
    </row>
    <row r="9123" spans="1:2" x14ac:dyDescent="0.25">
      <c r="A9123"/>
      <c r="B9123"/>
    </row>
    <row r="9124" spans="1:2" x14ac:dyDescent="0.25">
      <c r="A9124"/>
      <c r="B9124"/>
    </row>
    <row r="9125" spans="1:2" x14ac:dyDescent="0.25">
      <c r="A9125"/>
      <c r="B9125"/>
    </row>
    <row r="9126" spans="1:2" x14ac:dyDescent="0.25">
      <c r="A9126"/>
      <c r="B9126"/>
    </row>
    <row r="9127" spans="1:2" x14ac:dyDescent="0.25">
      <c r="A9127"/>
      <c r="B9127"/>
    </row>
    <row r="9128" spans="1:2" x14ac:dyDescent="0.25">
      <c r="A9128"/>
      <c r="B9128"/>
    </row>
    <row r="9129" spans="1:2" x14ac:dyDescent="0.25">
      <c r="A9129"/>
      <c r="B9129"/>
    </row>
    <row r="9130" spans="1:2" x14ac:dyDescent="0.25">
      <c r="A9130"/>
      <c r="B9130"/>
    </row>
    <row r="9131" spans="1:2" x14ac:dyDescent="0.25">
      <c r="A9131"/>
      <c r="B9131"/>
    </row>
    <row r="9132" spans="1:2" x14ac:dyDescent="0.25">
      <c r="A9132"/>
      <c r="B9132"/>
    </row>
    <row r="9133" spans="1:2" x14ac:dyDescent="0.25">
      <c r="A9133"/>
      <c r="B9133"/>
    </row>
    <row r="9134" spans="1:2" x14ac:dyDescent="0.25">
      <c r="A9134"/>
      <c r="B9134"/>
    </row>
    <row r="9135" spans="1:2" x14ac:dyDescent="0.25">
      <c r="A9135"/>
      <c r="B9135"/>
    </row>
    <row r="9136" spans="1:2" x14ac:dyDescent="0.25">
      <c r="A9136"/>
      <c r="B9136"/>
    </row>
    <row r="9137" spans="1:2" x14ac:dyDescent="0.25">
      <c r="A9137"/>
      <c r="B9137"/>
    </row>
    <row r="9138" spans="1:2" x14ac:dyDescent="0.25">
      <c r="A9138"/>
      <c r="B9138"/>
    </row>
    <row r="9139" spans="1:2" x14ac:dyDescent="0.25">
      <c r="A9139"/>
      <c r="B9139"/>
    </row>
    <row r="9140" spans="1:2" x14ac:dyDescent="0.25">
      <c r="A9140"/>
      <c r="B9140"/>
    </row>
    <row r="9141" spans="1:2" x14ac:dyDescent="0.25">
      <c r="A9141"/>
      <c r="B9141"/>
    </row>
    <row r="9142" spans="1:2" x14ac:dyDescent="0.25">
      <c r="A9142"/>
      <c r="B9142"/>
    </row>
    <row r="9143" spans="1:2" x14ac:dyDescent="0.25">
      <c r="A9143"/>
      <c r="B9143"/>
    </row>
    <row r="9144" spans="1:2" x14ac:dyDescent="0.25">
      <c r="A9144"/>
      <c r="B9144"/>
    </row>
    <row r="9145" spans="1:2" x14ac:dyDescent="0.25">
      <c r="A9145"/>
      <c r="B9145"/>
    </row>
    <row r="9146" spans="1:2" x14ac:dyDescent="0.25">
      <c r="A9146"/>
      <c r="B9146"/>
    </row>
    <row r="9147" spans="1:2" x14ac:dyDescent="0.25">
      <c r="A9147"/>
      <c r="B9147"/>
    </row>
    <row r="9148" spans="1:2" x14ac:dyDescent="0.25">
      <c r="A9148"/>
      <c r="B9148"/>
    </row>
    <row r="9149" spans="1:2" x14ac:dyDescent="0.25">
      <c r="A9149"/>
      <c r="B9149"/>
    </row>
    <row r="9150" spans="1:2" x14ac:dyDescent="0.25">
      <c r="A9150"/>
      <c r="B9150"/>
    </row>
    <row r="9151" spans="1:2" x14ac:dyDescent="0.25">
      <c r="A9151"/>
      <c r="B9151"/>
    </row>
    <row r="9152" spans="1:2" x14ac:dyDescent="0.25">
      <c r="A9152"/>
      <c r="B9152"/>
    </row>
    <row r="9153" spans="1:2" x14ac:dyDescent="0.25">
      <c r="A9153"/>
      <c r="B9153"/>
    </row>
    <row r="9154" spans="1:2" x14ac:dyDescent="0.25">
      <c r="A9154"/>
      <c r="B9154"/>
    </row>
    <row r="9155" spans="1:2" x14ac:dyDescent="0.25">
      <c r="A9155"/>
      <c r="B9155"/>
    </row>
    <row r="9156" spans="1:2" x14ac:dyDescent="0.25">
      <c r="A9156"/>
      <c r="B9156"/>
    </row>
    <row r="9157" spans="1:2" x14ac:dyDescent="0.25">
      <c r="A9157"/>
      <c r="B9157"/>
    </row>
    <row r="9158" spans="1:2" x14ac:dyDescent="0.25">
      <c r="A9158"/>
      <c r="B9158"/>
    </row>
    <row r="9159" spans="1:2" x14ac:dyDescent="0.25">
      <c r="A9159"/>
      <c r="B9159"/>
    </row>
    <row r="9160" spans="1:2" x14ac:dyDescent="0.25">
      <c r="A9160"/>
      <c r="B9160"/>
    </row>
    <row r="9161" spans="1:2" x14ac:dyDescent="0.25">
      <c r="A9161"/>
      <c r="B9161"/>
    </row>
    <row r="9162" spans="1:2" x14ac:dyDescent="0.25">
      <c r="A9162"/>
      <c r="B9162"/>
    </row>
    <row r="9163" spans="1:2" x14ac:dyDescent="0.25">
      <c r="A9163"/>
      <c r="B9163"/>
    </row>
    <row r="9164" spans="1:2" x14ac:dyDescent="0.25">
      <c r="A9164"/>
      <c r="B9164"/>
    </row>
    <row r="9165" spans="1:2" x14ac:dyDescent="0.25">
      <c r="A9165"/>
      <c r="B9165"/>
    </row>
    <row r="9166" spans="1:2" x14ac:dyDescent="0.25">
      <c r="A9166"/>
      <c r="B9166"/>
    </row>
    <row r="9167" spans="1:2" x14ac:dyDescent="0.25">
      <c r="A9167"/>
      <c r="B9167"/>
    </row>
    <row r="9168" spans="1:2" x14ac:dyDescent="0.25">
      <c r="A9168"/>
      <c r="B9168"/>
    </row>
    <row r="9169" spans="1:2" x14ac:dyDescent="0.25">
      <c r="A9169"/>
      <c r="B9169"/>
    </row>
    <row r="9170" spans="1:2" x14ac:dyDescent="0.25">
      <c r="A9170"/>
      <c r="B9170"/>
    </row>
    <row r="9171" spans="1:2" x14ac:dyDescent="0.25">
      <c r="A9171"/>
      <c r="B9171"/>
    </row>
    <row r="9172" spans="1:2" x14ac:dyDescent="0.25">
      <c r="A9172"/>
      <c r="B9172"/>
    </row>
    <row r="9173" spans="1:2" x14ac:dyDescent="0.25">
      <c r="A9173"/>
      <c r="B9173"/>
    </row>
    <row r="9174" spans="1:2" x14ac:dyDescent="0.25">
      <c r="A9174"/>
      <c r="B9174"/>
    </row>
    <row r="9175" spans="1:2" x14ac:dyDescent="0.25">
      <c r="A9175"/>
      <c r="B9175"/>
    </row>
    <row r="9176" spans="1:2" x14ac:dyDescent="0.25">
      <c r="A9176"/>
      <c r="B9176"/>
    </row>
    <row r="9177" spans="1:2" x14ac:dyDescent="0.25">
      <c r="A9177"/>
      <c r="B9177"/>
    </row>
    <row r="9178" spans="1:2" x14ac:dyDescent="0.25">
      <c r="A9178"/>
      <c r="B9178"/>
    </row>
    <row r="9179" spans="1:2" x14ac:dyDescent="0.25">
      <c r="A9179"/>
      <c r="B9179"/>
    </row>
    <row r="9180" spans="1:2" x14ac:dyDescent="0.25">
      <c r="A9180"/>
      <c r="B9180"/>
    </row>
    <row r="9181" spans="1:2" x14ac:dyDescent="0.25">
      <c r="A9181"/>
      <c r="B9181"/>
    </row>
    <row r="9182" spans="1:2" x14ac:dyDescent="0.25">
      <c r="A9182"/>
      <c r="B9182"/>
    </row>
    <row r="9183" spans="1:2" x14ac:dyDescent="0.25">
      <c r="A9183"/>
      <c r="B9183"/>
    </row>
    <row r="9184" spans="1:2" x14ac:dyDescent="0.25">
      <c r="A9184"/>
      <c r="B9184"/>
    </row>
    <row r="9185" spans="1:2" x14ac:dyDescent="0.25">
      <c r="A9185"/>
      <c r="B9185"/>
    </row>
    <row r="9186" spans="1:2" x14ac:dyDescent="0.25">
      <c r="A9186"/>
      <c r="B9186"/>
    </row>
    <row r="9187" spans="1:2" x14ac:dyDescent="0.25">
      <c r="A9187"/>
      <c r="B9187"/>
    </row>
    <row r="9188" spans="1:2" x14ac:dyDescent="0.25">
      <c r="A9188"/>
      <c r="B9188"/>
    </row>
    <row r="9189" spans="1:2" x14ac:dyDescent="0.25">
      <c r="A9189"/>
      <c r="B9189"/>
    </row>
    <row r="9190" spans="1:2" x14ac:dyDescent="0.25">
      <c r="A9190"/>
      <c r="B9190"/>
    </row>
    <row r="9191" spans="1:2" x14ac:dyDescent="0.25">
      <c r="A9191"/>
      <c r="B9191"/>
    </row>
    <row r="9192" spans="1:2" x14ac:dyDescent="0.25">
      <c r="A9192"/>
      <c r="B9192"/>
    </row>
    <row r="9193" spans="1:2" x14ac:dyDescent="0.25">
      <c r="A9193"/>
      <c r="B9193"/>
    </row>
    <row r="9194" spans="1:2" x14ac:dyDescent="0.25">
      <c r="A9194"/>
      <c r="B9194"/>
    </row>
    <row r="9195" spans="1:2" x14ac:dyDescent="0.25">
      <c r="A9195"/>
      <c r="B9195"/>
    </row>
    <row r="9196" spans="1:2" x14ac:dyDescent="0.25">
      <c r="A9196"/>
      <c r="B9196"/>
    </row>
    <row r="9197" spans="1:2" x14ac:dyDescent="0.25">
      <c r="A9197"/>
      <c r="B9197"/>
    </row>
    <row r="9198" spans="1:2" x14ac:dyDescent="0.25">
      <c r="A9198"/>
      <c r="B9198"/>
    </row>
    <row r="9199" spans="1:2" x14ac:dyDescent="0.25">
      <c r="A9199"/>
      <c r="B9199"/>
    </row>
    <row r="9200" spans="1:2" x14ac:dyDescent="0.25">
      <c r="A9200"/>
      <c r="B9200"/>
    </row>
    <row r="9201" spans="1:2" x14ac:dyDescent="0.25">
      <c r="A9201"/>
      <c r="B9201"/>
    </row>
    <row r="9202" spans="1:2" x14ac:dyDescent="0.25">
      <c r="A9202"/>
      <c r="B9202"/>
    </row>
    <row r="9203" spans="1:2" x14ac:dyDescent="0.25">
      <c r="A9203"/>
      <c r="B9203"/>
    </row>
    <row r="9204" spans="1:2" x14ac:dyDescent="0.25">
      <c r="A9204"/>
      <c r="B9204"/>
    </row>
    <row r="9205" spans="1:2" x14ac:dyDescent="0.25">
      <c r="A9205"/>
      <c r="B9205"/>
    </row>
    <row r="9206" spans="1:2" x14ac:dyDescent="0.25">
      <c r="A9206"/>
      <c r="B9206"/>
    </row>
    <row r="9207" spans="1:2" x14ac:dyDescent="0.25">
      <c r="A9207"/>
      <c r="B9207"/>
    </row>
    <row r="9208" spans="1:2" x14ac:dyDescent="0.25">
      <c r="A9208"/>
      <c r="B9208"/>
    </row>
    <row r="9209" spans="1:2" x14ac:dyDescent="0.25">
      <c r="A9209"/>
      <c r="B9209"/>
    </row>
    <row r="9210" spans="1:2" x14ac:dyDescent="0.25">
      <c r="A9210"/>
      <c r="B9210"/>
    </row>
    <row r="9211" spans="1:2" x14ac:dyDescent="0.25">
      <c r="A9211"/>
      <c r="B9211"/>
    </row>
    <row r="9212" spans="1:2" x14ac:dyDescent="0.25">
      <c r="A9212"/>
      <c r="B9212"/>
    </row>
    <row r="9213" spans="1:2" x14ac:dyDescent="0.25">
      <c r="A9213"/>
      <c r="B9213"/>
    </row>
    <row r="9214" spans="1:2" x14ac:dyDescent="0.25">
      <c r="A9214"/>
      <c r="B9214"/>
    </row>
    <row r="9215" spans="1:2" x14ac:dyDescent="0.25">
      <c r="A9215"/>
      <c r="B9215"/>
    </row>
    <row r="9216" spans="1:2" x14ac:dyDescent="0.25">
      <c r="A9216"/>
      <c r="B9216"/>
    </row>
    <row r="9217" spans="1:2" x14ac:dyDescent="0.25">
      <c r="A9217"/>
      <c r="B9217"/>
    </row>
    <row r="9218" spans="1:2" x14ac:dyDescent="0.25">
      <c r="A9218"/>
      <c r="B9218"/>
    </row>
    <row r="9219" spans="1:2" x14ac:dyDescent="0.25">
      <c r="A9219"/>
      <c r="B9219"/>
    </row>
    <row r="9220" spans="1:2" x14ac:dyDescent="0.25">
      <c r="A9220"/>
      <c r="B9220"/>
    </row>
    <row r="9221" spans="1:2" x14ac:dyDescent="0.25">
      <c r="A9221"/>
      <c r="B9221"/>
    </row>
    <row r="9222" spans="1:2" x14ac:dyDescent="0.25">
      <c r="A9222"/>
      <c r="B9222"/>
    </row>
    <row r="9223" spans="1:2" x14ac:dyDescent="0.25">
      <c r="A9223"/>
      <c r="B9223"/>
    </row>
    <row r="9224" spans="1:2" x14ac:dyDescent="0.25">
      <c r="A9224"/>
      <c r="B9224"/>
    </row>
    <row r="9225" spans="1:2" x14ac:dyDescent="0.25">
      <c r="A9225"/>
      <c r="B9225"/>
    </row>
    <row r="9226" spans="1:2" x14ac:dyDescent="0.25">
      <c r="A9226"/>
      <c r="B9226"/>
    </row>
    <row r="9227" spans="1:2" x14ac:dyDescent="0.25">
      <c r="A9227"/>
      <c r="B9227"/>
    </row>
    <row r="9228" spans="1:2" x14ac:dyDescent="0.25">
      <c r="A9228"/>
      <c r="B9228"/>
    </row>
    <row r="9229" spans="1:2" x14ac:dyDescent="0.25">
      <c r="A9229"/>
      <c r="B9229"/>
    </row>
    <row r="9230" spans="1:2" x14ac:dyDescent="0.25">
      <c r="A9230"/>
      <c r="B9230"/>
    </row>
    <row r="9231" spans="1:2" x14ac:dyDescent="0.25">
      <c r="A9231"/>
      <c r="B9231"/>
    </row>
    <row r="9232" spans="1:2" x14ac:dyDescent="0.25">
      <c r="A9232"/>
      <c r="B9232"/>
    </row>
    <row r="9233" spans="1:2" x14ac:dyDescent="0.25">
      <c r="A9233"/>
      <c r="B9233"/>
    </row>
    <row r="9234" spans="1:2" x14ac:dyDescent="0.25">
      <c r="A9234"/>
      <c r="B9234"/>
    </row>
    <row r="9235" spans="1:2" x14ac:dyDescent="0.25">
      <c r="A9235"/>
      <c r="B9235"/>
    </row>
    <row r="9236" spans="1:2" x14ac:dyDescent="0.25">
      <c r="A9236"/>
      <c r="B9236"/>
    </row>
    <row r="9237" spans="1:2" x14ac:dyDescent="0.25">
      <c r="A9237"/>
      <c r="B9237"/>
    </row>
    <row r="9238" spans="1:2" x14ac:dyDescent="0.25">
      <c r="A9238"/>
      <c r="B9238"/>
    </row>
    <row r="9239" spans="1:2" x14ac:dyDescent="0.25">
      <c r="A9239"/>
      <c r="B9239"/>
    </row>
    <row r="9240" spans="1:2" x14ac:dyDescent="0.25">
      <c r="A9240"/>
      <c r="B9240"/>
    </row>
    <row r="9241" spans="1:2" x14ac:dyDescent="0.25">
      <c r="A9241"/>
      <c r="B9241"/>
    </row>
    <row r="9242" spans="1:2" x14ac:dyDescent="0.25">
      <c r="A9242"/>
      <c r="B9242"/>
    </row>
    <row r="9243" spans="1:2" x14ac:dyDescent="0.25">
      <c r="A9243"/>
      <c r="B9243"/>
    </row>
    <row r="9244" spans="1:2" x14ac:dyDescent="0.25">
      <c r="A9244"/>
      <c r="B9244"/>
    </row>
    <row r="9245" spans="1:2" x14ac:dyDescent="0.25">
      <c r="A9245"/>
      <c r="B9245"/>
    </row>
    <row r="9246" spans="1:2" x14ac:dyDescent="0.25">
      <c r="A9246"/>
      <c r="B9246"/>
    </row>
    <row r="9247" spans="1:2" x14ac:dyDescent="0.25">
      <c r="A9247"/>
      <c r="B9247"/>
    </row>
    <row r="9248" spans="1:2" x14ac:dyDescent="0.25">
      <c r="A9248"/>
      <c r="B9248"/>
    </row>
    <row r="9249" spans="1:2" x14ac:dyDescent="0.25">
      <c r="A9249"/>
      <c r="B9249"/>
    </row>
    <row r="9250" spans="1:2" x14ac:dyDescent="0.25">
      <c r="A9250"/>
      <c r="B9250"/>
    </row>
    <row r="9251" spans="1:2" x14ac:dyDescent="0.25">
      <c r="A9251"/>
      <c r="B9251"/>
    </row>
    <row r="9252" spans="1:2" x14ac:dyDescent="0.25">
      <c r="A9252"/>
      <c r="B9252"/>
    </row>
    <row r="9253" spans="1:2" x14ac:dyDescent="0.25">
      <c r="A9253"/>
      <c r="B9253"/>
    </row>
    <row r="9254" spans="1:2" x14ac:dyDescent="0.25">
      <c r="A9254"/>
      <c r="B9254"/>
    </row>
    <row r="9255" spans="1:2" x14ac:dyDescent="0.25">
      <c r="A9255"/>
      <c r="B9255"/>
    </row>
    <row r="9256" spans="1:2" x14ac:dyDescent="0.25">
      <c r="A9256"/>
      <c r="B9256"/>
    </row>
    <row r="9257" spans="1:2" x14ac:dyDescent="0.25">
      <c r="A9257"/>
      <c r="B9257"/>
    </row>
    <row r="9258" spans="1:2" x14ac:dyDescent="0.25">
      <c r="A9258"/>
      <c r="B9258"/>
    </row>
    <row r="9259" spans="1:2" x14ac:dyDescent="0.25">
      <c r="A9259"/>
      <c r="B9259"/>
    </row>
    <row r="9260" spans="1:2" x14ac:dyDescent="0.25">
      <c r="A9260"/>
      <c r="B9260"/>
    </row>
    <row r="9261" spans="1:2" x14ac:dyDescent="0.25">
      <c r="A9261"/>
      <c r="B9261"/>
    </row>
    <row r="9262" spans="1:2" x14ac:dyDescent="0.25">
      <c r="A9262"/>
      <c r="B9262"/>
    </row>
    <row r="9263" spans="1:2" x14ac:dyDescent="0.25">
      <c r="A9263"/>
      <c r="B9263"/>
    </row>
    <row r="9264" spans="1:2" x14ac:dyDescent="0.25">
      <c r="A9264"/>
      <c r="B9264"/>
    </row>
    <row r="9265" spans="1:2" x14ac:dyDescent="0.25">
      <c r="A9265"/>
      <c r="B9265"/>
    </row>
    <row r="9266" spans="1:2" x14ac:dyDescent="0.25">
      <c r="A9266"/>
      <c r="B9266"/>
    </row>
    <row r="9267" spans="1:2" x14ac:dyDescent="0.25">
      <c r="A9267"/>
      <c r="B9267"/>
    </row>
    <row r="9268" spans="1:2" x14ac:dyDescent="0.25">
      <c r="A9268"/>
      <c r="B9268"/>
    </row>
    <row r="9269" spans="1:2" x14ac:dyDescent="0.25">
      <c r="A9269"/>
      <c r="B9269"/>
    </row>
    <row r="9270" spans="1:2" x14ac:dyDescent="0.25">
      <c r="A9270"/>
      <c r="B9270"/>
    </row>
    <row r="9271" spans="1:2" x14ac:dyDescent="0.25">
      <c r="A9271"/>
      <c r="B9271"/>
    </row>
    <row r="9272" spans="1:2" x14ac:dyDescent="0.25">
      <c r="A9272"/>
      <c r="B9272"/>
    </row>
    <row r="9273" spans="1:2" x14ac:dyDescent="0.25">
      <c r="A9273"/>
      <c r="B9273"/>
    </row>
    <row r="9274" spans="1:2" x14ac:dyDescent="0.25">
      <c r="A9274"/>
      <c r="B9274"/>
    </row>
    <row r="9275" spans="1:2" x14ac:dyDescent="0.25">
      <c r="A9275"/>
      <c r="B9275"/>
    </row>
    <row r="9276" spans="1:2" x14ac:dyDescent="0.25">
      <c r="A9276"/>
      <c r="B9276"/>
    </row>
    <row r="9277" spans="1:2" x14ac:dyDescent="0.25">
      <c r="A9277"/>
      <c r="B9277"/>
    </row>
    <row r="9278" spans="1:2" x14ac:dyDescent="0.25">
      <c r="A9278"/>
      <c r="B9278"/>
    </row>
    <row r="9279" spans="1:2" x14ac:dyDescent="0.25">
      <c r="A9279"/>
      <c r="B9279"/>
    </row>
    <row r="9280" spans="1:2" x14ac:dyDescent="0.25">
      <c r="A9280"/>
      <c r="B9280"/>
    </row>
    <row r="9281" spans="1:2" x14ac:dyDescent="0.25">
      <c r="A9281"/>
      <c r="B9281"/>
    </row>
    <row r="9282" spans="1:2" x14ac:dyDescent="0.25">
      <c r="A9282"/>
      <c r="B9282"/>
    </row>
    <row r="9283" spans="1:2" x14ac:dyDescent="0.25">
      <c r="A9283"/>
      <c r="B9283"/>
    </row>
    <row r="9284" spans="1:2" x14ac:dyDescent="0.25">
      <c r="A9284"/>
      <c r="B9284"/>
    </row>
    <row r="9285" spans="1:2" x14ac:dyDescent="0.25">
      <c r="A9285"/>
      <c r="B9285"/>
    </row>
    <row r="9286" spans="1:2" x14ac:dyDescent="0.25">
      <c r="A9286"/>
      <c r="B9286"/>
    </row>
    <row r="9287" spans="1:2" x14ac:dyDescent="0.25">
      <c r="A9287"/>
      <c r="B9287"/>
    </row>
    <row r="9288" spans="1:2" x14ac:dyDescent="0.25">
      <c r="A9288"/>
      <c r="B9288"/>
    </row>
    <row r="9289" spans="1:2" x14ac:dyDescent="0.25">
      <c r="A9289"/>
      <c r="B9289"/>
    </row>
    <row r="9290" spans="1:2" x14ac:dyDescent="0.25">
      <c r="A9290"/>
      <c r="B9290"/>
    </row>
    <row r="9291" spans="1:2" x14ac:dyDescent="0.25">
      <c r="A9291"/>
      <c r="B9291"/>
    </row>
    <row r="9292" spans="1:2" x14ac:dyDescent="0.25">
      <c r="A9292"/>
      <c r="B9292"/>
    </row>
    <row r="9293" spans="1:2" x14ac:dyDescent="0.25">
      <c r="A9293"/>
      <c r="B9293"/>
    </row>
    <row r="9294" spans="1:2" x14ac:dyDescent="0.25">
      <c r="A9294"/>
      <c r="B9294"/>
    </row>
    <row r="9295" spans="1:2" x14ac:dyDescent="0.25">
      <c r="A9295"/>
      <c r="B9295"/>
    </row>
    <row r="9296" spans="1:2" x14ac:dyDescent="0.25">
      <c r="A9296"/>
      <c r="B9296"/>
    </row>
    <row r="9297" spans="1:2" x14ac:dyDescent="0.25">
      <c r="A9297"/>
      <c r="B9297"/>
    </row>
    <row r="9298" spans="1:2" x14ac:dyDescent="0.25">
      <c r="A9298"/>
      <c r="B9298"/>
    </row>
    <row r="9299" spans="1:2" x14ac:dyDescent="0.25">
      <c r="A9299"/>
      <c r="B9299"/>
    </row>
    <row r="9300" spans="1:2" x14ac:dyDescent="0.25">
      <c r="A9300"/>
      <c r="B9300"/>
    </row>
    <row r="9301" spans="1:2" x14ac:dyDescent="0.25">
      <c r="A9301"/>
      <c r="B9301"/>
    </row>
    <row r="9302" spans="1:2" x14ac:dyDescent="0.25">
      <c r="A9302"/>
      <c r="B9302"/>
    </row>
    <row r="9303" spans="1:2" x14ac:dyDescent="0.25">
      <c r="A9303"/>
      <c r="B9303"/>
    </row>
    <row r="9304" spans="1:2" x14ac:dyDescent="0.25">
      <c r="A9304"/>
      <c r="B9304"/>
    </row>
    <row r="9305" spans="1:2" x14ac:dyDescent="0.25">
      <c r="A9305"/>
      <c r="B9305"/>
    </row>
    <row r="9306" spans="1:2" x14ac:dyDescent="0.25">
      <c r="A9306"/>
      <c r="B9306"/>
    </row>
    <row r="9307" spans="1:2" x14ac:dyDescent="0.25">
      <c r="A9307"/>
      <c r="B9307"/>
    </row>
    <row r="9308" spans="1:2" x14ac:dyDescent="0.25">
      <c r="A9308"/>
      <c r="B9308"/>
    </row>
    <row r="9309" spans="1:2" x14ac:dyDescent="0.25">
      <c r="A9309"/>
      <c r="B9309"/>
    </row>
    <row r="9310" spans="1:2" x14ac:dyDescent="0.25">
      <c r="A9310"/>
      <c r="B9310"/>
    </row>
    <row r="9311" spans="1:2" x14ac:dyDescent="0.25">
      <c r="A9311"/>
      <c r="B9311"/>
    </row>
    <row r="9312" spans="1:2" x14ac:dyDescent="0.25">
      <c r="A9312"/>
      <c r="B9312"/>
    </row>
    <row r="9313" spans="1:2" x14ac:dyDescent="0.25">
      <c r="A9313"/>
      <c r="B9313"/>
    </row>
    <row r="9314" spans="1:2" x14ac:dyDescent="0.25">
      <c r="A9314"/>
      <c r="B9314"/>
    </row>
    <row r="9315" spans="1:2" x14ac:dyDescent="0.25">
      <c r="A9315"/>
      <c r="B9315"/>
    </row>
    <row r="9316" spans="1:2" x14ac:dyDescent="0.25">
      <c r="A9316"/>
      <c r="B9316"/>
    </row>
    <row r="9317" spans="1:2" x14ac:dyDescent="0.25">
      <c r="A9317"/>
      <c r="B9317"/>
    </row>
    <row r="9318" spans="1:2" x14ac:dyDescent="0.25">
      <c r="A9318"/>
      <c r="B9318"/>
    </row>
    <row r="9319" spans="1:2" x14ac:dyDescent="0.25">
      <c r="A9319"/>
      <c r="B9319"/>
    </row>
    <row r="9320" spans="1:2" x14ac:dyDescent="0.25">
      <c r="A9320"/>
      <c r="B9320"/>
    </row>
    <row r="9321" spans="1:2" x14ac:dyDescent="0.25">
      <c r="A9321"/>
      <c r="B9321"/>
    </row>
    <row r="9322" spans="1:2" x14ac:dyDescent="0.25">
      <c r="A9322"/>
      <c r="B9322"/>
    </row>
    <row r="9323" spans="1:2" x14ac:dyDescent="0.25">
      <c r="A9323"/>
      <c r="B9323"/>
    </row>
    <row r="9324" spans="1:2" x14ac:dyDescent="0.25">
      <c r="A9324"/>
      <c r="B9324"/>
    </row>
    <row r="9325" spans="1:2" x14ac:dyDescent="0.25">
      <c r="A9325"/>
      <c r="B9325"/>
    </row>
    <row r="9326" spans="1:2" x14ac:dyDescent="0.25">
      <c r="A9326"/>
      <c r="B9326"/>
    </row>
    <row r="9327" spans="1:2" x14ac:dyDescent="0.25">
      <c r="A9327"/>
      <c r="B9327"/>
    </row>
    <row r="9328" spans="1:2" x14ac:dyDescent="0.25">
      <c r="A9328"/>
      <c r="B9328"/>
    </row>
    <row r="9329" spans="1:2" x14ac:dyDescent="0.25">
      <c r="A9329"/>
      <c r="B9329"/>
    </row>
    <row r="9330" spans="1:2" x14ac:dyDescent="0.25">
      <c r="A9330"/>
      <c r="B9330"/>
    </row>
    <row r="9331" spans="1:2" x14ac:dyDescent="0.25">
      <c r="A9331"/>
      <c r="B9331"/>
    </row>
    <row r="9332" spans="1:2" x14ac:dyDescent="0.25">
      <c r="A9332"/>
      <c r="B9332"/>
    </row>
    <row r="9333" spans="1:2" x14ac:dyDescent="0.25">
      <c r="A9333"/>
      <c r="B9333"/>
    </row>
    <row r="9334" spans="1:2" x14ac:dyDescent="0.25">
      <c r="A9334"/>
      <c r="B9334"/>
    </row>
    <row r="9335" spans="1:2" x14ac:dyDescent="0.25">
      <c r="A9335"/>
      <c r="B9335"/>
    </row>
    <row r="9336" spans="1:2" x14ac:dyDescent="0.25">
      <c r="A9336"/>
      <c r="B9336"/>
    </row>
    <row r="9337" spans="1:2" x14ac:dyDescent="0.25">
      <c r="A9337"/>
      <c r="B9337"/>
    </row>
    <row r="9338" spans="1:2" x14ac:dyDescent="0.25">
      <c r="A9338"/>
      <c r="B9338"/>
    </row>
    <row r="9339" spans="1:2" x14ac:dyDescent="0.25">
      <c r="A9339"/>
      <c r="B9339"/>
    </row>
    <row r="9340" spans="1:2" x14ac:dyDescent="0.25">
      <c r="A9340"/>
      <c r="B9340"/>
    </row>
    <row r="9341" spans="1:2" x14ac:dyDescent="0.25">
      <c r="A9341"/>
      <c r="B9341"/>
    </row>
    <row r="9342" spans="1:2" x14ac:dyDescent="0.25">
      <c r="A9342"/>
      <c r="B9342"/>
    </row>
    <row r="9343" spans="1:2" x14ac:dyDescent="0.25">
      <c r="A9343"/>
      <c r="B9343"/>
    </row>
    <row r="9344" spans="1:2" x14ac:dyDescent="0.25">
      <c r="A9344"/>
      <c r="B9344"/>
    </row>
    <row r="9345" spans="1:2" x14ac:dyDescent="0.25">
      <c r="A9345"/>
      <c r="B9345"/>
    </row>
    <row r="9346" spans="1:2" x14ac:dyDescent="0.25">
      <c r="A9346"/>
      <c r="B9346"/>
    </row>
    <row r="9347" spans="1:2" x14ac:dyDescent="0.25">
      <c r="A9347"/>
      <c r="B9347"/>
    </row>
    <row r="9348" spans="1:2" x14ac:dyDescent="0.25">
      <c r="A9348"/>
      <c r="B9348"/>
    </row>
    <row r="9349" spans="1:2" x14ac:dyDescent="0.25">
      <c r="A9349"/>
      <c r="B9349"/>
    </row>
    <row r="9350" spans="1:2" x14ac:dyDescent="0.25">
      <c r="A9350"/>
      <c r="B9350"/>
    </row>
    <row r="9351" spans="1:2" x14ac:dyDescent="0.25">
      <c r="A9351"/>
      <c r="B9351"/>
    </row>
    <row r="9352" spans="1:2" x14ac:dyDescent="0.25">
      <c r="A9352"/>
      <c r="B9352"/>
    </row>
    <row r="9353" spans="1:2" x14ac:dyDescent="0.25">
      <c r="A9353"/>
      <c r="B9353"/>
    </row>
    <row r="9354" spans="1:2" x14ac:dyDescent="0.25">
      <c r="A9354"/>
      <c r="B9354"/>
    </row>
    <row r="9355" spans="1:2" x14ac:dyDescent="0.25">
      <c r="A9355"/>
      <c r="B9355"/>
    </row>
    <row r="9356" spans="1:2" x14ac:dyDescent="0.25">
      <c r="A9356"/>
      <c r="B9356"/>
    </row>
    <row r="9357" spans="1:2" x14ac:dyDescent="0.25">
      <c r="A9357"/>
      <c r="B9357"/>
    </row>
    <row r="9358" spans="1:2" x14ac:dyDescent="0.25">
      <c r="A9358"/>
      <c r="B9358"/>
    </row>
    <row r="9359" spans="1:2" x14ac:dyDescent="0.25">
      <c r="A9359"/>
      <c r="B9359"/>
    </row>
    <row r="9360" spans="1:2" x14ac:dyDescent="0.25">
      <c r="A9360"/>
      <c r="B9360"/>
    </row>
    <row r="9361" spans="1:2" x14ac:dyDescent="0.25">
      <c r="A9361"/>
      <c r="B9361"/>
    </row>
    <row r="9362" spans="1:2" x14ac:dyDescent="0.25">
      <c r="A9362"/>
      <c r="B9362"/>
    </row>
    <row r="9363" spans="1:2" x14ac:dyDescent="0.25">
      <c r="A9363"/>
      <c r="B9363"/>
    </row>
    <row r="9364" spans="1:2" x14ac:dyDescent="0.25">
      <c r="A9364"/>
      <c r="B9364"/>
    </row>
    <row r="9365" spans="1:2" x14ac:dyDescent="0.25">
      <c r="A9365"/>
      <c r="B9365"/>
    </row>
    <row r="9366" spans="1:2" x14ac:dyDescent="0.25">
      <c r="A9366"/>
      <c r="B9366"/>
    </row>
    <row r="9367" spans="1:2" x14ac:dyDescent="0.25">
      <c r="A9367"/>
      <c r="B9367"/>
    </row>
    <row r="9368" spans="1:2" x14ac:dyDescent="0.25">
      <c r="A9368"/>
      <c r="B9368"/>
    </row>
    <row r="9369" spans="1:2" x14ac:dyDescent="0.25">
      <c r="A9369"/>
      <c r="B9369"/>
    </row>
    <row r="9370" spans="1:2" x14ac:dyDescent="0.25">
      <c r="A9370"/>
      <c r="B9370"/>
    </row>
    <row r="9371" spans="1:2" x14ac:dyDescent="0.25">
      <c r="A9371"/>
      <c r="B9371"/>
    </row>
    <row r="9372" spans="1:2" x14ac:dyDescent="0.25">
      <c r="A9372"/>
      <c r="B9372"/>
    </row>
    <row r="9373" spans="1:2" x14ac:dyDescent="0.25">
      <c r="A9373"/>
      <c r="B9373"/>
    </row>
    <row r="9374" spans="1:2" x14ac:dyDescent="0.25">
      <c r="A9374"/>
      <c r="B9374"/>
    </row>
    <row r="9375" spans="1:2" x14ac:dyDescent="0.25">
      <c r="A9375"/>
      <c r="B9375"/>
    </row>
    <row r="9376" spans="1:2" x14ac:dyDescent="0.25">
      <c r="A9376"/>
      <c r="B9376"/>
    </row>
    <row r="9377" spans="1:2" x14ac:dyDescent="0.25">
      <c r="A9377"/>
      <c r="B9377"/>
    </row>
    <row r="9378" spans="1:2" x14ac:dyDescent="0.25">
      <c r="A9378"/>
      <c r="B9378"/>
    </row>
    <row r="9379" spans="1:2" x14ac:dyDescent="0.25">
      <c r="A9379"/>
      <c r="B9379"/>
    </row>
    <row r="9380" spans="1:2" x14ac:dyDescent="0.25">
      <c r="A9380"/>
      <c r="B9380"/>
    </row>
    <row r="9381" spans="1:2" x14ac:dyDescent="0.25">
      <c r="A9381"/>
      <c r="B9381"/>
    </row>
    <row r="9382" spans="1:2" x14ac:dyDescent="0.25">
      <c r="A9382"/>
      <c r="B9382"/>
    </row>
    <row r="9383" spans="1:2" x14ac:dyDescent="0.25">
      <c r="A9383"/>
      <c r="B9383"/>
    </row>
    <row r="9384" spans="1:2" x14ac:dyDescent="0.25">
      <c r="A9384"/>
      <c r="B9384"/>
    </row>
    <row r="9385" spans="1:2" x14ac:dyDescent="0.25">
      <c r="A9385"/>
      <c r="B9385"/>
    </row>
    <row r="9386" spans="1:2" x14ac:dyDescent="0.25">
      <c r="A9386"/>
      <c r="B9386"/>
    </row>
    <row r="9387" spans="1:2" x14ac:dyDescent="0.25">
      <c r="A9387"/>
      <c r="B9387"/>
    </row>
    <row r="9388" spans="1:2" x14ac:dyDescent="0.25">
      <c r="A9388"/>
      <c r="B9388"/>
    </row>
    <row r="9389" spans="1:2" x14ac:dyDescent="0.25">
      <c r="A9389"/>
      <c r="B9389"/>
    </row>
    <row r="9390" spans="1:2" x14ac:dyDescent="0.25">
      <c r="A9390"/>
      <c r="B9390"/>
    </row>
    <row r="9391" spans="1:2" x14ac:dyDescent="0.25">
      <c r="A9391"/>
      <c r="B9391"/>
    </row>
    <row r="9392" spans="1:2" x14ac:dyDescent="0.25">
      <c r="A9392"/>
      <c r="B9392"/>
    </row>
    <row r="9393" spans="1:2" x14ac:dyDescent="0.25">
      <c r="A9393"/>
      <c r="B9393"/>
    </row>
    <row r="9394" spans="1:2" x14ac:dyDescent="0.25">
      <c r="A9394"/>
      <c r="B9394"/>
    </row>
    <row r="9395" spans="1:2" x14ac:dyDescent="0.25">
      <c r="A9395"/>
      <c r="B9395"/>
    </row>
    <row r="9396" spans="1:2" x14ac:dyDescent="0.25">
      <c r="A9396"/>
      <c r="B9396"/>
    </row>
    <row r="9397" spans="1:2" x14ac:dyDescent="0.25">
      <c r="A9397"/>
      <c r="B9397"/>
    </row>
    <row r="9398" spans="1:2" x14ac:dyDescent="0.25">
      <c r="A9398"/>
      <c r="B9398"/>
    </row>
    <row r="9399" spans="1:2" x14ac:dyDescent="0.25">
      <c r="A9399"/>
      <c r="B9399"/>
    </row>
    <row r="9400" spans="1:2" x14ac:dyDescent="0.25">
      <c r="A9400"/>
      <c r="B9400"/>
    </row>
    <row r="9401" spans="1:2" x14ac:dyDescent="0.25">
      <c r="A9401"/>
      <c r="B9401"/>
    </row>
    <row r="9402" spans="1:2" x14ac:dyDescent="0.25">
      <c r="A9402"/>
      <c r="B9402"/>
    </row>
    <row r="9403" spans="1:2" x14ac:dyDescent="0.25">
      <c r="A9403"/>
      <c r="B9403"/>
    </row>
    <row r="9404" spans="1:2" x14ac:dyDescent="0.25">
      <c r="A9404"/>
      <c r="B9404"/>
    </row>
    <row r="9405" spans="1:2" x14ac:dyDescent="0.25">
      <c r="A9405"/>
      <c r="B9405"/>
    </row>
    <row r="9406" spans="1:2" x14ac:dyDescent="0.25">
      <c r="A9406"/>
      <c r="B9406"/>
    </row>
    <row r="9407" spans="1:2" x14ac:dyDescent="0.25">
      <c r="A9407"/>
      <c r="B9407"/>
    </row>
    <row r="9408" spans="1:2" x14ac:dyDescent="0.25">
      <c r="A9408"/>
      <c r="B9408"/>
    </row>
    <row r="9409" spans="1:2" x14ac:dyDescent="0.25">
      <c r="A9409"/>
      <c r="B9409"/>
    </row>
    <row r="9410" spans="1:2" x14ac:dyDescent="0.25">
      <c r="A9410"/>
      <c r="B9410"/>
    </row>
    <row r="9411" spans="1:2" x14ac:dyDescent="0.25">
      <c r="A9411"/>
      <c r="B9411"/>
    </row>
    <row r="9412" spans="1:2" x14ac:dyDescent="0.25">
      <c r="A9412"/>
      <c r="B9412"/>
    </row>
    <row r="9413" spans="1:2" x14ac:dyDescent="0.25">
      <c r="A9413"/>
      <c r="B9413"/>
    </row>
    <row r="9414" spans="1:2" x14ac:dyDescent="0.25">
      <c r="A9414"/>
      <c r="B9414"/>
    </row>
    <row r="9415" spans="1:2" x14ac:dyDescent="0.25">
      <c r="A9415"/>
      <c r="B9415"/>
    </row>
    <row r="9416" spans="1:2" x14ac:dyDescent="0.25">
      <c r="A9416"/>
      <c r="B9416"/>
    </row>
    <row r="9417" spans="1:2" x14ac:dyDescent="0.25">
      <c r="A9417"/>
      <c r="B9417"/>
    </row>
    <row r="9418" spans="1:2" x14ac:dyDescent="0.25">
      <c r="A9418"/>
      <c r="B9418"/>
    </row>
    <row r="9419" spans="1:2" x14ac:dyDescent="0.25">
      <c r="A9419"/>
      <c r="B9419"/>
    </row>
    <row r="9420" spans="1:2" x14ac:dyDescent="0.25">
      <c r="A9420"/>
      <c r="B9420"/>
    </row>
    <row r="9421" spans="1:2" x14ac:dyDescent="0.25">
      <c r="A9421"/>
      <c r="B9421"/>
    </row>
    <row r="9422" spans="1:2" x14ac:dyDescent="0.25">
      <c r="A9422"/>
      <c r="B9422"/>
    </row>
    <row r="9423" spans="1:2" x14ac:dyDescent="0.25">
      <c r="A9423"/>
      <c r="B9423"/>
    </row>
    <row r="9424" spans="1:2" x14ac:dyDescent="0.25">
      <c r="A9424"/>
      <c r="B9424"/>
    </row>
    <row r="9425" spans="1:2" x14ac:dyDescent="0.25">
      <c r="A9425"/>
      <c r="B9425"/>
    </row>
    <row r="9426" spans="1:2" x14ac:dyDescent="0.25">
      <c r="A9426"/>
      <c r="B9426"/>
    </row>
    <row r="9427" spans="1:2" x14ac:dyDescent="0.25">
      <c r="A9427"/>
      <c r="B9427"/>
    </row>
    <row r="9428" spans="1:2" x14ac:dyDescent="0.25">
      <c r="A9428"/>
      <c r="B9428"/>
    </row>
    <row r="9429" spans="1:2" x14ac:dyDescent="0.25">
      <c r="A9429"/>
      <c r="B9429"/>
    </row>
    <row r="9430" spans="1:2" x14ac:dyDescent="0.25">
      <c r="A9430"/>
      <c r="B9430"/>
    </row>
    <row r="9431" spans="1:2" x14ac:dyDescent="0.25">
      <c r="A9431"/>
      <c r="B9431"/>
    </row>
    <row r="9432" spans="1:2" x14ac:dyDescent="0.25">
      <c r="A9432"/>
      <c r="B9432"/>
    </row>
    <row r="9433" spans="1:2" x14ac:dyDescent="0.25">
      <c r="A9433"/>
      <c r="B9433"/>
    </row>
    <row r="9434" spans="1:2" x14ac:dyDescent="0.25">
      <c r="A9434"/>
      <c r="B9434"/>
    </row>
    <row r="9435" spans="1:2" x14ac:dyDescent="0.25">
      <c r="A9435"/>
      <c r="B9435"/>
    </row>
    <row r="9436" spans="1:2" x14ac:dyDescent="0.25">
      <c r="A9436"/>
      <c r="B9436"/>
    </row>
    <row r="9437" spans="1:2" x14ac:dyDescent="0.25">
      <c r="A9437"/>
      <c r="B9437"/>
    </row>
    <row r="9438" spans="1:2" x14ac:dyDescent="0.25">
      <c r="A9438"/>
      <c r="B9438"/>
    </row>
    <row r="9439" spans="1:2" x14ac:dyDescent="0.25">
      <c r="A9439"/>
      <c r="B9439"/>
    </row>
    <row r="9440" spans="1:2" x14ac:dyDescent="0.25">
      <c r="A9440"/>
      <c r="B9440"/>
    </row>
    <row r="9441" spans="1:2" x14ac:dyDescent="0.25">
      <c r="A9441"/>
      <c r="B9441"/>
    </row>
    <row r="9442" spans="1:2" x14ac:dyDescent="0.25">
      <c r="A9442"/>
      <c r="B9442"/>
    </row>
    <row r="9443" spans="1:2" x14ac:dyDescent="0.25">
      <c r="A9443"/>
      <c r="B9443"/>
    </row>
    <row r="9444" spans="1:2" x14ac:dyDescent="0.25">
      <c r="A9444"/>
      <c r="B9444"/>
    </row>
    <row r="9445" spans="1:2" x14ac:dyDescent="0.25">
      <c r="A9445"/>
      <c r="B9445"/>
    </row>
    <row r="9446" spans="1:2" x14ac:dyDescent="0.25">
      <c r="A9446"/>
      <c r="B9446"/>
    </row>
    <row r="9447" spans="1:2" x14ac:dyDescent="0.25">
      <c r="A9447"/>
      <c r="B9447"/>
    </row>
    <row r="9448" spans="1:2" x14ac:dyDescent="0.25">
      <c r="A9448"/>
      <c r="B9448"/>
    </row>
    <row r="9449" spans="1:2" x14ac:dyDescent="0.25">
      <c r="A9449"/>
      <c r="B9449"/>
    </row>
    <row r="9450" spans="1:2" x14ac:dyDescent="0.25">
      <c r="A9450"/>
      <c r="B9450"/>
    </row>
    <row r="9451" spans="1:2" x14ac:dyDescent="0.25">
      <c r="A9451"/>
      <c r="B9451"/>
    </row>
    <row r="9452" spans="1:2" x14ac:dyDescent="0.25">
      <c r="A9452"/>
      <c r="B9452"/>
    </row>
    <row r="9453" spans="1:2" x14ac:dyDescent="0.25">
      <c r="A9453"/>
      <c r="B9453"/>
    </row>
    <row r="9454" spans="1:2" x14ac:dyDescent="0.25">
      <c r="A9454"/>
      <c r="B9454"/>
    </row>
    <row r="9455" spans="1:2" x14ac:dyDescent="0.25">
      <c r="A9455"/>
      <c r="B9455"/>
    </row>
    <row r="9456" spans="1:2" x14ac:dyDescent="0.25">
      <c r="A9456"/>
      <c r="B9456"/>
    </row>
    <row r="9457" spans="1:2" x14ac:dyDescent="0.25">
      <c r="A9457"/>
      <c r="B9457"/>
    </row>
    <row r="9458" spans="1:2" x14ac:dyDescent="0.25">
      <c r="A9458"/>
      <c r="B9458"/>
    </row>
    <row r="9459" spans="1:2" x14ac:dyDescent="0.25">
      <c r="A9459"/>
      <c r="B9459"/>
    </row>
    <row r="9460" spans="1:2" x14ac:dyDescent="0.25">
      <c r="A9460"/>
      <c r="B9460"/>
    </row>
    <row r="9461" spans="1:2" x14ac:dyDescent="0.25">
      <c r="A9461"/>
      <c r="B9461"/>
    </row>
    <row r="9462" spans="1:2" x14ac:dyDescent="0.25">
      <c r="A9462"/>
      <c r="B9462"/>
    </row>
    <row r="9463" spans="1:2" x14ac:dyDescent="0.25">
      <c r="A9463"/>
      <c r="B9463"/>
    </row>
    <row r="9464" spans="1:2" x14ac:dyDescent="0.25">
      <c r="A9464"/>
      <c r="B9464"/>
    </row>
    <row r="9465" spans="1:2" x14ac:dyDescent="0.25">
      <c r="A9465"/>
      <c r="B9465"/>
    </row>
    <row r="9466" spans="1:2" x14ac:dyDescent="0.25">
      <c r="A9466"/>
      <c r="B9466"/>
    </row>
    <row r="9467" spans="1:2" x14ac:dyDescent="0.25">
      <c r="A9467"/>
      <c r="B9467"/>
    </row>
    <row r="9468" spans="1:2" x14ac:dyDescent="0.25">
      <c r="A9468"/>
      <c r="B9468"/>
    </row>
    <row r="9469" spans="1:2" x14ac:dyDescent="0.25">
      <c r="A9469"/>
      <c r="B9469"/>
    </row>
    <row r="9470" spans="1:2" x14ac:dyDescent="0.25">
      <c r="A9470"/>
      <c r="B9470"/>
    </row>
    <row r="9471" spans="1:2" x14ac:dyDescent="0.25">
      <c r="A9471"/>
      <c r="B9471"/>
    </row>
    <row r="9472" spans="1:2" x14ac:dyDescent="0.25">
      <c r="A9472"/>
      <c r="B9472"/>
    </row>
    <row r="9473" spans="1:2" x14ac:dyDescent="0.25">
      <c r="A9473"/>
      <c r="B9473"/>
    </row>
    <row r="9474" spans="1:2" x14ac:dyDescent="0.25">
      <c r="A9474"/>
      <c r="B9474"/>
    </row>
    <row r="9475" spans="1:2" x14ac:dyDescent="0.25">
      <c r="A9475"/>
      <c r="B9475"/>
    </row>
    <row r="9476" spans="1:2" x14ac:dyDescent="0.25">
      <c r="A9476"/>
      <c r="B9476"/>
    </row>
    <row r="9477" spans="1:2" x14ac:dyDescent="0.25">
      <c r="A9477"/>
      <c r="B9477"/>
    </row>
    <row r="9478" spans="1:2" x14ac:dyDescent="0.25">
      <c r="A9478"/>
      <c r="B9478"/>
    </row>
    <row r="9479" spans="1:2" x14ac:dyDescent="0.25">
      <c r="A9479"/>
      <c r="B9479"/>
    </row>
    <row r="9480" spans="1:2" x14ac:dyDescent="0.25">
      <c r="A9480"/>
      <c r="B9480"/>
    </row>
    <row r="9481" spans="1:2" x14ac:dyDescent="0.25">
      <c r="A9481"/>
      <c r="B9481"/>
    </row>
    <row r="9482" spans="1:2" x14ac:dyDescent="0.25">
      <c r="A9482"/>
      <c r="B9482"/>
    </row>
    <row r="9483" spans="1:2" x14ac:dyDescent="0.25">
      <c r="A9483"/>
      <c r="B9483"/>
    </row>
    <row r="9484" spans="1:2" x14ac:dyDescent="0.25">
      <c r="A9484"/>
      <c r="B9484"/>
    </row>
    <row r="9485" spans="1:2" x14ac:dyDescent="0.25">
      <c r="A9485"/>
      <c r="B9485"/>
    </row>
    <row r="9486" spans="1:2" x14ac:dyDescent="0.25">
      <c r="A9486"/>
      <c r="B9486"/>
    </row>
    <row r="9487" spans="1:2" x14ac:dyDescent="0.25">
      <c r="A9487"/>
      <c r="B9487"/>
    </row>
    <row r="9488" spans="1:2" x14ac:dyDescent="0.25">
      <c r="A9488"/>
      <c r="B9488"/>
    </row>
    <row r="9489" spans="1:2" x14ac:dyDescent="0.25">
      <c r="A9489"/>
      <c r="B9489"/>
    </row>
    <row r="9490" spans="1:2" x14ac:dyDescent="0.25">
      <c r="A9490"/>
      <c r="B9490"/>
    </row>
    <row r="9491" spans="1:2" x14ac:dyDescent="0.25">
      <c r="A9491"/>
      <c r="B9491"/>
    </row>
    <row r="9492" spans="1:2" x14ac:dyDescent="0.25">
      <c r="A9492"/>
      <c r="B9492"/>
    </row>
    <row r="9493" spans="1:2" x14ac:dyDescent="0.25">
      <c r="A9493"/>
      <c r="B9493"/>
    </row>
    <row r="9494" spans="1:2" x14ac:dyDescent="0.25">
      <c r="A9494"/>
      <c r="B9494"/>
    </row>
    <row r="9495" spans="1:2" x14ac:dyDescent="0.25">
      <c r="A9495"/>
      <c r="B9495"/>
    </row>
    <row r="9496" spans="1:2" x14ac:dyDescent="0.25">
      <c r="A9496"/>
      <c r="B9496"/>
    </row>
    <row r="9497" spans="1:2" x14ac:dyDescent="0.25">
      <c r="A9497"/>
      <c r="B9497"/>
    </row>
    <row r="9498" spans="1:2" x14ac:dyDescent="0.25">
      <c r="A9498"/>
      <c r="B9498"/>
    </row>
    <row r="9499" spans="1:2" x14ac:dyDescent="0.25">
      <c r="A9499"/>
      <c r="B9499"/>
    </row>
    <row r="9500" spans="1:2" x14ac:dyDescent="0.25">
      <c r="A9500"/>
      <c r="B9500"/>
    </row>
    <row r="9501" spans="1:2" x14ac:dyDescent="0.25">
      <c r="A9501"/>
      <c r="B9501"/>
    </row>
    <row r="9502" spans="1:2" x14ac:dyDescent="0.25">
      <c r="A9502"/>
      <c r="B9502"/>
    </row>
    <row r="9503" spans="1:2" x14ac:dyDescent="0.25">
      <c r="A9503"/>
      <c r="B9503"/>
    </row>
    <row r="9504" spans="1:2" x14ac:dyDescent="0.25">
      <c r="A9504"/>
      <c r="B9504"/>
    </row>
    <row r="9505" spans="1:2" x14ac:dyDescent="0.25">
      <c r="A9505"/>
      <c r="B9505"/>
    </row>
    <row r="9506" spans="1:2" x14ac:dyDescent="0.25">
      <c r="A9506"/>
      <c r="B9506"/>
    </row>
    <row r="9507" spans="1:2" x14ac:dyDescent="0.25">
      <c r="A9507"/>
      <c r="B9507"/>
    </row>
    <row r="9508" spans="1:2" x14ac:dyDescent="0.25">
      <c r="A9508"/>
      <c r="B9508"/>
    </row>
    <row r="9509" spans="1:2" x14ac:dyDescent="0.25">
      <c r="A9509"/>
      <c r="B9509"/>
    </row>
    <row r="9510" spans="1:2" x14ac:dyDescent="0.25">
      <c r="A9510"/>
      <c r="B9510"/>
    </row>
    <row r="9511" spans="1:2" x14ac:dyDescent="0.25">
      <c r="A9511"/>
      <c r="B9511"/>
    </row>
    <row r="9512" spans="1:2" x14ac:dyDescent="0.25">
      <c r="A9512"/>
      <c r="B9512"/>
    </row>
    <row r="9513" spans="1:2" x14ac:dyDescent="0.25">
      <c r="A9513"/>
      <c r="B9513"/>
    </row>
    <row r="9514" spans="1:2" x14ac:dyDescent="0.25">
      <c r="A9514"/>
      <c r="B9514"/>
    </row>
    <row r="9515" spans="1:2" x14ac:dyDescent="0.25">
      <c r="A9515"/>
      <c r="B9515"/>
    </row>
    <row r="9516" spans="1:2" x14ac:dyDescent="0.25">
      <c r="A9516"/>
      <c r="B9516"/>
    </row>
    <row r="9517" spans="1:2" x14ac:dyDescent="0.25">
      <c r="A9517"/>
      <c r="B9517"/>
    </row>
    <row r="9518" spans="1:2" x14ac:dyDescent="0.25">
      <c r="A9518"/>
      <c r="B9518"/>
    </row>
    <row r="9519" spans="1:2" x14ac:dyDescent="0.25">
      <c r="A9519"/>
      <c r="B9519"/>
    </row>
    <row r="9520" spans="1:2" x14ac:dyDescent="0.25">
      <c r="A9520"/>
      <c r="B9520"/>
    </row>
    <row r="9521" spans="1:2" x14ac:dyDescent="0.25">
      <c r="A9521"/>
      <c r="B9521"/>
    </row>
    <row r="9522" spans="1:2" x14ac:dyDescent="0.25">
      <c r="A9522"/>
      <c r="B9522"/>
    </row>
    <row r="9523" spans="1:2" x14ac:dyDescent="0.25">
      <c r="A9523"/>
      <c r="B9523"/>
    </row>
    <row r="9524" spans="1:2" x14ac:dyDescent="0.25">
      <c r="A9524"/>
      <c r="B9524"/>
    </row>
    <row r="9525" spans="1:2" x14ac:dyDescent="0.25">
      <c r="A9525"/>
      <c r="B9525"/>
    </row>
    <row r="9526" spans="1:2" x14ac:dyDescent="0.25">
      <c r="A9526"/>
      <c r="B9526"/>
    </row>
    <row r="9527" spans="1:2" x14ac:dyDescent="0.25">
      <c r="A9527"/>
      <c r="B9527"/>
    </row>
    <row r="9528" spans="1:2" x14ac:dyDescent="0.25">
      <c r="A9528"/>
      <c r="B9528"/>
    </row>
    <row r="9529" spans="1:2" x14ac:dyDescent="0.25">
      <c r="A9529"/>
      <c r="B9529"/>
    </row>
    <row r="9530" spans="1:2" x14ac:dyDescent="0.25">
      <c r="A9530"/>
      <c r="B9530"/>
    </row>
    <row r="9531" spans="1:2" x14ac:dyDescent="0.25">
      <c r="A9531"/>
      <c r="B9531"/>
    </row>
    <row r="9532" spans="1:2" x14ac:dyDescent="0.25">
      <c r="A9532"/>
      <c r="B9532"/>
    </row>
    <row r="9533" spans="1:2" x14ac:dyDescent="0.25">
      <c r="A9533"/>
      <c r="B9533"/>
    </row>
    <row r="9534" spans="1:2" x14ac:dyDescent="0.25">
      <c r="A9534"/>
      <c r="B9534"/>
    </row>
    <row r="9535" spans="1:2" x14ac:dyDescent="0.25">
      <c r="A9535"/>
      <c r="B9535"/>
    </row>
    <row r="9536" spans="1:2" x14ac:dyDescent="0.25">
      <c r="A9536"/>
      <c r="B9536"/>
    </row>
    <row r="9537" spans="1:2" x14ac:dyDescent="0.25">
      <c r="A9537"/>
      <c r="B9537"/>
    </row>
    <row r="9538" spans="1:2" x14ac:dyDescent="0.25">
      <c r="A9538"/>
      <c r="B9538"/>
    </row>
    <row r="9539" spans="1:2" x14ac:dyDescent="0.25">
      <c r="A9539"/>
      <c r="B9539"/>
    </row>
    <row r="9540" spans="1:2" x14ac:dyDescent="0.25">
      <c r="A9540"/>
      <c r="B9540"/>
    </row>
    <row r="9541" spans="1:2" x14ac:dyDescent="0.25">
      <c r="A9541"/>
      <c r="B9541"/>
    </row>
    <row r="9542" spans="1:2" x14ac:dyDescent="0.25">
      <c r="A9542"/>
      <c r="B9542"/>
    </row>
    <row r="9543" spans="1:2" x14ac:dyDescent="0.25">
      <c r="A9543"/>
      <c r="B9543"/>
    </row>
    <row r="9544" spans="1:2" x14ac:dyDescent="0.25">
      <c r="A9544"/>
      <c r="B9544"/>
    </row>
    <row r="9545" spans="1:2" x14ac:dyDescent="0.25">
      <c r="A9545"/>
      <c r="B9545"/>
    </row>
    <row r="9546" spans="1:2" x14ac:dyDescent="0.25">
      <c r="A9546"/>
      <c r="B9546"/>
    </row>
    <row r="9547" spans="1:2" x14ac:dyDescent="0.25">
      <c r="A9547"/>
      <c r="B9547"/>
    </row>
    <row r="9548" spans="1:2" x14ac:dyDescent="0.25">
      <c r="A9548"/>
      <c r="B9548"/>
    </row>
    <row r="9549" spans="1:2" x14ac:dyDescent="0.25">
      <c r="A9549"/>
      <c r="B9549"/>
    </row>
    <row r="9550" spans="1:2" x14ac:dyDescent="0.25">
      <c r="A9550"/>
      <c r="B9550"/>
    </row>
    <row r="9551" spans="1:2" x14ac:dyDescent="0.25">
      <c r="A9551"/>
      <c r="B9551"/>
    </row>
    <row r="9552" spans="1:2" x14ac:dyDescent="0.25">
      <c r="A9552"/>
      <c r="B9552"/>
    </row>
    <row r="9553" spans="1:2" x14ac:dyDescent="0.25">
      <c r="A9553"/>
      <c r="B9553"/>
    </row>
    <row r="9554" spans="1:2" x14ac:dyDescent="0.25">
      <c r="A9554"/>
      <c r="B9554"/>
    </row>
    <row r="9555" spans="1:2" x14ac:dyDescent="0.25">
      <c r="A9555"/>
      <c r="B9555"/>
    </row>
    <row r="9556" spans="1:2" x14ac:dyDescent="0.25">
      <c r="A9556"/>
      <c r="B9556"/>
    </row>
    <row r="9557" spans="1:2" x14ac:dyDescent="0.25">
      <c r="A9557"/>
      <c r="B9557"/>
    </row>
    <row r="9558" spans="1:2" x14ac:dyDescent="0.25">
      <c r="A9558"/>
      <c r="B9558"/>
    </row>
    <row r="9559" spans="1:2" x14ac:dyDescent="0.25">
      <c r="A9559"/>
      <c r="B9559"/>
    </row>
    <row r="9560" spans="1:2" x14ac:dyDescent="0.25">
      <c r="A9560"/>
      <c r="B9560"/>
    </row>
    <row r="9561" spans="1:2" x14ac:dyDescent="0.25">
      <c r="A9561"/>
      <c r="B9561"/>
    </row>
    <row r="9562" spans="1:2" x14ac:dyDescent="0.25">
      <c r="A9562"/>
      <c r="B9562"/>
    </row>
    <row r="9563" spans="1:2" x14ac:dyDescent="0.25">
      <c r="A9563"/>
      <c r="B9563"/>
    </row>
    <row r="9564" spans="1:2" x14ac:dyDescent="0.25">
      <c r="A9564"/>
      <c r="B9564"/>
    </row>
    <row r="9565" spans="1:2" x14ac:dyDescent="0.25">
      <c r="A9565"/>
      <c r="B9565"/>
    </row>
    <row r="9566" spans="1:2" x14ac:dyDescent="0.25">
      <c r="A9566"/>
      <c r="B9566"/>
    </row>
    <row r="9567" spans="1:2" x14ac:dyDescent="0.25">
      <c r="A9567"/>
      <c r="B9567"/>
    </row>
    <row r="9568" spans="1:2" x14ac:dyDescent="0.25">
      <c r="A9568"/>
      <c r="B9568"/>
    </row>
    <row r="9569" spans="1:2" x14ac:dyDescent="0.25">
      <c r="A9569"/>
      <c r="B9569"/>
    </row>
    <row r="9570" spans="1:2" x14ac:dyDescent="0.25">
      <c r="A9570"/>
      <c r="B9570"/>
    </row>
    <row r="9571" spans="1:2" x14ac:dyDescent="0.25">
      <c r="A9571"/>
      <c r="B9571"/>
    </row>
    <row r="9572" spans="1:2" x14ac:dyDescent="0.25">
      <c r="A9572"/>
      <c r="B9572"/>
    </row>
    <row r="9573" spans="1:2" x14ac:dyDescent="0.25">
      <c r="A9573"/>
      <c r="B9573"/>
    </row>
    <row r="9574" spans="1:2" x14ac:dyDescent="0.25">
      <c r="A9574"/>
      <c r="B9574"/>
    </row>
    <row r="9575" spans="1:2" x14ac:dyDescent="0.25">
      <c r="A9575"/>
      <c r="B9575"/>
    </row>
    <row r="9576" spans="1:2" x14ac:dyDescent="0.25">
      <c r="A9576"/>
      <c r="B9576"/>
    </row>
    <row r="9577" spans="1:2" x14ac:dyDescent="0.25">
      <c r="A9577"/>
      <c r="B9577"/>
    </row>
    <row r="9578" spans="1:2" x14ac:dyDescent="0.25">
      <c r="A9578"/>
      <c r="B9578"/>
    </row>
    <row r="9579" spans="1:2" x14ac:dyDescent="0.25">
      <c r="A9579"/>
      <c r="B9579"/>
    </row>
    <row r="9580" spans="1:2" x14ac:dyDescent="0.25">
      <c r="A9580"/>
      <c r="B9580"/>
    </row>
    <row r="9581" spans="1:2" x14ac:dyDescent="0.25">
      <c r="A9581"/>
      <c r="B9581"/>
    </row>
    <row r="9582" spans="1:2" x14ac:dyDescent="0.25">
      <c r="A9582"/>
      <c r="B9582"/>
    </row>
    <row r="9583" spans="1:2" x14ac:dyDescent="0.25">
      <c r="A9583"/>
      <c r="B9583"/>
    </row>
    <row r="9584" spans="1:2" x14ac:dyDescent="0.25">
      <c r="A9584"/>
      <c r="B9584"/>
    </row>
    <row r="9585" spans="1:2" x14ac:dyDescent="0.25">
      <c r="A9585"/>
      <c r="B9585"/>
    </row>
    <row r="9586" spans="1:2" x14ac:dyDescent="0.25">
      <c r="A9586"/>
      <c r="B9586"/>
    </row>
    <row r="9587" spans="1:2" x14ac:dyDescent="0.25">
      <c r="A9587"/>
      <c r="B9587"/>
    </row>
    <row r="9588" spans="1:2" x14ac:dyDescent="0.25">
      <c r="A9588"/>
      <c r="B9588"/>
    </row>
    <row r="9589" spans="1:2" x14ac:dyDescent="0.25">
      <c r="A9589"/>
      <c r="B9589"/>
    </row>
    <row r="9590" spans="1:2" x14ac:dyDescent="0.25">
      <c r="A9590"/>
      <c r="B9590"/>
    </row>
    <row r="9591" spans="1:2" x14ac:dyDescent="0.25">
      <c r="A9591"/>
      <c r="B9591"/>
    </row>
    <row r="9592" spans="1:2" x14ac:dyDescent="0.25">
      <c r="A9592"/>
      <c r="B9592"/>
    </row>
    <row r="9593" spans="1:2" x14ac:dyDescent="0.25">
      <c r="A9593"/>
      <c r="B9593"/>
    </row>
    <row r="9594" spans="1:2" x14ac:dyDescent="0.25">
      <c r="A9594"/>
      <c r="B9594"/>
    </row>
    <row r="9595" spans="1:2" x14ac:dyDescent="0.25">
      <c r="A9595"/>
      <c r="B9595"/>
    </row>
    <row r="9596" spans="1:2" x14ac:dyDescent="0.25">
      <c r="A9596"/>
      <c r="B9596"/>
    </row>
    <row r="9597" spans="1:2" x14ac:dyDescent="0.25">
      <c r="A9597"/>
      <c r="B9597"/>
    </row>
    <row r="9598" spans="1:2" x14ac:dyDescent="0.25">
      <c r="A9598"/>
      <c r="B9598"/>
    </row>
    <row r="9599" spans="1:2" x14ac:dyDescent="0.25">
      <c r="A9599"/>
      <c r="B9599"/>
    </row>
    <row r="9600" spans="1:2" x14ac:dyDescent="0.25">
      <c r="A9600"/>
      <c r="B9600"/>
    </row>
    <row r="9601" spans="1:2" x14ac:dyDescent="0.25">
      <c r="A9601"/>
      <c r="B9601"/>
    </row>
    <row r="9602" spans="1:2" x14ac:dyDescent="0.25">
      <c r="A9602"/>
      <c r="B9602"/>
    </row>
    <row r="9603" spans="1:2" x14ac:dyDescent="0.25">
      <c r="A9603"/>
      <c r="B9603"/>
    </row>
    <row r="9604" spans="1:2" x14ac:dyDescent="0.25">
      <c r="A9604"/>
      <c r="B9604"/>
    </row>
    <row r="9605" spans="1:2" x14ac:dyDescent="0.25">
      <c r="A9605"/>
      <c r="B9605"/>
    </row>
    <row r="9606" spans="1:2" x14ac:dyDescent="0.25">
      <c r="A9606"/>
      <c r="B9606"/>
    </row>
    <row r="9607" spans="1:2" x14ac:dyDescent="0.25">
      <c r="A9607"/>
      <c r="B9607"/>
    </row>
    <row r="9608" spans="1:2" x14ac:dyDescent="0.25">
      <c r="A9608"/>
      <c r="B9608"/>
    </row>
    <row r="9609" spans="1:2" x14ac:dyDescent="0.25">
      <c r="A9609"/>
      <c r="B9609"/>
    </row>
    <row r="9610" spans="1:2" x14ac:dyDescent="0.25">
      <c r="A9610"/>
      <c r="B9610"/>
    </row>
    <row r="9611" spans="1:2" x14ac:dyDescent="0.25">
      <c r="A9611"/>
      <c r="B9611"/>
    </row>
    <row r="9612" spans="1:2" x14ac:dyDescent="0.25">
      <c r="A9612"/>
      <c r="B9612"/>
    </row>
    <row r="9613" spans="1:2" x14ac:dyDescent="0.25">
      <c r="A9613"/>
      <c r="B9613"/>
    </row>
    <row r="9614" spans="1:2" x14ac:dyDescent="0.25">
      <c r="A9614"/>
      <c r="B9614"/>
    </row>
    <row r="9615" spans="1:2" x14ac:dyDescent="0.25">
      <c r="A9615"/>
      <c r="B9615"/>
    </row>
    <row r="9616" spans="1:2" x14ac:dyDescent="0.25">
      <c r="A9616"/>
      <c r="B9616"/>
    </row>
    <row r="9617" spans="1:2" x14ac:dyDescent="0.25">
      <c r="A9617"/>
      <c r="B9617"/>
    </row>
    <row r="9618" spans="1:2" x14ac:dyDescent="0.25">
      <c r="A9618"/>
      <c r="B9618"/>
    </row>
    <row r="9619" spans="1:2" x14ac:dyDescent="0.25">
      <c r="A9619"/>
      <c r="B9619"/>
    </row>
    <row r="9620" spans="1:2" x14ac:dyDescent="0.25">
      <c r="A9620"/>
      <c r="B9620"/>
    </row>
    <row r="9621" spans="1:2" x14ac:dyDescent="0.25">
      <c r="A9621"/>
      <c r="B9621"/>
    </row>
    <row r="9622" spans="1:2" x14ac:dyDescent="0.25">
      <c r="A9622"/>
      <c r="B9622"/>
    </row>
    <row r="9623" spans="1:2" x14ac:dyDescent="0.25">
      <c r="A9623"/>
      <c r="B9623"/>
    </row>
    <row r="9624" spans="1:2" x14ac:dyDescent="0.25">
      <c r="A9624"/>
      <c r="B9624"/>
    </row>
    <row r="9625" spans="1:2" x14ac:dyDescent="0.25">
      <c r="A9625"/>
      <c r="B9625"/>
    </row>
    <row r="9626" spans="1:2" x14ac:dyDescent="0.25">
      <c r="A9626"/>
      <c r="B9626"/>
    </row>
    <row r="9627" spans="1:2" x14ac:dyDescent="0.25">
      <c r="A9627"/>
      <c r="B9627"/>
    </row>
    <row r="9628" spans="1:2" x14ac:dyDescent="0.25">
      <c r="A9628"/>
      <c r="B9628"/>
    </row>
    <row r="9629" spans="1:2" x14ac:dyDescent="0.25">
      <c r="A9629"/>
      <c r="B9629"/>
    </row>
    <row r="9630" spans="1:2" x14ac:dyDescent="0.25">
      <c r="A9630"/>
      <c r="B9630"/>
    </row>
    <row r="9631" spans="1:2" x14ac:dyDescent="0.25">
      <c r="A9631"/>
      <c r="B9631"/>
    </row>
    <row r="9632" spans="1:2" x14ac:dyDescent="0.25">
      <c r="A9632"/>
      <c r="B9632"/>
    </row>
    <row r="9633" spans="1:2" x14ac:dyDescent="0.25">
      <c r="A9633"/>
      <c r="B9633"/>
    </row>
    <row r="9634" spans="1:2" x14ac:dyDescent="0.25">
      <c r="A9634"/>
      <c r="B9634"/>
    </row>
    <row r="9635" spans="1:2" x14ac:dyDescent="0.25">
      <c r="A9635"/>
      <c r="B9635"/>
    </row>
    <row r="9636" spans="1:2" x14ac:dyDescent="0.25">
      <c r="A9636"/>
      <c r="B9636"/>
    </row>
    <row r="9637" spans="1:2" x14ac:dyDescent="0.25">
      <c r="A9637"/>
      <c r="B9637"/>
    </row>
    <row r="9638" spans="1:2" x14ac:dyDescent="0.25">
      <c r="A9638"/>
      <c r="B9638"/>
    </row>
    <row r="9639" spans="1:2" x14ac:dyDescent="0.25">
      <c r="A9639"/>
      <c r="B9639"/>
    </row>
    <row r="9640" spans="1:2" x14ac:dyDescent="0.25">
      <c r="A9640"/>
      <c r="B9640"/>
    </row>
    <row r="9641" spans="1:2" x14ac:dyDescent="0.25">
      <c r="A9641"/>
      <c r="B9641"/>
    </row>
    <row r="9642" spans="1:2" x14ac:dyDescent="0.25">
      <c r="A9642"/>
      <c r="B9642"/>
    </row>
    <row r="9643" spans="1:2" x14ac:dyDescent="0.25">
      <c r="A9643"/>
      <c r="B9643"/>
    </row>
    <row r="9644" spans="1:2" x14ac:dyDescent="0.25">
      <c r="A9644"/>
      <c r="B9644"/>
    </row>
    <row r="9645" spans="1:2" x14ac:dyDescent="0.25">
      <c r="A9645"/>
      <c r="B9645"/>
    </row>
    <row r="9646" spans="1:2" x14ac:dyDescent="0.25">
      <c r="A9646"/>
      <c r="B9646"/>
    </row>
    <row r="9647" spans="1:2" x14ac:dyDescent="0.25">
      <c r="A9647"/>
      <c r="B9647"/>
    </row>
    <row r="9648" spans="1:2" x14ac:dyDescent="0.25">
      <c r="A9648"/>
      <c r="B9648"/>
    </row>
    <row r="9649" spans="1:2" x14ac:dyDescent="0.25">
      <c r="A9649"/>
      <c r="B9649"/>
    </row>
    <row r="9650" spans="1:2" x14ac:dyDescent="0.25">
      <c r="A9650"/>
      <c r="B9650"/>
    </row>
    <row r="9651" spans="1:2" x14ac:dyDescent="0.25">
      <c r="A9651"/>
      <c r="B9651"/>
    </row>
    <row r="9652" spans="1:2" x14ac:dyDescent="0.25">
      <c r="A9652"/>
      <c r="B9652"/>
    </row>
    <row r="9653" spans="1:2" x14ac:dyDescent="0.25">
      <c r="A9653"/>
      <c r="B9653"/>
    </row>
    <row r="9654" spans="1:2" x14ac:dyDescent="0.25">
      <c r="A9654"/>
      <c r="B9654"/>
    </row>
    <row r="9655" spans="1:2" x14ac:dyDescent="0.25">
      <c r="A9655"/>
      <c r="B9655"/>
    </row>
    <row r="9656" spans="1:2" x14ac:dyDescent="0.25">
      <c r="A9656"/>
      <c r="B9656"/>
    </row>
    <row r="9657" spans="1:2" x14ac:dyDescent="0.25">
      <c r="A9657"/>
      <c r="B9657"/>
    </row>
    <row r="9658" spans="1:2" x14ac:dyDescent="0.25">
      <c r="A9658"/>
      <c r="B9658"/>
    </row>
    <row r="9659" spans="1:2" x14ac:dyDescent="0.25">
      <c r="A9659"/>
      <c r="B9659"/>
    </row>
    <row r="9660" spans="1:2" x14ac:dyDescent="0.25">
      <c r="A9660"/>
      <c r="B9660"/>
    </row>
    <row r="9661" spans="1:2" x14ac:dyDescent="0.25">
      <c r="A9661"/>
      <c r="B9661"/>
    </row>
    <row r="9662" spans="1:2" x14ac:dyDescent="0.25">
      <c r="A9662"/>
      <c r="B9662"/>
    </row>
    <row r="9663" spans="1:2" x14ac:dyDescent="0.25">
      <c r="A9663"/>
      <c r="B9663"/>
    </row>
    <row r="9664" spans="1:2" x14ac:dyDescent="0.25">
      <c r="A9664"/>
      <c r="B9664"/>
    </row>
    <row r="9665" spans="1:2" x14ac:dyDescent="0.25">
      <c r="A9665"/>
      <c r="B9665"/>
    </row>
    <row r="9666" spans="1:2" x14ac:dyDescent="0.25">
      <c r="A9666"/>
      <c r="B9666"/>
    </row>
    <row r="9667" spans="1:2" x14ac:dyDescent="0.25">
      <c r="A9667"/>
      <c r="B9667"/>
    </row>
    <row r="9668" spans="1:2" x14ac:dyDescent="0.25">
      <c r="A9668"/>
      <c r="B9668"/>
    </row>
    <row r="9669" spans="1:2" x14ac:dyDescent="0.25">
      <c r="A9669"/>
      <c r="B9669"/>
    </row>
    <row r="9670" spans="1:2" x14ac:dyDescent="0.25">
      <c r="A9670"/>
      <c r="B9670"/>
    </row>
    <row r="9671" spans="1:2" x14ac:dyDescent="0.25">
      <c r="A9671"/>
      <c r="B9671"/>
    </row>
    <row r="9672" spans="1:2" x14ac:dyDescent="0.25">
      <c r="A9672"/>
      <c r="B9672"/>
    </row>
    <row r="9673" spans="1:2" x14ac:dyDescent="0.25">
      <c r="A9673"/>
      <c r="B9673"/>
    </row>
    <row r="9674" spans="1:2" x14ac:dyDescent="0.25">
      <c r="A9674"/>
      <c r="B9674"/>
    </row>
    <row r="9675" spans="1:2" x14ac:dyDescent="0.25">
      <c r="A9675"/>
      <c r="B9675"/>
    </row>
    <row r="9676" spans="1:2" x14ac:dyDescent="0.25">
      <c r="A9676"/>
      <c r="B9676"/>
    </row>
    <row r="9677" spans="1:2" x14ac:dyDescent="0.25">
      <c r="A9677"/>
      <c r="B9677"/>
    </row>
    <row r="9678" spans="1:2" x14ac:dyDescent="0.25">
      <c r="A9678"/>
      <c r="B9678"/>
    </row>
    <row r="9679" spans="1:2" x14ac:dyDescent="0.25">
      <c r="A9679"/>
      <c r="B9679"/>
    </row>
    <row r="9680" spans="1:2" x14ac:dyDescent="0.25">
      <c r="A9680"/>
      <c r="B9680"/>
    </row>
    <row r="9681" spans="1:2" x14ac:dyDescent="0.25">
      <c r="A9681"/>
      <c r="B9681"/>
    </row>
    <row r="9682" spans="1:2" x14ac:dyDescent="0.25">
      <c r="A9682"/>
      <c r="B9682"/>
    </row>
    <row r="9683" spans="1:2" x14ac:dyDescent="0.25">
      <c r="A9683"/>
      <c r="B9683"/>
    </row>
    <row r="9684" spans="1:2" x14ac:dyDescent="0.25">
      <c r="A9684"/>
      <c r="B9684"/>
    </row>
    <row r="9685" spans="1:2" x14ac:dyDescent="0.25">
      <c r="A9685"/>
      <c r="B9685"/>
    </row>
    <row r="9686" spans="1:2" x14ac:dyDescent="0.25">
      <c r="A9686"/>
      <c r="B9686"/>
    </row>
    <row r="9687" spans="1:2" x14ac:dyDescent="0.25">
      <c r="A9687"/>
      <c r="B9687"/>
    </row>
    <row r="9688" spans="1:2" x14ac:dyDescent="0.25">
      <c r="A9688"/>
      <c r="B9688"/>
    </row>
    <row r="9689" spans="1:2" x14ac:dyDescent="0.25">
      <c r="A9689"/>
      <c r="B9689"/>
    </row>
    <row r="9690" spans="1:2" x14ac:dyDescent="0.25">
      <c r="A9690"/>
      <c r="B9690"/>
    </row>
    <row r="9691" spans="1:2" x14ac:dyDescent="0.25">
      <c r="A9691"/>
      <c r="B9691"/>
    </row>
    <row r="9692" spans="1:2" x14ac:dyDescent="0.25">
      <c r="A9692"/>
      <c r="B9692"/>
    </row>
    <row r="9693" spans="1:2" x14ac:dyDescent="0.25">
      <c r="A9693"/>
      <c r="B9693"/>
    </row>
    <row r="9694" spans="1:2" x14ac:dyDescent="0.25">
      <c r="A9694"/>
      <c r="B9694"/>
    </row>
    <row r="9695" spans="1:2" x14ac:dyDescent="0.25">
      <c r="A9695"/>
      <c r="B9695"/>
    </row>
    <row r="9696" spans="1:2" x14ac:dyDescent="0.25">
      <c r="A9696"/>
      <c r="B9696"/>
    </row>
    <row r="9697" spans="1:2" x14ac:dyDescent="0.25">
      <c r="A9697"/>
      <c r="B9697"/>
    </row>
    <row r="9698" spans="1:2" x14ac:dyDescent="0.25">
      <c r="A9698"/>
      <c r="B9698"/>
    </row>
    <row r="9699" spans="1:2" x14ac:dyDescent="0.25">
      <c r="A9699"/>
      <c r="B9699"/>
    </row>
    <row r="9700" spans="1:2" x14ac:dyDescent="0.25">
      <c r="A9700"/>
      <c r="B9700"/>
    </row>
    <row r="9701" spans="1:2" x14ac:dyDescent="0.25">
      <c r="A9701"/>
      <c r="B9701"/>
    </row>
    <row r="9702" spans="1:2" x14ac:dyDescent="0.25">
      <c r="A9702"/>
      <c r="B9702"/>
    </row>
    <row r="9703" spans="1:2" x14ac:dyDescent="0.25">
      <c r="A9703"/>
      <c r="B9703"/>
    </row>
    <row r="9704" spans="1:2" x14ac:dyDescent="0.25">
      <c r="A9704"/>
      <c r="B9704"/>
    </row>
    <row r="9705" spans="1:2" x14ac:dyDescent="0.25">
      <c r="A9705"/>
      <c r="B9705"/>
    </row>
    <row r="9706" spans="1:2" x14ac:dyDescent="0.25">
      <c r="A9706"/>
      <c r="B9706"/>
    </row>
    <row r="9707" spans="1:2" x14ac:dyDescent="0.25">
      <c r="A9707"/>
      <c r="B9707"/>
    </row>
    <row r="9708" spans="1:2" x14ac:dyDescent="0.25">
      <c r="A9708"/>
      <c r="B9708"/>
    </row>
    <row r="9709" spans="1:2" x14ac:dyDescent="0.25">
      <c r="A9709"/>
      <c r="B9709"/>
    </row>
    <row r="9710" spans="1:2" x14ac:dyDescent="0.25">
      <c r="A9710"/>
      <c r="B9710"/>
    </row>
    <row r="9711" spans="1:2" x14ac:dyDescent="0.25">
      <c r="A9711"/>
      <c r="B9711"/>
    </row>
    <row r="9712" spans="1:2" x14ac:dyDescent="0.25">
      <c r="A9712"/>
      <c r="B9712"/>
    </row>
    <row r="9713" spans="1:2" x14ac:dyDescent="0.25">
      <c r="A9713"/>
      <c r="B9713"/>
    </row>
    <row r="9714" spans="1:2" x14ac:dyDescent="0.25">
      <c r="A9714"/>
      <c r="B9714"/>
    </row>
    <row r="9715" spans="1:2" x14ac:dyDescent="0.25">
      <c r="A9715"/>
      <c r="B9715"/>
    </row>
    <row r="9716" spans="1:2" x14ac:dyDescent="0.25">
      <c r="A9716"/>
      <c r="B9716"/>
    </row>
    <row r="9717" spans="1:2" x14ac:dyDescent="0.25">
      <c r="A9717"/>
      <c r="B9717"/>
    </row>
    <row r="9718" spans="1:2" x14ac:dyDescent="0.25">
      <c r="A9718"/>
      <c r="B9718"/>
    </row>
    <row r="9719" spans="1:2" x14ac:dyDescent="0.25">
      <c r="A9719"/>
      <c r="B9719"/>
    </row>
    <row r="9720" spans="1:2" x14ac:dyDescent="0.25">
      <c r="A9720"/>
      <c r="B9720"/>
    </row>
    <row r="9721" spans="1:2" x14ac:dyDescent="0.25">
      <c r="A9721"/>
      <c r="B9721"/>
    </row>
    <row r="9722" spans="1:2" x14ac:dyDescent="0.25">
      <c r="A9722"/>
      <c r="B9722"/>
    </row>
    <row r="9723" spans="1:2" x14ac:dyDescent="0.25">
      <c r="A9723"/>
      <c r="B9723"/>
    </row>
    <row r="9724" spans="1:2" x14ac:dyDescent="0.25">
      <c r="A9724"/>
      <c r="B9724"/>
    </row>
    <row r="9725" spans="1:2" x14ac:dyDescent="0.25">
      <c r="A9725"/>
      <c r="B9725"/>
    </row>
    <row r="9726" spans="1:2" x14ac:dyDescent="0.25">
      <c r="A9726"/>
      <c r="B9726"/>
    </row>
    <row r="9727" spans="1:2" x14ac:dyDescent="0.25">
      <c r="A9727"/>
      <c r="B9727"/>
    </row>
    <row r="9728" spans="1:2" x14ac:dyDescent="0.25">
      <c r="A9728"/>
      <c r="B9728"/>
    </row>
    <row r="9729" spans="1:2" x14ac:dyDescent="0.25">
      <c r="A9729"/>
      <c r="B9729"/>
    </row>
    <row r="9730" spans="1:2" x14ac:dyDescent="0.25">
      <c r="A9730"/>
      <c r="B9730"/>
    </row>
    <row r="9731" spans="1:2" x14ac:dyDescent="0.25">
      <c r="A9731"/>
      <c r="B9731"/>
    </row>
    <row r="9732" spans="1:2" x14ac:dyDescent="0.25">
      <c r="A9732"/>
      <c r="B9732"/>
    </row>
    <row r="9733" spans="1:2" x14ac:dyDescent="0.25">
      <c r="A9733"/>
      <c r="B9733"/>
    </row>
    <row r="9734" spans="1:2" x14ac:dyDescent="0.25">
      <c r="A9734"/>
      <c r="B9734"/>
    </row>
    <row r="9735" spans="1:2" x14ac:dyDescent="0.25">
      <c r="A9735"/>
      <c r="B9735"/>
    </row>
    <row r="9736" spans="1:2" x14ac:dyDescent="0.25">
      <c r="A9736"/>
      <c r="B9736"/>
    </row>
    <row r="9737" spans="1:2" x14ac:dyDescent="0.25">
      <c r="A9737"/>
      <c r="B9737"/>
    </row>
    <row r="9738" spans="1:2" x14ac:dyDescent="0.25">
      <c r="A9738"/>
      <c r="B9738"/>
    </row>
    <row r="9739" spans="1:2" x14ac:dyDescent="0.25">
      <c r="A9739"/>
      <c r="B9739"/>
    </row>
    <row r="9740" spans="1:2" x14ac:dyDescent="0.25">
      <c r="A9740"/>
      <c r="B9740"/>
    </row>
    <row r="9741" spans="1:2" x14ac:dyDescent="0.25">
      <c r="A9741"/>
      <c r="B9741"/>
    </row>
    <row r="9742" spans="1:2" x14ac:dyDescent="0.25">
      <c r="A9742"/>
      <c r="B9742"/>
    </row>
    <row r="9743" spans="1:2" x14ac:dyDescent="0.25">
      <c r="A9743"/>
      <c r="B9743"/>
    </row>
    <row r="9744" spans="1:2" x14ac:dyDescent="0.25">
      <c r="A9744"/>
      <c r="B9744"/>
    </row>
    <row r="9745" spans="1:2" x14ac:dyDescent="0.25">
      <c r="A9745"/>
      <c r="B9745"/>
    </row>
    <row r="9746" spans="1:2" x14ac:dyDescent="0.25">
      <c r="A9746"/>
      <c r="B9746"/>
    </row>
    <row r="9747" spans="1:2" x14ac:dyDescent="0.25">
      <c r="A9747"/>
      <c r="B9747"/>
    </row>
    <row r="9748" spans="1:2" x14ac:dyDescent="0.25">
      <c r="A9748"/>
      <c r="B9748"/>
    </row>
    <row r="9749" spans="1:2" x14ac:dyDescent="0.25">
      <c r="A9749"/>
      <c r="B9749"/>
    </row>
    <row r="9750" spans="1:2" x14ac:dyDescent="0.25">
      <c r="A9750"/>
      <c r="B9750"/>
    </row>
    <row r="9751" spans="1:2" x14ac:dyDescent="0.25">
      <c r="A9751"/>
      <c r="B9751"/>
    </row>
    <row r="9752" spans="1:2" x14ac:dyDescent="0.25">
      <c r="A9752"/>
      <c r="B9752"/>
    </row>
    <row r="9753" spans="1:2" x14ac:dyDescent="0.25">
      <c r="A9753"/>
      <c r="B9753"/>
    </row>
    <row r="9754" spans="1:2" x14ac:dyDescent="0.25">
      <c r="A9754"/>
      <c r="B9754"/>
    </row>
    <row r="9755" spans="1:2" x14ac:dyDescent="0.25">
      <c r="A9755"/>
      <c r="B9755"/>
    </row>
    <row r="9756" spans="1:2" x14ac:dyDescent="0.25">
      <c r="A9756"/>
      <c r="B9756"/>
    </row>
    <row r="9757" spans="1:2" x14ac:dyDescent="0.25">
      <c r="A9757"/>
      <c r="B9757"/>
    </row>
    <row r="9758" spans="1:2" x14ac:dyDescent="0.25">
      <c r="A9758"/>
      <c r="B9758"/>
    </row>
    <row r="9759" spans="1:2" x14ac:dyDescent="0.25">
      <c r="A9759"/>
      <c r="B9759"/>
    </row>
    <row r="9760" spans="1:2" x14ac:dyDescent="0.25">
      <c r="A9760"/>
      <c r="B9760"/>
    </row>
    <row r="9761" spans="1:2" x14ac:dyDescent="0.25">
      <c r="A9761"/>
      <c r="B9761"/>
    </row>
    <row r="9762" spans="1:2" x14ac:dyDescent="0.25">
      <c r="A9762"/>
      <c r="B9762"/>
    </row>
    <row r="9763" spans="1:2" x14ac:dyDescent="0.25">
      <c r="A9763"/>
      <c r="B9763"/>
    </row>
    <row r="9764" spans="1:2" x14ac:dyDescent="0.25">
      <c r="A9764"/>
      <c r="B9764"/>
    </row>
    <row r="9765" spans="1:2" x14ac:dyDescent="0.25">
      <c r="A9765"/>
      <c r="B9765"/>
    </row>
    <row r="9766" spans="1:2" x14ac:dyDescent="0.25">
      <c r="A9766"/>
      <c r="B9766"/>
    </row>
    <row r="9767" spans="1:2" x14ac:dyDescent="0.25">
      <c r="A9767"/>
      <c r="B9767"/>
    </row>
    <row r="9768" spans="1:2" x14ac:dyDescent="0.25">
      <c r="A9768"/>
      <c r="B9768"/>
    </row>
    <row r="9769" spans="1:2" x14ac:dyDescent="0.25">
      <c r="A9769"/>
      <c r="B9769"/>
    </row>
    <row r="9770" spans="1:2" x14ac:dyDescent="0.25">
      <c r="A9770"/>
      <c r="B9770"/>
    </row>
    <row r="9771" spans="1:2" x14ac:dyDescent="0.25">
      <c r="A9771"/>
      <c r="B9771"/>
    </row>
    <row r="9772" spans="1:2" x14ac:dyDescent="0.25">
      <c r="A9772"/>
      <c r="B9772"/>
    </row>
    <row r="9773" spans="1:2" x14ac:dyDescent="0.25">
      <c r="A9773"/>
      <c r="B9773"/>
    </row>
    <row r="9774" spans="1:2" x14ac:dyDescent="0.25">
      <c r="A9774"/>
      <c r="B9774"/>
    </row>
    <row r="9775" spans="1:2" x14ac:dyDescent="0.25">
      <c r="A9775"/>
      <c r="B9775"/>
    </row>
    <row r="9776" spans="1:2" x14ac:dyDescent="0.25">
      <c r="A9776"/>
      <c r="B9776"/>
    </row>
    <row r="9777" spans="1:2" x14ac:dyDescent="0.25">
      <c r="A9777"/>
      <c r="B9777"/>
    </row>
    <row r="9778" spans="1:2" x14ac:dyDescent="0.25">
      <c r="A9778"/>
      <c r="B9778"/>
    </row>
    <row r="9779" spans="1:2" x14ac:dyDescent="0.25">
      <c r="A9779"/>
      <c r="B9779"/>
    </row>
    <row r="9780" spans="1:2" x14ac:dyDescent="0.25">
      <c r="A9780"/>
      <c r="B9780"/>
    </row>
    <row r="9781" spans="1:2" x14ac:dyDescent="0.25">
      <c r="A9781"/>
      <c r="B9781"/>
    </row>
    <row r="9782" spans="1:2" x14ac:dyDescent="0.25">
      <c r="A9782"/>
      <c r="B9782"/>
    </row>
    <row r="9783" spans="1:2" x14ac:dyDescent="0.25">
      <c r="A9783"/>
      <c r="B9783"/>
    </row>
    <row r="9784" spans="1:2" x14ac:dyDescent="0.25">
      <c r="A9784"/>
      <c r="B9784"/>
    </row>
    <row r="9785" spans="1:2" x14ac:dyDescent="0.25">
      <c r="A9785"/>
      <c r="B9785"/>
    </row>
    <row r="9786" spans="1:2" x14ac:dyDescent="0.25">
      <c r="A9786"/>
      <c r="B9786"/>
    </row>
    <row r="9787" spans="1:2" x14ac:dyDescent="0.25">
      <c r="A9787"/>
      <c r="B9787"/>
    </row>
    <row r="9788" spans="1:2" x14ac:dyDescent="0.25">
      <c r="A9788"/>
      <c r="B9788"/>
    </row>
    <row r="9789" spans="1:2" x14ac:dyDescent="0.25">
      <c r="A9789"/>
      <c r="B9789"/>
    </row>
    <row r="9790" spans="1:2" x14ac:dyDescent="0.25">
      <c r="A9790"/>
      <c r="B9790"/>
    </row>
    <row r="9791" spans="1:2" x14ac:dyDescent="0.25">
      <c r="A9791"/>
      <c r="B9791"/>
    </row>
    <row r="9792" spans="1:2" x14ac:dyDescent="0.25">
      <c r="A9792"/>
      <c r="B9792"/>
    </row>
    <row r="9793" spans="1:2" x14ac:dyDescent="0.25">
      <c r="A9793"/>
      <c r="B9793"/>
    </row>
    <row r="9794" spans="1:2" x14ac:dyDescent="0.25">
      <c r="A9794"/>
      <c r="B9794"/>
    </row>
    <row r="9795" spans="1:2" x14ac:dyDescent="0.25">
      <c r="A9795"/>
      <c r="B9795"/>
    </row>
    <row r="9796" spans="1:2" x14ac:dyDescent="0.25">
      <c r="A9796"/>
      <c r="B9796"/>
    </row>
    <row r="9797" spans="1:2" x14ac:dyDescent="0.25">
      <c r="A9797"/>
      <c r="B9797"/>
    </row>
    <row r="9798" spans="1:2" x14ac:dyDescent="0.25">
      <c r="A9798"/>
      <c r="B9798"/>
    </row>
    <row r="9799" spans="1:2" x14ac:dyDescent="0.25">
      <c r="A9799"/>
      <c r="B9799"/>
    </row>
    <row r="9800" spans="1:2" x14ac:dyDescent="0.25">
      <c r="A9800"/>
      <c r="B9800"/>
    </row>
    <row r="9801" spans="1:2" x14ac:dyDescent="0.25">
      <c r="A9801"/>
      <c r="B9801"/>
    </row>
    <row r="9802" spans="1:2" x14ac:dyDescent="0.25">
      <c r="A9802"/>
      <c r="B9802"/>
    </row>
    <row r="9803" spans="1:2" x14ac:dyDescent="0.25">
      <c r="A9803"/>
      <c r="B9803"/>
    </row>
    <row r="9804" spans="1:2" x14ac:dyDescent="0.25">
      <c r="A9804"/>
      <c r="B9804"/>
    </row>
    <row r="9805" spans="1:2" x14ac:dyDescent="0.25">
      <c r="A9805"/>
      <c r="B9805"/>
    </row>
    <row r="9806" spans="1:2" x14ac:dyDescent="0.25">
      <c r="A9806"/>
      <c r="B9806"/>
    </row>
    <row r="9807" spans="1:2" x14ac:dyDescent="0.25">
      <c r="A9807"/>
      <c r="B9807"/>
    </row>
    <row r="9808" spans="1:2" x14ac:dyDescent="0.25">
      <c r="A9808"/>
      <c r="B9808"/>
    </row>
    <row r="9809" spans="1:2" x14ac:dyDescent="0.25">
      <c r="A9809"/>
      <c r="B9809"/>
    </row>
    <row r="9810" spans="1:2" x14ac:dyDescent="0.25">
      <c r="A9810"/>
      <c r="B9810"/>
    </row>
    <row r="9811" spans="1:2" x14ac:dyDescent="0.25">
      <c r="A9811"/>
      <c r="B9811"/>
    </row>
    <row r="9812" spans="1:2" x14ac:dyDescent="0.25">
      <c r="A9812"/>
      <c r="B9812"/>
    </row>
    <row r="9813" spans="1:2" x14ac:dyDescent="0.25">
      <c r="A9813"/>
      <c r="B9813"/>
    </row>
    <row r="9814" spans="1:2" x14ac:dyDescent="0.25">
      <c r="A9814"/>
      <c r="B9814"/>
    </row>
    <row r="9815" spans="1:2" x14ac:dyDescent="0.25">
      <c r="A9815"/>
      <c r="B9815"/>
    </row>
    <row r="9816" spans="1:2" x14ac:dyDescent="0.25">
      <c r="A9816"/>
      <c r="B9816"/>
    </row>
    <row r="9817" spans="1:2" x14ac:dyDescent="0.25">
      <c r="A9817"/>
      <c r="B9817"/>
    </row>
    <row r="9818" spans="1:2" x14ac:dyDescent="0.25">
      <c r="A9818"/>
      <c r="B9818"/>
    </row>
    <row r="9819" spans="1:2" x14ac:dyDescent="0.25">
      <c r="A9819"/>
      <c r="B9819"/>
    </row>
    <row r="9820" spans="1:2" x14ac:dyDescent="0.25">
      <c r="A9820"/>
      <c r="B9820"/>
    </row>
    <row r="9821" spans="1:2" x14ac:dyDescent="0.25">
      <c r="A9821"/>
      <c r="B9821"/>
    </row>
    <row r="9822" spans="1:2" x14ac:dyDescent="0.25">
      <c r="A9822"/>
      <c r="B9822"/>
    </row>
    <row r="9823" spans="1:2" x14ac:dyDescent="0.25">
      <c r="A9823"/>
      <c r="B9823"/>
    </row>
    <row r="9824" spans="1:2" x14ac:dyDescent="0.25">
      <c r="A9824"/>
      <c r="B9824"/>
    </row>
    <row r="9825" spans="1:2" x14ac:dyDescent="0.25">
      <c r="A9825"/>
      <c r="B9825"/>
    </row>
    <row r="9826" spans="1:2" x14ac:dyDescent="0.25">
      <c r="A9826"/>
      <c r="B9826"/>
    </row>
    <row r="9827" spans="1:2" x14ac:dyDescent="0.25">
      <c r="A9827"/>
      <c r="B9827"/>
    </row>
    <row r="9828" spans="1:2" x14ac:dyDescent="0.25">
      <c r="A9828"/>
      <c r="B9828"/>
    </row>
    <row r="9829" spans="1:2" x14ac:dyDescent="0.25">
      <c r="A9829"/>
      <c r="B9829"/>
    </row>
    <row r="9830" spans="1:2" x14ac:dyDescent="0.25">
      <c r="A9830"/>
      <c r="B9830"/>
    </row>
    <row r="9831" spans="1:2" x14ac:dyDescent="0.25">
      <c r="A9831"/>
      <c r="B9831"/>
    </row>
    <row r="9832" spans="1:2" x14ac:dyDescent="0.25">
      <c r="A9832"/>
      <c r="B9832"/>
    </row>
    <row r="9833" spans="1:2" x14ac:dyDescent="0.25">
      <c r="A9833"/>
      <c r="B9833"/>
    </row>
    <row r="9834" spans="1:2" x14ac:dyDescent="0.25">
      <c r="A9834"/>
      <c r="B9834"/>
    </row>
    <row r="9835" spans="1:2" x14ac:dyDescent="0.25">
      <c r="A9835"/>
      <c r="B9835"/>
    </row>
    <row r="9836" spans="1:2" x14ac:dyDescent="0.25">
      <c r="A9836"/>
      <c r="B9836"/>
    </row>
    <row r="9837" spans="1:2" x14ac:dyDescent="0.25">
      <c r="A9837"/>
      <c r="B9837"/>
    </row>
    <row r="9838" spans="1:2" x14ac:dyDescent="0.25">
      <c r="A9838"/>
      <c r="B9838"/>
    </row>
    <row r="9839" spans="1:2" x14ac:dyDescent="0.25">
      <c r="A9839"/>
      <c r="B9839"/>
    </row>
    <row r="9840" spans="1:2" x14ac:dyDescent="0.25">
      <c r="A9840"/>
      <c r="B9840"/>
    </row>
    <row r="9841" spans="1:2" x14ac:dyDescent="0.25">
      <c r="A9841"/>
      <c r="B9841"/>
    </row>
    <row r="9842" spans="1:2" x14ac:dyDescent="0.25">
      <c r="A9842"/>
      <c r="B9842"/>
    </row>
    <row r="9843" spans="1:2" x14ac:dyDescent="0.25">
      <c r="A9843"/>
      <c r="B9843"/>
    </row>
    <row r="9844" spans="1:2" x14ac:dyDescent="0.25">
      <c r="A9844"/>
      <c r="B9844"/>
    </row>
    <row r="9845" spans="1:2" x14ac:dyDescent="0.25">
      <c r="A9845"/>
      <c r="B9845"/>
    </row>
    <row r="9846" spans="1:2" x14ac:dyDescent="0.25">
      <c r="A9846"/>
      <c r="B9846"/>
    </row>
    <row r="9847" spans="1:2" x14ac:dyDescent="0.25">
      <c r="A9847"/>
      <c r="B9847"/>
    </row>
    <row r="9848" spans="1:2" x14ac:dyDescent="0.25">
      <c r="A9848"/>
      <c r="B9848"/>
    </row>
    <row r="9849" spans="1:2" x14ac:dyDescent="0.25">
      <c r="A9849"/>
      <c r="B9849"/>
    </row>
    <row r="9850" spans="1:2" x14ac:dyDescent="0.25">
      <c r="A9850"/>
      <c r="B9850"/>
    </row>
    <row r="9851" spans="1:2" x14ac:dyDescent="0.25">
      <c r="A9851"/>
      <c r="B9851"/>
    </row>
    <row r="9852" spans="1:2" x14ac:dyDescent="0.25">
      <c r="A9852"/>
      <c r="B9852"/>
    </row>
    <row r="9853" spans="1:2" x14ac:dyDescent="0.25">
      <c r="A9853"/>
      <c r="B9853"/>
    </row>
    <row r="9854" spans="1:2" x14ac:dyDescent="0.25">
      <c r="A9854"/>
      <c r="B9854"/>
    </row>
    <row r="9855" spans="1:2" x14ac:dyDescent="0.25">
      <c r="A9855"/>
      <c r="B9855"/>
    </row>
    <row r="9856" spans="1:2" x14ac:dyDescent="0.25">
      <c r="A9856"/>
      <c r="B9856"/>
    </row>
    <row r="9857" spans="1:2" x14ac:dyDescent="0.25">
      <c r="A9857"/>
      <c r="B9857"/>
    </row>
    <row r="9858" spans="1:2" x14ac:dyDescent="0.25">
      <c r="A9858"/>
      <c r="B9858"/>
    </row>
    <row r="9859" spans="1:2" x14ac:dyDescent="0.25">
      <c r="A9859"/>
      <c r="B9859"/>
    </row>
    <row r="9860" spans="1:2" x14ac:dyDescent="0.25">
      <c r="A9860"/>
      <c r="B9860"/>
    </row>
    <row r="9861" spans="1:2" x14ac:dyDescent="0.25">
      <c r="A9861"/>
      <c r="B9861"/>
    </row>
    <row r="9862" spans="1:2" x14ac:dyDescent="0.25">
      <c r="A9862"/>
      <c r="B9862"/>
    </row>
    <row r="9863" spans="1:2" x14ac:dyDescent="0.25">
      <c r="A9863"/>
      <c r="B9863"/>
    </row>
    <row r="9864" spans="1:2" x14ac:dyDescent="0.25">
      <c r="A9864"/>
      <c r="B9864"/>
    </row>
    <row r="9865" spans="1:2" x14ac:dyDescent="0.25">
      <c r="A9865"/>
      <c r="B9865"/>
    </row>
    <row r="9866" spans="1:2" x14ac:dyDescent="0.25">
      <c r="A9866"/>
      <c r="B9866"/>
    </row>
    <row r="9867" spans="1:2" x14ac:dyDescent="0.25">
      <c r="A9867"/>
      <c r="B9867"/>
    </row>
    <row r="9868" spans="1:2" x14ac:dyDescent="0.25">
      <c r="A9868"/>
      <c r="B9868"/>
    </row>
    <row r="9869" spans="1:2" x14ac:dyDescent="0.25">
      <c r="A9869"/>
      <c r="B9869"/>
    </row>
    <row r="9870" spans="1:2" x14ac:dyDescent="0.25">
      <c r="A9870"/>
      <c r="B9870"/>
    </row>
    <row r="9871" spans="1:2" x14ac:dyDescent="0.25">
      <c r="A9871"/>
      <c r="B9871"/>
    </row>
    <row r="9872" spans="1:2" x14ac:dyDescent="0.25">
      <c r="A9872"/>
      <c r="B9872"/>
    </row>
    <row r="9873" spans="1:2" x14ac:dyDescent="0.25">
      <c r="A9873"/>
      <c r="B9873"/>
    </row>
    <row r="9874" spans="1:2" x14ac:dyDescent="0.25">
      <c r="A9874"/>
      <c r="B9874"/>
    </row>
    <row r="9875" spans="1:2" x14ac:dyDescent="0.25">
      <c r="A9875"/>
      <c r="B9875"/>
    </row>
    <row r="9876" spans="1:2" x14ac:dyDescent="0.25">
      <c r="A9876"/>
      <c r="B9876"/>
    </row>
    <row r="9877" spans="1:2" x14ac:dyDescent="0.25">
      <c r="A9877"/>
      <c r="B9877"/>
    </row>
    <row r="9878" spans="1:2" x14ac:dyDescent="0.25">
      <c r="A9878"/>
      <c r="B9878"/>
    </row>
    <row r="9879" spans="1:2" x14ac:dyDescent="0.25">
      <c r="A9879"/>
      <c r="B9879"/>
    </row>
    <row r="9880" spans="1:2" x14ac:dyDescent="0.25">
      <c r="A9880"/>
      <c r="B9880"/>
    </row>
    <row r="9881" spans="1:2" x14ac:dyDescent="0.25">
      <c r="A9881"/>
      <c r="B9881"/>
    </row>
    <row r="9882" spans="1:2" x14ac:dyDescent="0.25">
      <c r="A9882"/>
      <c r="B9882"/>
    </row>
    <row r="9883" spans="1:2" x14ac:dyDescent="0.25">
      <c r="A9883"/>
      <c r="B9883"/>
    </row>
    <row r="9884" spans="1:2" x14ac:dyDescent="0.25">
      <c r="A9884"/>
      <c r="B9884"/>
    </row>
    <row r="9885" spans="1:2" x14ac:dyDescent="0.25">
      <c r="A9885"/>
      <c r="B9885"/>
    </row>
    <row r="9886" spans="1:2" x14ac:dyDescent="0.25">
      <c r="A9886"/>
      <c r="B9886"/>
    </row>
    <row r="9887" spans="1:2" x14ac:dyDescent="0.25">
      <c r="A9887"/>
      <c r="B9887"/>
    </row>
    <row r="9888" spans="1:2" x14ac:dyDescent="0.25">
      <c r="A9888"/>
      <c r="B9888"/>
    </row>
    <row r="9889" spans="1:2" x14ac:dyDescent="0.25">
      <c r="A9889"/>
      <c r="B9889"/>
    </row>
    <row r="9890" spans="1:2" x14ac:dyDescent="0.25">
      <c r="A9890"/>
      <c r="B9890"/>
    </row>
    <row r="9891" spans="1:2" x14ac:dyDescent="0.25">
      <c r="A9891"/>
      <c r="B9891"/>
    </row>
    <row r="9892" spans="1:2" x14ac:dyDescent="0.25">
      <c r="A9892"/>
      <c r="B9892"/>
    </row>
    <row r="9893" spans="1:2" x14ac:dyDescent="0.25">
      <c r="A9893"/>
      <c r="B9893"/>
    </row>
    <row r="9894" spans="1:2" x14ac:dyDescent="0.25">
      <c r="A9894"/>
      <c r="B9894"/>
    </row>
    <row r="9895" spans="1:2" x14ac:dyDescent="0.25">
      <c r="A9895"/>
      <c r="B9895"/>
    </row>
    <row r="9896" spans="1:2" x14ac:dyDescent="0.25">
      <c r="A9896"/>
      <c r="B9896"/>
    </row>
    <row r="9897" spans="1:2" x14ac:dyDescent="0.25">
      <c r="A9897"/>
      <c r="B9897"/>
    </row>
    <row r="9898" spans="1:2" x14ac:dyDescent="0.25">
      <c r="A9898"/>
      <c r="B9898"/>
    </row>
    <row r="9899" spans="1:2" x14ac:dyDescent="0.25">
      <c r="A9899"/>
      <c r="B9899"/>
    </row>
    <row r="9900" spans="1:2" x14ac:dyDescent="0.25">
      <c r="A9900"/>
      <c r="B9900"/>
    </row>
    <row r="9901" spans="1:2" x14ac:dyDescent="0.25">
      <c r="A9901"/>
      <c r="B9901"/>
    </row>
    <row r="9902" spans="1:2" x14ac:dyDescent="0.25">
      <c r="A9902"/>
      <c r="B9902"/>
    </row>
    <row r="9903" spans="1:2" x14ac:dyDescent="0.25">
      <c r="A9903"/>
      <c r="B9903"/>
    </row>
    <row r="9904" spans="1:2" x14ac:dyDescent="0.25">
      <c r="A9904"/>
      <c r="B9904"/>
    </row>
    <row r="9905" spans="1:2" x14ac:dyDescent="0.25">
      <c r="A9905"/>
      <c r="B9905"/>
    </row>
    <row r="9906" spans="1:2" x14ac:dyDescent="0.25">
      <c r="A9906"/>
      <c r="B9906"/>
    </row>
    <row r="9907" spans="1:2" x14ac:dyDescent="0.25">
      <c r="A9907"/>
      <c r="B9907"/>
    </row>
    <row r="9908" spans="1:2" x14ac:dyDescent="0.25">
      <c r="A9908"/>
      <c r="B9908"/>
    </row>
    <row r="9909" spans="1:2" x14ac:dyDescent="0.25">
      <c r="A9909"/>
      <c r="B9909"/>
    </row>
    <row r="9910" spans="1:2" x14ac:dyDescent="0.25">
      <c r="A9910"/>
      <c r="B9910"/>
    </row>
    <row r="9911" spans="1:2" x14ac:dyDescent="0.25">
      <c r="A9911"/>
      <c r="B9911"/>
    </row>
    <row r="9912" spans="1:2" x14ac:dyDescent="0.25">
      <c r="A9912"/>
      <c r="B9912"/>
    </row>
    <row r="9913" spans="1:2" x14ac:dyDescent="0.25">
      <c r="A9913"/>
      <c r="B9913"/>
    </row>
    <row r="9914" spans="1:2" x14ac:dyDescent="0.25">
      <c r="A9914"/>
      <c r="B9914"/>
    </row>
    <row r="9915" spans="1:2" x14ac:dyDescent="0.25">
      <c r="A9915"/>
      <c r="B9915"/>
    </row>
    <row r="9916" spans="1:2" x14ac:dyDescent="0.25">
      <c r="A9916"/>
      <c r="B9916"/>
    </row>
    <row r="9917" spans="1:2" x14ac:dyDescent="0.25">
      <c r="A9917"/>
      <c r="B9917"/>
    </row>
    <row r="9918" spans="1:2" x14ac:dyDescent="0.25">
      <c r="A9918"/>
      <c r="B9918"/>
    </row>
    <row r="9919" spans="1:2" x14ac:dyDescent="0.25">
      <c r="A9919"/>
      <c r="B9919"/>
    </row>
    <row r="9920" spans="1:2" x14ac:dyDescent="0.25">
      <c r="A9920"/>
      <c r="B9920"/>
    </row>
    <row r="9921" spans="1:2" x14ac:dyDescent="0.25">
      <c r="A9921"/>
      <c r="B9921"/>
    </row>
    <row r="9922" spans="1:2" x14ac:dyDescent="0.25">
      <c r="A9922"/>
      <c r="B9922"/>
    </row>
    <row r="9923" spans="1:2" x14ac:dyDescent="0.25">
      <c r="A9923"/>
      <c r="B9923"/>
    </row>
    <row r="9924" spans="1:2" x14ac:dyDescent="0.25">
      <c r="A9924"/>
      <c r="B9924"/>
    </row>
    <row r="9925" spans="1:2" x14ac:dyDescent="0.25">
      <c r="A9925"/>
      <c r="B9925"/>
    </row>
    <row r="9926" spans="1:2" x14ac:dyDescent="0.25">
      <c r="A9926"/>
      <c r="B9926"/>
    </row>
    <row r="9927" spans="1:2" x14ac:dyDescent="0.25">
      <c r="A9927"/>
      <c r="B9927"/>
    </row>
    <row r="9928" spans="1:2" x14ac:dyDescent="0.25">
      <c r="A9928"/>
      <c r="B9928"/>
    </row>
    <row r="9929" spans="1:2" x14ac:dyDescent="0.25">
      <c r="A9929"/>
      <c r="B9929"/>
    </row>
    <row r="9930" spans="1:2" x14ac:dyDescent="0.25">
      <c r="A9930"/>
      <c r="B9930"/>
    </row>
    <row r="9931" spans="1:2" x14ac:dyDescent="0.25">
      <c r="A9931"/>
      <c r="B9931"/>
    </row>
    <row r="9932" spans="1:2" x14ac:dyDescent="0.25">
      <c r="A9932"/>
      <c r="B9932"/>
    </row>
    <row r="9933" spans="1:2" x14ac:dyDescent="0.25">
      <c r="A9933"/>
      <c r="B9933"/>
    </row>
    <row r="9934" spans="1:2" x14ac:dyDescent="0.25">
      <c r="A9934"/>
      <c r="B9934"/>
    </row>
    <row r="9935" spans="1:2" x14ac:dyDescent="0.25">
      <c r="A9935"/>
      <c r="B9935"/>
    </row>
    <row r="9936" spans="1:2" x14ac:dyDescent="0.25">
      <c r="A9936"/>
      <c r="B9936"/>
    </row>
    <row r="9937" spans="1:2" x14ac:dyDescent="0.25">
      <c r="A9937"/>
      <c r="B9937"/>
    </row>
    <row r="9938" spans="1:2" x14ac:dyDescent="0.25">
      <c r="A9938"/>
      <c r="B9938"/>
    </row>
    <row r="9939" spans="1:2" x14ac:dyDescent="0.25">
      <c r="A9939"/>
      <c r="B9939"/>
    </row>
    <row r="9940" spans="1:2" x14ac:dyDescent="0.25">
      <c r="A9940"/>
      <c r="B9940"/>
    </row>
    <row r="9941" spans="1:2" x14ac:dyDescent="0.25">
      <c r="A9941"/>
      <c r="B9941"/>
    </row>
    <row r="9942" spans="1:2" x14ac:dyDescent="0.25">
      <c r="A9942"/>
      <c r="B9942"/>
    </row>
    <row r="9943" spans="1:2" x14ac:dyDescent="0.25">
      <c r="A9943"/>
      <c r="B9943"/>
    </row>
    <row r="9944" spans="1:2" x14ac:dyDescent="0.25">
      <c r="A9944"/>
      <c r="B9944"/>
    </row>
    <row r="9945" spans="1:2" x14ac:dyDescent="0.25">
      <c r="A9945"/>
      <c r="B9945"/>
    </row>
    <row r="9946" spans="1:2" x14ac:dyDescent="0.25">
      <c r="A9946"/>
      <c r="B9946"/>
    </row>
    <row r="9947" spans="1:2" x14ac:dyDescent="0.25">
      <c r="A9947"/>
      <c r="B9947"/>
    </row>
    <row r="9948" spans="1:2" x14ac:dyDescent="0.25">
      <c r="A9948"/>
      <c r="B9948"/>
    </row>
    <row r="9949" spans="1:2" x14ac:dyDescent="0.25">
      <c r="A9949"/>
      <c r="B9949"/>
    </row>
    <row r="9950" spans="1:2" x14ac:dyDescent="0.25">
      <c r="A9950"/>
      <c r="B9950"/>
    </row>
    <row r="9951" spans="1:2" x14ac:dyDescent="0.25">
      <c r="A9951"/>
      <c r="B9951"/>
    </row>
    <row r="9952" spans="1:2" x14ac:dyDescent="0.25">
      <c r="A9952"/>
      <c r="B9952"/>
    </row>
    <row r="9953" spans="1:2" x14ac:dyDescent="0.25">
      <c r="A9953"/>
      <c r="B9953"/>
    </row>
    <row r="9954" spans="1:2" x14ac:dyDescent="0.25">
      <c r="A9954"/>
      <c r="B9954"/>
    </row>
    <row r="9955" spans="1:2" x14ac:dyDescent="0.25">
      <c r="A9955"/>
      <c r="B9955"/>
    </row>
    <row r="9956" spans="1:2" x14ac:dyDescent="0.25">
      <c r="A9956"/>
      <c r="B9956"/>
    </row>
    <row r="9957" spans="1:2" x14ac:dyDescent="0.25">
      <c r="A9957"/>
      <c r="B9957"/>
    </row>
    <row r="9958" spans="1:2" x14ac:dyDescent="0.25">
      <c r="A9958"/>
      <c r="B9958"/>
    </row>
    <row r="9959" spans="1:2" x14ac:dyDescent="0.25">
      <c r="A9959"/>
      <c r="B9959"/>
    </row>
    <row r="9960" spans="1:2" x14ac:dyDescent="0.25">
      <c r="A9960"/>
      <c r="B9960"/>
    </row>
    <row r="9961" spans="1:2" x14ac:dyDescent="0.25">
      <c r="A9961"/>
      <c r="B9961"/>
    </row>
    <row r="9962" spans="1:2" x14ac:dyDescent="0.25">
      <c r="A9962"/>
      <c r="B9962"/>
    </row>
    <row r="9963" spans="1:2" x14ac:dyDescent="0.25">
      <c r="A9963"/>
      <c r="B9963"/>
    </row>
    <row r="9964" spans="1:2" x14ac:dyDescent="0.25">
      <c r="A9964"/>
      <c r="B9964"/>
    </row>
    <row r="9965" spans="1:2" x14ac:dyDescent="0.25">
      <c r="A9965"/>
      <c r="B9965"/>
    </row>
    <row r="9966" spans="1:2" x14ac:dyDescent="0.25">
      <c r="A9966"/>
      <c r="B9966"/>
    </row>
    <row r="9967" spans="1:2" x14ac:dyDescent="0.25">
      <c r="A9967"/>
      <c r="B9967"/>
    </row>
    <row r="9968" spans="1:2" x14ac:dyDescent="0.25">
      <c r="A9968"/>
      <c r="B9968"/>
    </row>
    <row r="9969" spans="1:2" x14ac:dyDescent="0.25">
      <c r="A9969"/>
      <c r="B9969"/>
    </row>
    <row r="9970" spans="1:2" x14ac:dyDescent="0.25">
      <c r="A9970"/>
      <c r="B9970"/>
    </row>
    <row r="9971" spans="1:2" x14ac:dyDescent="0.25">
      <c r="A9971"/>
      <c r="B9971"/>
    </row>
    <row r="9972" spans="1:2" x14ac:dyDescent="0.25">
      <c r="A9972"/>
      <c r="B9972"/>
    </row>
    <row r="9973" spans="1:2" x14ac:dyDescent="0.25">
      <c r="A9973"/>
      <c r="B9973"/>
    </row>
    <row r="9974" spans="1:2" x14ac:dyDescent="0.25">
      <c r="A9974"/>
      <c r="B9974"/>
    </row>
    <row r="9975" spans="1:2" x14ac:dyDescent="0.25">
      <c r="A9975"/>
      <c r="B9975"/>
    </row>
    <row r="9976" spans="1:2" x14ac:dyDescent="0.25">
      <c r="A9976"/>
      <c r="B9976"/>
    </row>
    <row r="9977" spans="1:2" x14ac:dyDescent="0.25">
      <c r="A9977"/>
      <c r="B9977"/>
    </row>
    <row r="9978" spans="1:2" x14ac:dyDescent="0.25">
      <c r="A9978"/>
      <c r="B9978"/>
    </row>
    <row r="9979" spans="1:2" x14ac:dyDescent="0.25">
      <c r="A9979"/>
      <c r="B9979"/>
    </row>
    <row r="9980" spans="1:2" x14ac:dyDescent="0.25">
      <c r="A9980"/>
      <c r="B9980"/>
    </row>
    <row r="9981" spans="1:2" x14ac:dyDescent="0.25">
      <c r="A9981"/>
      <c r="B9981"/>
    </row>
    <row r="9982" spans="1:2" x14ac:dyDescent="0.25">
      <c r="A9982"/>
      <c r="B9982"/>
    </row>
    <row r="9983" spans="1:2" x14ac:dyDescent="0.25">
      <c r="A9983"/>
      <c r="B9983"/>
    </row>
    <row r="9984" spans="1:2" x14ac:dyDescent="0.25">
      <c r="A9984"/>
      <c r="B9984"/>
    </row>
    <row r="9985" spans="1:2" x14ac:dyDescent="0.25">
      <c r="A9985"/>
      <c r="B9985"/>
    </row>
    <row r="9986" spans="1:2" x14ac:dyDescent="0.25">
      <c r="A9986"/>
      <c r="B9986"/>
    </row>
    <row r="9987" spans="1:2" x14ac:dyDescent="0.25">
      <c r="A9987"/>
      <c r="B9987"/>
    </row>
    <row r="9988" spans="1:2" x14ac:dyDescent="0.25">
      <c r="A9988"/>
      <c r="B9988"/>
    </row>
    <row r="9989" spans="1:2" x14ac:dyDescent="0.25">
      <c r="A9989"/>
      <c r="B9989"/>
    </row>
    <row r="9990" spans="1:2" x14ac:dyDescent="0.25">
      <c r="A9990"/>
      <c r="B9990"/>
    </row>
    <row r="9991" spans="1:2" x14ac:dyDescent="0.25">
      <c r="A9991"/>
      <c r="B9991"/>
    </row>
    <row r="9992" spans="1:2" x14ac:dyDescent="0.25">
      <c r="A9992"/>
      <c r="B9992"/>
    </row>
    <row r="9993" spans="1:2" x14ac:dyDescent="0.25">
      <c r="A9993"/>
      <c r="B9993"/>
    </row>
    <row r="9994" spans="1:2" x14ac:dyDescent="0.25">
      <c r="A9994"/>
      <c r="B9994"/>
    </row>
    <row r="9995" spans="1:2" x14ac:dyDescent="0.25">
      <c r="A9995"/>
      <c r="B9995"/>
    </row>
    <row r="9996" spans="1:2" x14ac:dyDescent="0.25">
      <c r="A9996"/>
      <c r="B9996"/>
    </row>
    <row r="9997" spans="1:2" x14ac:dyDescent="0.25">
      <c r="A9997"/>
      <c r="B9997"/>
    </row>
    <row r="9998" spans="1:2" x14ac:dyDescent="0.25">
      <c r="A9998"/>
      <c r="B9998"/>
    </row>
    <row r="9999" spans="1:2" x14ac:dyDescent="0.25">
      <c r="A9999"/>
      <c r="B9999"/>
    </row>
    <row r="10000" spans="1:2" x14ac:dyDescent="0.25">
      <c r="A10000"/>
      <c r="B10000"/>
    </row>
    <row r="10001" spans="1:2" x14ac:dyDescent="0.25">
      <c r="A10001"/>
      <c r="B10001"/>
    </row>
    <row r="10002" spans="1:2" x14ac:dyDescent="0.25">
      <c r="A10002"/>
      <c r="B10002"/>
    </row>
    <row r="10003" spans="1:2" x14ac:dyDescent="0.25">
      <c r="A10003"/>
      <c r="B10003"/>
    </row>
    <row r="10004" spans="1:2" x14ac:dyDescent="0.25">
      <c r="A10004"/>
      <c r="B10004"/>
    </row>
    <row r="10005" spans="1:2" x14ac:dyDescent="0.25">
      <c r="A10005"/>
      <c r="B10005"/>
    </row>
    <row r="10006" spans="1:2" x14ac:dyDescent="0.25">
      <c r="A10006"/>
      <c r="B10006"/>
    </row>
    <row r="10007" spans="1:2" x14ac:dyDescent="0.25">
      <c r="A10007"/>
      <c r="B10007"/>
    </row>
    <row r="10008" spans="1:2" x14ac:dyDescent="0.25">
      <c r="A10008"/>
      <c r="B10008"/>
    </row>
    <row r="10009" spans="1:2" x14ac:dyDescent="0.25">
      <c r="A10009"/>
      <c r="B10009"/>
    </row>
    <row r="10010" spans="1:2" x14ac:dyDescent="0.25">
      <c r="A10010"/>
      <c r="B10010"/>
    </row>
    <row r="10011" spans="1:2" x14ac:dyDescent="0.25">
      <c r="A10011"/>
      <c r="B10011"/>
    </row>
    <row r="10012" spans="1:2" x14ac:dyDescent="0.25">
      <c r="A10012"/>
      <c r="B10012"/>
    </row>
    <row r="10013" spans="1:2" x14ac:dyDescent="0.25">
      <c r="A10013"/>
      <c r="B10013"/>
    </row>
    <row r="10014" spans="1:2" x14ac:dyDescent="0.25">
      <c r="A10014"/>
      <c r="B10014"/>
    </row>
    <row r="10015" spans="1:2" x14ac:dyDescent="0.25">
      <c r="A10015"/>
      <c r="B10015"/>
    </row>
    <row r="10016" spans="1:2" x14ac:dyDescent="0.25">
      <c r="A10016"/>
      <c r="B10016"/>
    </row>
    <row r="10017" spans="1:2" x14ac:dyDescent="0.25">
      <c r="A10017"/>
      <c r="B10017"/>
    </row>
    <row r="10018" spans="1:2" x14ac:dyDescent="0.25">
      <c r="A10018"/>
      <c r="B10018"/>
    </row>
    <row r="10019" spans="1:2" x14ac:dyDescent="0.25">
      <c r="A10019"/>
      <c r="B10019"/>
    </row>
    <row r="10020" spans="1:2" x14ac:dyDescent="0.25">
      <c r="A10020"/>
      <c r="B10020"/>
    </row>
    <row r="10021" spans="1:2" x14ac:dyDescent="0.25">
      <c r="A10021"/>
      <c r="B10021"/>
    </row>
    <row r="10022" spans="1:2" x14ac:dyDescent="0.25">
      <c r="A10022"/>
      <c r="B10022"/>
    </row>
    <row r="10023" spans="1:2" x14ac:dyDescent="0.25">
      <c r="A10023"/>
      <c r="B10023"/>
    </row>
    <row r="10024" spans="1:2" x14ac:dyDescent="0.25">
      <c r="A10024"/>
      <c r="B10024"/>
    </row>
    <row r="10025" spans="1:2" x14ac:dyDescent="0.25">
      <c r="A10025"/>
      <c r="B10025"/>
    </row>
    <row r="10026" spans="1:2" x14ac:dyDescent="0.25">
      <c r="A10026"/>
      <c r="B10026"/>
    </row>
    <row r="10027" spans="1:2" x14ac:dyDescent="0.25">
      <c r="A10027"/>
      <c r="B10027"/>
    </row>
    <row r="10028" spans="1:2" x14ac:dyDescent="0.25">
      <c r="A10028"/>
      <c r="B10028"/>
    </row>
    <row r="10029" spans="1:2" x14ac:dyDescent="0.25">
      <c r="A10029"/>
      <c r="B10029"/>
    </row>
    <row r="10030" spans="1:2" x14ac:dyDescent="0.25">
      <c r="A10030"/>
      <c r="B10030"/>
    </row>
    <row r="10031" spans="1:2" x14ac:dyDescent="0.25">
      <c r="A10031"/>
      <c r="B10031"/>
    </row>
    <row r="10032" spans="1:2" x14ac:dyDescent="0.25">
      <c r="A10032"/>
      <c r="B10032"/>
    </row>
    <row r="10033" spans="1:2" x14ac:dyDescent="0.25">
      <c r="A10033"/>
      <c r="B10033"/>
    </row>
    <row r="10034" spans="1:2" x14ac:dyDescent="0.25">
      <c r="A10034"/>
      <c r="B10034"/>
    </row>
    <row r="10035" spans="1:2" x14ac:dyDescent="0.25">
      <c r="A10035"/>
      <c r="B10035"/>
    </row>
    <row r="10036" spans="1:2" x14ac:dyDescent="0.25">
      <c r="A10036"/>
      <c r="B10036"/>
    </row>
    <row r="10037" spans="1:2" x14ac:dyDescent="0.25">
      <c r="A10037"/>
      <c r="B10037"/>
    </row>
    <row r="10038" spans="1:2" x14ac:dyDescent="0.25">
      <c r="A10038"/>
      <c r="B10038"/>
    </row>
    <row r="10039" spans="1:2" x14ac:dyDescent="0.25">
      <c r="A10039"/>
      <c r="B10039"/>
    </row>
    <row r="10040" spans="1:2" x14ac:dyDescent="0.25">
      <c r="A10040"/>
      <c r="B10040"/>
    </row>
    <row r="10041" spans="1:2" x14ac:dyDescent="0.25">
      <c r="A10041"/>
      <c r="B10041"/>
    </row>
    <row r="10042" spans="1:2" x14ac:dyDescent="0.25">
      <c r="A10042"/>
      <c r="B10042"/>
    </row>
    <row r="10043" spans="1:2" x14ac:dyDescent="0.25">
      <c r="A10043"/>
      <c r="B10043"/>
    </row>
    <row r="10044" spans="1:2" x14ac:dyDescent="0.25">
      <c r="A10044"/>
      <c r="B10044"/>
    </row>
    <row r="10045" spans="1:2" x14ac:dyDescent="0.25">
      <c r="A10045"/>
      <c r="B10045"/>
    </row>
    <row r="10046" spans="1:2" x14ac:dyDescent="0.25">
      <c r="A10046"/>
      <c r="B10046"/>
    </row>
    <row r="10047" spans="1:2" x14ac:dyDescent="0.25">
      <c r="A10047"/>
      <c r="B10047"/>
    </row>
    <row r="10048" spans="1:2" x14ac:dyDescent="0.25">
      <c r="A10048"/>
      <c r="B10048"/>
    </row>
    <row r="10049" spans="1:2" x14ac:dyDescent="0.25">
      <c r="A10049"/>
      <c r="B10049"/>
    </row>
    <row r="10050" spans="1:2" x14ac:dyDescent="0.25">
      <c r="A10050"/>
      <c r="B10050"/>
    </row>
    <row r="10051" spans="1:2" x14ac:dyDescent="0.25">
      <c r="A10051"/>
      <c r="B10051"/>
    </row>
    <row r="10052" spans="1:2" x14ac:dyDescent="0.25">
      <c r="A10052"/>
      <c r="B10052"/>
    </row>
    <row r="10053" spans="1:2" x14ac:dyDescent="0.25">
      <c r="A10053"/>
      <c r="B10053"/>
    </row>
    <row r="10054" spans="1:2" x14ac:dyDescent="0.25">
      <c r="A10054"/>
      <c r="B10054"/>
    </row>
    <row r="10055" spans="1:2" x14ac:dyDescent="0.25">
      <c r="A10055"/>
      <c r="B10055"/>
    </row>
    <row r="10056" spans="1:2" x14ac:dyDescent="0.25">
      <c r="A10056"/>
      <c r="B10056"/>
    </row>
    <row r="10057" spans="1:2" x14ac:dyDescent="0.25">
      <c r="A10057"/>
      <c r="B10057"/>
    </row>
    <row r="10058" spans="1:2" x14ac:dyDescent="0.25">
      <c r="A10058"/>
      <c r="B10058"/>
    </row>
    <row r="10059" spans="1:2" x14ac:dyDescent="0.25">
      <c r="A10059"/>
      <c r="B10059"/>
    </row>
    <row r="10060" spans="1:2" x14ac:dyDescent="0.25">
      <c r="A10060"/>
      <c r="B10060"/>
    </row>
    <row r="10061" spans="1:2" x14ac:dyDescent="0.25">
      <c r="A10061"/>
      <c r="B10061"/>
    </row>
    <row r="10062" spans="1:2" x14ac:dyDescent="0.25">
      <c r="A10062"/>
      <c r="B10062"/>
    </row>
    <row r="10063" spans="1:2" x14ac:dyDescent="0.25">
      <c r="A10063"/>
      <c r="B10063"/>
    </row>
    <row r="10064" spans="1:2" x14ac:dyDescent="0.25">
      <c r="A10064"/>
      <c r="B10064"/>
    </row>
    <row r="10065" spans="1:2" x14ac:dyDescent="0.25">
      <c r="A10065"/>
      <c r="B10065"/>
    </row>
    <row r="10066" spans="1:2" x14ac:dyDescent="0.25">
      <c r="A10066"/>
      <c r="B10066"/>
    </row>
    <row r="10067" spans="1:2" x14ac:dyDescent="0.25">
      <c r="A10067"/>
      <c r="B10067"/>
    </row>
    <row r="10068" spans="1:2" x14ac:dyDescent="0.25">
      <c r="A10068"/>
      <c r="B10068"/>
    </row>
    <row r="10069" spans="1:2" x14ac:dyDescent="0.25">
      <c r="A10069"/>
      <c r="B10069"/>
    </row>
    <row r="10070" spans="1:2" x14ac:dyDescent="0.25">
      <c r="A10070"/>
      <c r="B10070"/>
    </row>
    <row r="10071" spans="1:2" x14ac:dyDescent="0.25">
      <c r="A10071"/>
      <c r="B10071"/>
    </row>
    <row r="10072" spans="1:2" x14ac:dyDescent="0.25">
      <c r="A10072"/>
      <c r="B10072"/>
    </row>
    <row r="10073" spans="1:2" x14ac:dyDescent="0.25">
      <c r="A10073"/>
      <c r="B10073"/>
    </row>
    <row r="10074" spans="1:2" x14ac:dyDescent="0.25">
      <c r="A10074"/>
      <c r="B10074"/>
    </row>
    <row r="10075" spans="1:2" x14ac:dyDescent="0.25">
      <c r="A10075"/>
      <c r="B10075"/>
    </row>
    <row r="10076" spans="1:2" x14ac:dyDescent="0.25">
      <c r="A10076"/>
      <c r="B10076"/>
    </row>
    <row r="10077" spans="1:2" x14ac:dyDescent="0.25">
      <c r="A10077"/>
      <c r="B10077"/>
    </row>
    <row r="10078" spans="1:2" x14ac:dyDescent="0.25">
      <c r="A10078"/>
      <c r="B10078"/>
    </row>
    <row r="10079" spans="1:2" x14ac:dyDescent="0.25">
      <c r="A10079"/>
      <c r="B10079"/>
    </row>
    <row r="10080" spans="1:2" x14ac:dyDescent="0.25">
      <c r="A10080"/>
      <c r="B10080"/>
    </row>
    <row r="10081" spans="1:2" x14ac:dyDescent="0.25">
      <c r="A10081"/>
      <c r="B10081"/>
    </row>
    <row r="10082" spans="1:2" x14ac:dyDescent="0.25">
      <c r="A10082"/>
      <c r="B10082"/>
    </row>
    <row r="10083" spans="1:2" x14ac:dyDescent="0.25">
      <c r="A10083"/>
      <c r="B10083"/>
    </row>
    <row r="10084" spans="1:2" x14ac:dyDescent="0.25">
      <c r="A10084"/>
      <c r="B10084"/>
    </row>
    <row r="10085" spans="1:2" x14ac:dyDescent="0.25">
      <c r="A10085"/>
      <c r="B10085"/>
    </row>
    <row r="10086" spans="1:2" x14ac:dyDescent="0.25">
      <c r="A10086"/>
      <c r="B10086"/>
    </row>
    <row r="10087" spans="1:2" x14ac:dyDescent="0.25">
      <c r="A10087"/>
      <c r="B10087"/>
    </row>
    <row r="10088" spans="1:2" x14ac:dyDescent="0.25">
      <c r="A10088"/>
      <c r="B10088"/>
    </row>
    <row r="10089" spans="1:2" x14ac:dyDescent="0.25">
      <c r="A10089"/>
      <c r="B10089"/>
    </row>
    <row r="10090" spans="1:2" x14ac:dyDescent="0.25">
      <c r="A10090"/>
      <c r="B10090"/>
    </row>
    <row r="10091" spans="1:2" x14ac:dyDescent="0.25">
      <c r="A10091"/>
      <c r="B10091"/>
    </row>
    <row r="10092" spans="1:2" x14ac:dyDescent="0.25">
      <c r="A10092"/>
      <c r="B10092"/>
    </row>
    <row r="10093" spans="1:2" x14ac:dyDescent="0.25">
      <c r="A10093"/>
      <c r="B10093"/>
    </row>
    <row r="10094" spans="1:2" x14ac:dyDescent="0.25">
      <c r="A10094"/>
      <c r="B10094"/>
    </row>
    <row r="10095" spans="1:2" x14ac:dyDescent="0.25">
      <c r="A10095"/>
      <c r="B10095"/>
    </row>
    <row r="10096" spans="1:2" x14ac:dyDescent="0.25">
      <c r="A10096"/>
      <c r="B10096"/>
    </row>
    <row r="10097" spans="1:2" x14ac:dyDescent="0.25">
      <c r="A10097"/>
      <c r="B10097"/>
    </row>
    <row r="10098" spans="1:2" x14ac:dyDescent="0.25">
      <c r="A10098"/>
      <c r="B10098"/>
    </row>
    <row r="10099" spans="1:2" x14ac:dyDescent="0.25">
      <c r="A10099"/>
      <c r="B10099"/>
    </row>
    <row r="10100" spans="1:2" x14ac:dyDescent="0.25">
      <c r="A10100"/>
      <c r="B10100"/>
    </row>
    <row r="10101" spans="1:2" x14ac:dyDescent="0.25">
      <c r="A10101"/>
      <c r="B10101"/>
    </row>
    <row r="10102" spans="1:2" x14ac:dyDescent="0.25">
      <c r="A10102"/>
      <c r="B10102"/>
    </row>
    <row r="10103" spans="1:2" x14ac:dyDescent="0.25">
      <c r="A10103"/>
      <c r="B10103"/>
    </row>
    <row r="10104" spans="1:2" x14ac:dyDescent="0.25">
      <c r="A10104"/>
      <c r="B10104"/>
    </row>
    <row r="10105" spans="1:2" x14ac:dyDescent="0.25">
      <c r="A10105"/>
      <c r="B10105"/>
    </row>
    <row r="10106" spans="1:2" x14ac:dyDescent="0.25">
      <c r="A10106"/>
      <c r="B10106"/>
    </row>
    <row r="10107" spans="1:2" x14ac:dyDescent="0.25">
      <c r="A10107"/>
      <c r="B10107"/>
    </row>
    <row r="10108" spans="1:2" x14ac:dyDescent="0.25">
      <c r="A10108"/>
      <c r="B10108"/>
    </row>
    <row r="10109" spans="1:2" x14ac:dyDescent="0.25">
      <c r="A10109"/>
      <c r="B10109"/>
    </row>
    <row r="10110" spans="1:2" x14ac:dyDescent="0.25">
      <c r="A10110"/>
      <c r="B10110"/>
    </row>
    <row r="10111" spans="1:2" x14ac:dyDescent="0.25">
      <c r="A10111"/>
      <c r="B10111"/>
    </row>
    <row r="10112" spans="1:2" x14ac:dyDescent="0.25">
      <c r="A10112"/>
      <c r="B10112"/>
    </row>
    <row r="10113" spans="1:2" x14ac:dyDescent="0.25">
      <c r="A10113"/>
      <c r="B10113"/>
    </row>
    <row r="10114" spans="1:2" x14ac:dyDescent="0.25">
      <c r="A10114"/>
      <c r="B10114"/>
    </row>
    <row r="10115" spans="1:2" x14ac:dyDescent="0.25">
      <c r="A10115"/>
      <c r="B10115"/>
    </row>
    <row r="10116" spans="1:2" x14ac:dyDescent="0.25">
      <c r="A10116"/>
      <c r="B10116"/>
    </row>
    <row r="10117" spans="1:2" x14ac:dyDescent="0.25">
      <c r="A10117"/>
      <c r="B10117"/>
    </row>
    <row r="10118" spans="1:2" x14ac:dyDescent="0.25">
      <c r="A10118"/>
      <c r="B10118"/>
    </row>
    <row r="10119" spans="1:2" x14ac:dyDescent="0.25">
      <c r="A10119"/>
      <c r="B10119"/>
    </row>
    <row r="10120" spans="1:2" x14ac:dyDescent="0.25">
      <c r="A10120"/>
      <c r="B10120"/>
    </row>
    <row r="10121" spans="1:2" x14ac:dyDescent="0.25">
      <c r="A10121"/>
      <c r="B10121"/>
    </row>
    <row r="10122" spans="1:2" x14ac:dyDescent="0.25">
      <c r="A10122"/>
      <c r="B10122"/>
    </row>
    <row r="10123" spans="1:2" x14ac:dyDescent="0.25">
      <c r="A10123"/>
      <c r="B10123"/>
    </row>
    <row r="10124" spans="1:2" x14ac:dyDescent="0.25">
      <c r="A10124"/>
      <c r="B10124"/>
    </row>
    <row r="10125" spans="1:2" x14ac:dyDescent="0.25">
      <c r="A10125"/>
      <c r="B10125"/>
    </row>
    <row r="10126" spans="1:2" x14ac:dyDescent="0.25">
      <c r="A10126"/>
      <c r="B10126"/>
    </row>
    <row r="10127" spans="1:2" x14ac:dyDescent="0.25">
      <c r="A10127"/>
      <c r="B10127"/>
    </row>
    <row r="10128" spans="1:2" x14ac:dyDescent="0.25">
      <c r="A10128"/>
      <c r="B10128"/>
    </row>
    <row r="10129" spans="1:2" x14ac:dyDescent="0.25">
      <c r="A10129"/>
      <c r="B10129"/>
    </row>
    <row r="10130" spans="1:2" x14ac:dyDescent="0.25">
      <c r="A10130"/>
      <c r="B10130"/>
    </row>
    <row r="10131" spans="1:2" x14ac:dyDescent="0.25">
      <c r="A10131"/>
      <c r="B10131"/>
    </row>
    <row r="10132" spans="1:2" x14ac:dyDescent="0.25">
      <c r="A10132"/>
      <c r="B10132"/>
    </row>
    <row r="10133" spans="1:2" x14ac:dyDescent="0.25">
      <c r="A10133"/>
      <c r="B10133"/>
    </row>
    <row r="10134" spans="1:2" x14ac:dyDescent="0.25">
      <c r="A10134"/>
      <c r="B10134"/>
    </row>
    <row r="10135" spans="1:2" x14ac:dyDescent="0.25">
      <c r="A10135"/>
      <c r="B10135"/>
    </row>
    <row r="10136" spans="1:2" x14ac:dyDescent="0.25">
      <c r="A10136"/>
      <c r="B10136"/>
    </row>
    <row r="10137" spans="1:2" x14ac:dyDescent="0.25">
      <c r="A10137"/>
      <c r="B10137"/>
    </row>
    <row r="10138" spans="1:2" x14ac:dyDescent="0.25">
      <c r="A10138"/>
      <c r="B10138"/>
    </row>
    <row r="10139" spans="1:2" x14ac:dyDescent="0.25">
      <c r="A10139"/>
      <c r="B10139"/>
    </row>
    <row r="10140" spans="1:2" x14ac:dyDescent="0.25">
      <c r="A10140"/>
      <c r="B10140"/>
    </row>
    <row r="10141" spans="1:2" x14ac:dyDescent="0.25">
      <c r="A10141"/>
      <c r="B10141"/>
    </row>
    <row r="10142" spans="1:2" x14ac:dyDescent="0.25">
      <c r="A10142"/>
      <c r="B10142"/>
    </row>
    <row r="10143" spans="1:2" x14ac:dyDescent="0.25">
      <c r="A10143"/>
      <c r="B10143"/>
    </row>
    <row r="10144" spans="1:2" x14ac:dyDescent="0.25">
      <c r="A10144"/>
      <c r="B10144"/>
    </row>
    <row r="10145" spans="1:2" x14ac:dyDescent="0.25">
      <c r="A10145"/>
      <c r="B10145"/>
    </row>
    <row r="10146" spans="1:2" x14ac:dyDescent="0.25">
      <c r="A10146"/>
      <c r="B10146"/>
    </row>
    <row r="10147" spans="1:2" x14ac:dyDescent="0.25">
      <c r="A10147"/>
      <c r="B10147"/>
    </row>
    <row r="10148" spans="1:2" x14ac:dyDescent="0.25">
      <c r="A10148"/>
      <c r="B10148"/>
    </row>
    <row r="10149" spans="1:2" x14ac:dyDescent="0.25">
      <c r="A10149"/>
      <c r="B10149"/>
    </row>
    <row r="10150" spans="1:2" x14ac:dyDescent="0.25">
      <c r="A10150"/>
      <c r="B10150"/>
    </row>
    <row r="10151" spans="1:2" x14ac:dyDescent="0.25">
      <c r="A10151"/>
      <c r="B10151"/>
    </row>
    <row r="10152" spans="1:2" x14ac:dyDescent="0.25">
      <c r="A10152"/>
      <c r="B10152"/>
    </row>
    <row r="10153" spans="1:2" x14ac:dyDescent="0.25">
      <c r="A10153"/>
      <c r="B10153"/>
    </row>
    <row r="10154" spans="1:2" x14ac:dyDescent="0.25">
      <c r="A10154"/>
      <c r="B10154"/>
    </row>
    <row r="10155" spans="1:2" x14ac:dyDescent="0.25">
      <c r="A10155"/>
      <c r="B10155"/>
    </row>
    <row r="10156" spans="1:2" x14ac:dyDescent="0.25">
      <c r="A10156"/>
      <c r="B10156"/>
    </row>
    <row r="10157" spans="1:2" x14ac:dyDescent="0.25">
      <c r="A10157"/>
      <c r="B10157"/>
    </row>
    <row r="10158" spans="1:2" x14ac:dyDescent="0.25">
      <c r="A10158"/>
      <c r="B10158"/>
    </row>
    <row r="10159" spans="1:2" x14ac:dyDescent="0.25">
      <c r="A10159"/>
      <c r="B10159"/>
    </row>
    <row r="10160" spans="1:2" x14ac:dyDescent="0.25">
      <c r="A10160"/>
      <c r="B10160"/>
    </row>
    <row r="10161" spans="1:2" x14ac:dyDescent="0.25">
      <c r="A10161"/>
      <c r="B10161"/>
    </row>
    <row r="10162" spans="1:2" x14ac:dyDescent="0.25">
      <c r="A10162"/>
      <c r="B10162"/>
    </row>
    <row r="10163" spans="1:2" x14ac:dyDescent="0.25">
      <c r="A10163"/>
      <c r="B10163"/>
    </row>
    <row r="10164" spans="1:2" x14ac:dyDescent="0.25">
      <c r="A10164"/>
      <c r="B10164"/>
    </row>
    <row r="10165" spans="1:2" x14ac:dyDescent="0.25">
      <c r="A10165"/>
      <c r="B10165"/>
    </row>
    <row r="10166" spans="1:2" x14ac:dyDescent="0.25">
      <c r="A10166"/>
      <c r="B10166"/>
    </row>
    <row r="10167" spans="1:2" x14ac:dyDescent="0.25">
      <c r="A10167"/>
      <c r="B10167"/>
    </row>
    <row r="10168" spans="1:2" x14ac:dyDescent="0.25">
      <c r="A10168"/>
      <c r="B10168"/>
    </row>
    <row r="10169" spans="1:2" x14ac:dyDescent="0.25">
      <c r="A10169"/>
      <c r="B10169"/>
    </row>
    <row r="10170" spans="1:2" x14ac:dyDescent="0.25">
      <c r="A10170"/>
      <c r="B10170"/>
    </row>
    <row r="10171" spans="1:2" x14ac:dyDescent="0.25">
      <c r="A10171"/>
      <c r="B10171"/>
    </row>
    <row r="10172" spans="1:2" x14ac:dyDescent="0.25">
      <c r="A10172"/>
      <c r="B10172"/>
    </row>
    <row r="10173" spans="1:2" x14ac:dyDescent="0.25">
      <c r="A10173"/>
      <c r="B10173"/>
    </row>
    <row r="10174" spans="1:2" x14ac:dyDescent="0.25">
      <c r="A10174"/>
      <c r="B10174"/>
    </row>
    <row r="10175" spans="1:2" x14ac:dyDescent="0.25">
      <c r="A10175"/>
      <c r="B10175"/>
    </row>
    <row r="10176" spans="1:2" x14ac:dyDescent="0.25">
      <c r="A10176"/>
      <c r="B10176"/>
    </row>
    <row r="10177" spans="1:2" x14ac:dyDescent="0.25">
      <c r="A10177"/>
      <c r="B10177"/>
    </row>
    <row r="10178" spans="1:2" x14ac:dyDescent="0.25">
      <c r="A10178"/>
      <c r="B10178"/>
    </row>
    <row r="10179" spans="1:2" x14ac:dyDescent="0.25">
      <c r="A10179"/>
      <c r="B10179"/>
    </row>
    <row r="10180" spans="1:2" x14ac:dyDescent="0.25">
      <c r="A10180"/>
      <c r="B10180"/>
    </row>
    <row r="10181" spans="1:2" x14ac:dyDescent="0.25">
      <c r="A10181"/>
      <c r="B10181"/>
    </row>
    <row r="10182" spans="1:2" x14ac:dyDescent="0.25">
      <c r="A10182"/>
      <c r="B10182"/>
    </row>
    <row r="10183" spans="1:2" x14ac:dyDescent="0.25">
      <c r="A10183"/>
      <c r="B10183"/>
    </row>
    <row r="10184" spans="1:2" x14ac:dyDescent="0.25">
      <c r="A10184"/>
      <c r="B10184"/>
    </row>
    <row r="10185" spans="1:2" x14ac:dyDescent="0.25">
      <c r="A10185"/>
      <c r="B10185"/>
    </row>
    <row r="10186" spans="1:2" x14ac:dyDescent="0.25">
      <c r="A10186"/>
      <c r="B10186"/>
    </row>
    <row r="10187" spans="1:2" x14ac:dyDescent="0.25">
      <c r="A10187"/>
      <c r="B10187"/>
    </row>
    <row r="10188" spans="1:2" x14ac:dyDescent="0.25">
      <c r="A10188"/>
      <c r="B10188"/>
    </row>
    <row r="10189" spans="1:2" x14ac:dyDescent="0.25">
      <c r="A10189"/>
      <c r="B10189"/>
    </row>
    <row r="10190" spans="1:2" x14ac:dyDescent="0.25">
      <c r="A10190"/>
      <c r="B10190"/>
    </row>
    <row r="10191" spans="1:2" x14ac:dyDescent="0.25">
      <c r="A10191"/>
      <c r="B10191"/>
    </row>
    <row r="10192" spans="1:2" x14ac:dyDescent="0.25">
      <c r="A10192"/>
      <c r="B10192"/>
    </row>
    <row r="10193" spans="1:2" x14ac:dyDescent="0.25">
      <c r="A10193"/>
      <c r="B10193"/>
    </row>
    <row r="10194" spans="1:2" x14ac:dyDescent="0.25">
      <c r="A10194"/>
      <c r="B10194"/>
    </row>
    <row r="10195" spans="1:2" x14ac:dyDescent="0.25">
      <c r="A10195"/>
      <c r="B10195"/>
    </row>
    <row r="10196" spans="1:2" x14ac:dyDescent="0.25">
      <c r="A10196"/>
      <c r="B10196"/>
    </row>
    <row r="10197" spans="1:2" x14ac:dyDescent="0.25">
      <c r="A10197"/>
      <c r="B10197"/>
    </row>
    <row r="10198" spans="1:2" x14ac:dyDescent="0.25">
      <c r="A10198"/>
      <c r="B10198"/>
    </row>
    <row r="10199" spans="1:2" x14ac:dyDescent="0.25">
      <c r="A10199"/>
      <c r="B10199"/>
    </row>
    <row r="10200" spans="1:2" x14ac:dyDescent="0.25">
      <c r="A10200"/>
      <c r="B10200"/>
    </row>
    <row r="10201" spans="1:2" x14ac:dyDescent="0.25">
      <c r="A10201"/>
      <c r="B10201"/>
    </row>
    <row r="10202" spans="1:2" x14ac:dyDescent="0.25">
      <c r="A10202"/>
      <c r="B10202"/>
    </row>
    <row r="10203" spans="1:2" x14ac:dyDescent="0.25">
      <c r="A10203"/>
      <c r="B10203"/>
    </row>
    <row r="10204" spans="1:2" x14ac:dyDescent="0.25">
      <c r="A10204"/>
      <c r="B10204"/>
    </row>
    <row r="10205" spans="1:2" x14ac:dyDescent="0.25">
      <c r="A10205"/>
      <c r="B10205"/>
    </row>
    <row r="10206" spans="1:2" x14ac:dyDescent="0.25">
      <c r="A10206"/>
      <c r="B10206"/>
    </row>
    <row r="10207" spans="1:2" x14ac:dyDescent="0.25">
      <c r="A10207"/>
      <c r="B10207"/>
    </row>
    <row r="10208" spans="1:2" x14ac:dyDescent="0.25">
      <c r="A10208"/>
      <c r="B10208"/>
    </row>
    <row r="10209" spans="1:2" x14ac:dyDescent="0.25">
      <c r="A10209"/>
      <c r="B10209"/>
    </row>
    <row r="10210" spans="1:2" x14ac:dyDescent="0.25">
      <c r="A10210"/>
      <c r="B10210"/>
    </row>
    <row r="10211" spans="1:2" x14ac:dyDescent="0.25">
      <c r="A10211"/>
      <c r="B10211"/>
    </row>
    <row r="10212" spans="1:2" x14ac:dyDescent="0.25">
      <c r="A10212"/>
      <c r="B10212"/>
    </row>
    <row r="10213" spans="1:2" x14ac:dyDescent="0.25">
      <c r="A10213"/>
      <c r="B10213"/>
    </row>
    <row r="10214" spans="1:2" x14ac:dyDescent="0.25">
      <c r="A10214"/>
      <c r="B10214"/>
    </row>
    <row r="10215" spans="1:2" x14ac:dyDescent="0.25">
      <c r="A10215"/>
      <c r="B10215"/>
    </row>
    <row r="10216" spans="1:2" x14ac:dyDescent="0.25">
      <c r="A10216"/>
      <c r="B10216"/>
    </row>
    <row r="10217" spans="1:2" x14ac:dyDescent="0.25">
      <c r="A10217"/>
      <c r="B10217"/>
    </row>
    <row r="10218" spans="1:2" x14ac:dyDescent="0.25">
      <c r="A10218"/>
      <c r="B10218"/>
    </row>
    <row r="10219" spans="1:2" x14ac:dyDescent="0.25">
      <c r="A10219"/>
      <c r="B10219"/>
    </row>
    <row r="10220" spans="1:2" x14ac:dyDescent="0.25">
      <c r="A10220"/>
      <c r="B10220"/>
    </row>
    <row r="10221" spans="1:2" x14ac:dyDescent="0.25">
      <c r="A10221"/>
      <c r="B10221"/>
    </row>
    <row r="10222" spans="1:2" x14ac:dyDescent="0.25">
      <c r="A10222"/>
      <c r="B10222"/>
    </row>
    <row r="10223" spans="1:2" x14ac:dyDescent="0.25">
      <c r="A10223"/>
      <c r="B10223"/>
    </row>
    <row r="10224" spans="1:2" x14ac:dyDescent="0.25">
      <c r="A10224"/>
      <c r="B10224"/>
    </row>
    <row r="10225" spans="1:2" x14ac:dyDescent="0.25">
      <c r="A10225"/>
      <c r="B10225"/>
    </row>
    <row r="10226" spans="1:2" x14ac:dyDescent="0.25">
      <c r="A10226"/>
      <c r="B10226"/>
    </row>
    <row r="10227" spans="1:2" x14ac:dyDescent="0.25">
      <c r="A10227"/>
      <c r="B10227"/>
    </row>
    <row r="10228" spans="1:2" x14ac:dyDescent="0.25">
      <c r="A10228"/>
      <c r="B10228"/>
    </row>
    <row r="10229" spans="1:2" x14ac:dyDescent="0.25">
      <c r="A10229"/>
      <c r="B10229"/>
    </row>
    <row r="10230" spans="1:2" x14ac:dyDescent="0.25">
      <c r="A10230"/>
      <c r="B10230"/>
    </row>
    <row r="10231" spans="1:2" x14ac:dyDescent="0.25">
      <c r="A10231"/>
      <c r="B10231"/>
    </row>
    <row r="10232" spans="1:2" x14ac:dyDescent="0.25">
      <c r="A10232"/>
      <c r="B10232"/>
    </row>
    <row r="10233" spans="1:2" x14ac:dyDescent="0.25">
      <c r="A10233"/>
      <c r="B10233"/>
    </row>
    <row r="10234" spans="1:2" x14ac:dyDescent="0.25">
      <c r="A10234"/>
      <c r="B10234"/>
    </row>
    <row r="10235" spans="1:2" x14ac:dyDescent="0.25">
      <c r="A10235"/>
      <c r="B10235"/>
    </row>
    <row r="10236" spans="1:2" x14ac:dyDescent="0.25">
      <c r="A10236"/>
      <c r="B10236"/>
    </row>
    <row r="10237" spans="1:2" x14ac:dyDescent="0.25">
      <c r="A10237"/>
      <c r="B10237"/>
    </row>
    <row r="10238" spans="1:2" x14ac:dyDescent="0.25">
      <c r="A10238"/>
      <c r="B10238"/>
    </row>
    <row r="10239" spans="1:2" x14ac:dyDescent="0.25">
      <c r="A10239"/>
      <c r="B10239"/>
    </row>
    <row r="10240" spans="1:2" x14ac:dyDescent="0.25">
      <c r="A10240"/>
      <c r="B10240"/>
    </row>
    <row r="10241" spans="1:2" x14ac:dyDescent="0.25">
      <c r="A10241"/>
      <c r="B10241"/>
    </row>
    <row r="10242" spans="1:2" x14ac:dyDescent="0.25">
      <c r="A10242"/>
      <c r="B10242"/>
    </row>
    <row r="10243" spans="1:2" x14ac:dyDescent="0.25">
      <c r="A10243"/>
      <c r="B10243"/>
    </row>
    <row r="10244" spans="1:2" x14ac:dyDescent="0.25">
      <c r="A10244"/>
      <c r="B10244"/>
    </row>
    <row r="10245" spans="1:2" x14ac:dyDescent="0.25">
      <c r="A10245"/>
      <c r="B10245"/>
    </row>
    <row r="10246" spans="1:2" x14ac:dyDescent="0.25">
      <c r="A10246"/>
      <c r="B10246"/>
    </row>
    <row r="10247" spans="1:2" x14ac:dyDescent="0.25">
      <c r="A10247"/>
      <c r="B10247"/>
    </row>
    <row r="10248" spans="1:2" x14ac:dyDescent="0.25">
      <c r="A10248"/>
      <c r="B10248"/>
    </row>
    <row r="10249" spans="1:2" x14ac:dyDescent="0.25">
      <c r="A10249"/>
      <c r="B10249"/>
    </row>
    <row r="10250" spans="1:2" x14ac:dyDescent="0.25">
      <c r="A10250"/>
      <c r="B10250"/>
    </row>
    <row r="10251" spans="1:2" x14ac:dyDescent="0.25">
      <c r="A10251"/>
      <c r="B10251"/>
    </row>
    <row r="10252" spans="1:2" x14ac:dyDescent="0.25">
      <c r="A10252"/>
      <c r="B10252"/>
    </row>
    <row r="10253" spans="1:2" x14ac:dyDescent="0.25">
      <c r="A10253"/>
      <c r="B10253"/>
    </row>
    <row r="10254" spans="1:2" x14ac:dyDescent="0.25">
      <c r="A10254"/>
      <c r="B10254"/>
    </row>
    <row r="10255" spans="1:2" x14ac:dyDescent="0.25">
      <c r="A10255"/>
      <c r="B10255"/>
    </row>
    <row r="10256" spans="1:2" x14ac:dyDescent="0.25">
      <c r="A10256"/>
      <c r="B10256"/>
    </row>
    <row r="10257" spans="1:2" x14ac:dyDescent="0.25">
      <c r="A10257"/>
      <c r="B10257"/>
    </row>
    <row r="10258" spans="1:2" x14ac:dyDescent="0.25">
      <c r="A10258"/>
      <c r="B10258"/>
    </row>
    <row r="10259" spans="1:2" x14ac:dyDescent="0.25">
      <c r="A10259"/>
      <c r="B10259"/>
    </row>
    <row r="10260" spans="1:2" x14ac:dyDescent="0.25">
      <c r="A10260"/>
      <c r="B10260"/>
    </row>
    <row r="10261" spans="1:2" x14ac:dyDescent="0.25">
      <c r="A10261"/>
      <c r="B10261"/>
    </row>
    <row r="10262" spans="1:2" x14ac:dyDescent="0.25">
      <c r="A10262"/>
      <c r="B10262"/>
    </row>
    <row r="10263" spans="1:2" x14ac:dyDescent="0.25">
      <c r="A10263"/>
      <c r="B10263"/>
    </row>
    <row r="10264" spans="1:2" x14ac:dyDescent="0.25">
      <c r="A10264"/>
      <c r="B10264"/>
    </row>
    <row r="10265" spans="1:2" x14ac:dyDescent="0.25">
      <c r="A10265"/>
      <c r="B10265"/>
    </row>
    <row r="10266" spans="1:2" x14ac:dyDescent="0.25">
      <c r="A10266"/>
      <c r="B10266"/>
    </row>
    <row r="10267" spans="1:2" x14ac:dyDescent="0.25">
      <c r="A10267"/>
      <c r="B10267"/>
    </row>
    <row r="10268" spans="1:2" x14ac:dyDescent="0.25">
      <c r="A10268"/>
      <c r="B10268"/>
    </row>
    <row r="10269" spans="1:2" x14ac:dyDescent="0.25">
      <c r="A10269"/>
      <c r="B10269"/>
    </row>
    <row r="10270" spans="1:2" x14ac:dyDescent="0.25">
      <c r="A10270"/>
      <c r="B10270"/>
    </row>
    <row r="10271" spans="1:2" x14ac:dyDescent="0.25">
      <c r="A10271"/>
      <c r="B10271"/>
    </row>
    <row r="10272" spans="1:2" x14ac:dyDescent="0.25">
      <c r="A10272"/>
      <c r="B10272"/>
    </row>
    <row r="10273" spans="1:2" x14ac:dyDescent="0.25">
      <c r="A10273"/>
      <c r="B10273"/>
    </row>
    <row r="10274" spans="1:2" x14ac:dyDescent="0.25">
      <c r="A10274"/>
      <c r="B10274"/>
    </row>
    <row r="10275" spans="1:2" x14ac:dyDescent="0.25">
      <c r="A10275"/>
      <c r="B10275"/>
    </row>
    <row r="10276" spans="1:2" x14ac:dyDescent="0.25">
      <c r="A10276"/>
      <c r="B10276"/>
    </row>
    <row r="10277" spans="1:2" x14ac:dyDescent="0.25">
      <c r="A10277"/>
      <c r="B10277"/>
    </row>
    <row r="10278" spans="1:2" x14ac:dyDescent="0.25">
      <c r="A10278"/>
      <c r="B10278"/>
    </row>
    <row r="10279" spans="1:2" x14ac:dyDescent="0.25">
      <c r="A10279"/>
      <c r="B10279"/>
    </row>
    <row r="10280" spans="1:2" x14ac:dyDescent="0.25">
      <c r="A10280"/>
      <c r="B10280"/>
    </row>
    <row r="10281" spans="1:2" x14ac:dyDescent="0.25">
      <c r="A10281"/>
      <c r="B10281"/>
    </row>
    <row r="10282" spans="1:2" x14ac:dyDescent="0.25">
      <c r="A10282"/>
      <c r="B10282"/>
    </row>
    <row r="10283" spans="1:2" x14ac:dyDescent="0.25">
      <c r="A10283"/>
      <c r="B10283"/>
    </row>
    <row r="10284" spans="1:2" x14ac:dyDescent="0.25">
      <c r="A10284"/>
      <c r="B10284"/>
    </row>
    <row r="10285" spans="1:2" x14ac:dyDescent="0.25">
      <c r="A10285"/>
      <c r="B10285"/>
    </row>
    <row r="10286" spans="1:2" x14ac:dyDescent="0.25">
      <c r="A10286"/>
      <c r="B10286"/>
    </row>
    <row r="10287" spans="1:2" x14ac:dyDescent="0.25">
      <c r="A10287"/>
      <c r="B10287"/>
    </row>
    <row r="10288" spans="1:2" x14ac:dyDescent="0.25">
      <c r="A10288"/>
      <c r="B10288"/>
    </row>
    <row r="10289" spans="1:2" x14ac:dyDescent="0.25">
      <c r="A10289"/>
      <c r="B10289"/>
    </row>
    <row r="10290" spans="1:2" x14ac:dyDescent="0.25">
      <c r="A10290"/>
      <c r="B10290"/>
    </row>
    <row r="10291" spans="1:2" x14ac:dyDescent="0.25">
      <c r="A10291"/>
      <c r="B10291"/>
    </row>
    <row r="10292" spans="1:2" x14ac:dyDescent="0.25">
      <c r="A10292"/>
      <c r="B10292"/>
    </row>
    <row r="10293" spans="1:2" x14ac:dyDescent="0.25">
      <c r="A10293"/>
      <c r="B10293"/>
    </row>
    <row r="10294" spans="1:2" x14ac:dyDescent="0.25">
      <c r="A10294"/>
      <c r="B10294"/>
    </row>
    <row r="10295" spans="1:2" x14ac:dyDescent="0.25">
      <c r="A10295"/>
      <c r="B10295"/>
    </row>
    <row r="10296" spans="1:2" x14ac:dyDescent="0.25">
      <c r="A10296"/>
      <c r="B10296"/>
    </row>
    <row r="10297" spans="1:2" x14ac:dyDescent="0.25">
      <c r="A10297"/>
      <c r="B10297"/>
    </row>
    <row r="10298" spans="1:2" x14ac:dyDescent="0.25">
      <c r="A10298"/>
      <c r="B10298"/>
    </row>
    <row r="10299" spans="1:2" x14ac:dyDescent="0.25">
      <c r="A10299"/>
      <c r="B10299"/>
    </row>
    <row r="10300" spans="1:2" x14ac:dyDescent="0.25">
      <c r="A10300"/>
      <c r="B10300"/>
    </row>
    <row r="10301" spans="1:2" x14ac:dyDescent="0.25">
      <c r="A10301"/>
      <c r="B10301"/>
    </row>
    <row r="10302" spans="1:2" x14ac:dyDescent="0.25">
      <c r="A10302"/>
      <c r="B10302"/>
    </row>
    <row r="10303" spans="1:2" x14ac:dyDescent="0.25">
      <c r="A10303"/>
      <c r="B10303"/>
    </row>
    <row r="10304" spans="1:2" x14ac:dyDescent="0.25">
      <c r="A10304"/>
      <c r="B10304"/>
    </row>
    <row r="10305" spans="1:2" x14ac:dyDescent="0.25">
      <c r="A10305"/>
      <c r="B10305"/>
    </row>
    <row r="10306" spans="1:2" x14ac:dyDescent="0.25">
      <c r="A10306"/>
      <c r="B10306"/>
    </row>
    <row r="10307" spans="1:2" x14ac:dyDescent="0.25">
      <c r="A10307"/>
      <c r="B10307"/>
    </row>
    <row r="10308" spans="1:2" x14ac:dyDescent="0.25">
      <c r="A10308"/>
      <c r="B10308"/>
    </row>
    <row r="10309" spans="1:2" x14ac:dyDescent="0.25">
      <c r="A10309"/>
      <c r="B10309"/>
    </row>
    <row r="10310" spans="1:2" x14ac:dyDescent="0.25">
      <c r="A10310"/>
      <c r="B10310"/>
    </row>
    <row r="10311" spans="1:2" x14ac:dyDescent="0.25">
      <c r="A10311"/>
      <c r="B10311"/>
    </row>
    <row r="10312" spans="1:2" x14ac:dyDescent="0.25">
      <c r="A10312"/>
      <c r="B10312"/>
    </row>
    <row r="10313" spans="1:2" x14ac:dyDescent="0.25">
      <c r="A10313"/>
      <c r="B10313"/>
    </row>
    <row r="10314" spans="1:2" x14ac:dyDescent="0.25">
      <c r="A10314"/>
      <c r="B10314"/>
    </row>
    <row r="10315" spans="1:2" x14ac:dyDescent="0.25">
      <c r="A10315"/>
      <c r="B10315"/>
    </row>
    <row r="10316" spans="1:2" x14ac:dyDescent="0.25">
      <c r="A10316"/>
      <c r="B10316"/>
    </row>
    <row r="10317" spans="1:2" x14ac:dyDescent="0.25">
      <c r="A10317"/>
      <c r="B10317"/>
    </row>
    <row r="10318" spans="1:2" x14ac:dyDescent="0.25">
      <c r="A10318"/>
      <c r="B10318"/>
    </row>
    <row r="10319" spans="1:2" x14ac:dyDescent="0.25">
      <c r="A10319"/>
      <c r="B10319"/>
    </row>
    <row r="10320" spans="1:2" x14ac:dyDescent="0.25">
      <c r="A10320"/>
      <c r="B10320"/>
    </row>
    <row r="10321" spans="1:2" x14ac:dyDescent="0.25">
      <c r="A10321"/>
      <c r="B10321"/>
    </row>
    <row r="10322" spans="1:2" x14ac:dyDescent="0.25">
      <c r="A10322"/>
      <c r="B10322"/>
    </row>
    <row r="10323" spans="1:2" x14ac:dyDescent="0.25">
      <c r="A10323"/>
      <c r="B10323"/>
    </row>
    <row r="10324" spans="1:2" x14ac:dyDescent="0.25">
      <c r="A10324"/>
      <c r="B10324"/>
    </row>
    <row r="10325" spans="1:2" x14ac:dyDescent="0.25">
      <c r="A10325"/>
      <c r="B10325"/>
    </row>
    <row r="10326" spans="1:2" x14ac:dyDescent="0.25">
      <c r="A10326"/>
      <c r="B10326"/>
    </row>
    <row r="10327" spans="1:2" x14ac:dyDescent="0.25">
      <c r="A10327"/>
      <c r="B10327"/>
    </row>
    <row r="10328" spans="1:2" x14ac:dyDescent="0.25">
      <c r="A10328"/>
      <c r="B10328"/>
    </row>
    <row r="10329" spans="1:2" x14ac:dyDescent="0.25">
      <c r="A10329"/>
      <c r="B10329"/>
    </row>
    <row r="10330" spans="1:2" x14ac:dyDescent="0.25">
      <c r="A10330"/>
      <c r="B10330"/>
    </row>
    <row r="10331" spans="1:2" x14ac:dyDescent="0.25">
      <c r="A10331"/>
      <c r="B10331"/>
    </row>
    <row r="10332" spans="1:2" x14ac:dyDescent="0.25">
      <c r="A10332"/>
      <c r="B10332"/>
    </row>
    <row r="10333" spans="1:2" x14ac:dyDescent="0.25">
      <c r="A10333"/>
      <c r="B10333"/>
    </row>
    <row r="10334" spans="1:2" x14ac:dyDescent="0.25">
      <c r="A10334"/>
      <c r="B10334"/>
    </row>
    <row r="10335" spans="1:2" x14ac:dyDescent="0.25">
      <c r="A10335"/>
      <c r="B10335"/>
    </row>
    <row r="10336" spans="1:2" x14ac:dyDescent="0.25">
      <c r="A10336"/>
      <c r="B10336"/>
    </row>
    <row r="10337" spans="1:2" x14ac:dyDescent="0.25">
      <c r="A10337"/>
      <c r="B10337"/>
    </row>
    <row r="10338" spans="1:2" x14ac:dyDescent="0.25">
      <c r="A10338"/>
      <c r="B10338"/>
    </row>
    <row r="10339" spans="1:2" x14ac:dyDescent="0.25">
      <c r="A10339"/>
      <c r="B10339"/>
    </row>
    <row r="10340" spans="1:2" x14ac:dyDescent="0.25">
      <c r="A10340"/>
      <c r="B10340"/>
    </row>
    <row r="10341" spans="1:2" x14ac:dyDescent="0.25">
      <c r="A10341"/>
      <c r="B10341"/>
    </row>
    <row r="10342" spans="1:2" x14ac:dyDescent="0.25">
      <c r="A10342"/>
      <c r="B10342"/>
    </row>
    <row r="10343" spans="1:2" x14ac:dyDescent="0.25">
      <c r="A10343"/>
      <c r="B10343"/>
    </row>
    <row r="10344" spans="1:2" x14ac:dyDescent="0.25">
      <c r="A10344"/>
      <c r="B10344"/>
    </row>
    <row r="10345" spans="1:2" x14ac:dyDescent="0.25">
      <c r="A10345"/>
      <c r="B10345"/>
    </row>
    <row r="10346" spans="1:2" x14ac:dyDescent="0.25">
      <c r="A10346"/>
      <c r="B10346"/>
    </row>
    <row r="10347" spans="1:2" x14ac:dyDescent="0.25">
      <c r="A10347"/>
      <c r="B10347"/>
    </row>
    <row r="10348" spans="1:2" x14ac:dyDescent="0.25">
      <c r="A10348"/>
      <c r="B10348"/>
    </row>
    <row r="10349" spans="1:2" x14ac:dyDescent="0.25">
      <c r="A10349"/>
      <c r="B10349"/>
    </row>
    <row r="10350" spans="1:2" x14ac:dyDescent="0.25">
      <c r="A10350"/>
      <c r="B10350"/>
    </row>
    <row r="10351" spans="1:2" x14ac:dyDescent="0.25">
      <c r="A10351"/>
      <c r="B10351"/>
    </row>
    <row r="10352" spans="1:2" x14ac:dyDescent="0.25">
      <c r="A10352"/>
      <c r="B10352"/>
    </row>
    <row r="10353" spans="1:2" x14ac:dyDescent="0.25">
      <c r="A10353"/>
      <c r="B10353"/>
    </row>
    <row r="10354" spans="1:2" x14ac:dyDescent="0.25">
      <c r="A10354"/>
      <c r="B10354"/>
    </row>
    <row r="10355" spans="1:2" x14ac:dyDescent="0.25">
      <c r="A10355"/>
      <c r="B10355"/>
    </row>
    <row r="10356" spans="1:2" x14ac:dyDescent="0.25">
      <c r="A10356"/>
      <c r="B10356"/>
    </row>
    <row r="10357" spans="1:2" x14ac:dyDescent="0.25">
      <c r="A10357"/>
      <c r="B10357"/>
    </row>
    <row r="10358" spans="1:2" x14ac:dyDescent="0.25">
      <c r="A10358"/>
      <c r="B10358"/>
    </row>
    <row r="10359" spans="1:2" x14ac:dyDescent="0.25">
      <c r="A10359"/>
      <c r="B10359"/>
    </row>
    <row r="10360" spans="1:2" x14ac:dyDescent="0.25">
      <c r="A10360"/>
      <c r="B10360"/>
    </row>
    <row r="10361" spans="1:2" x14ac:dyDescent="0.25">
      <c r="A10361"/>
      <c r="B10361"/>
    </row>
    <row r="10362" spans="1:2" x14ac:dyDescent="0.25">
      <c r="A10362"/>
      <c r="B10362"/>
    </row>
    <row r="10363" spans="1:2" x14ac:dyDescent="0.25">
      <c r="A10363"/>
      <c r="B10363"/>
    </row>
    <row r="10364" spans="1:2" x14ac:dyDescent="0.25">
      <c r="A10364"/>
      <c r="B10364"/>
    </row>
    <row r="10365" spans="1:2" x14ac:dyDescent="0.25">
      <c r="A10365"/>
      <c r="B10365"/>
    </row>
    <row r="10366" spans="1:2" x14ac:dyDescent="0.25">
      <c r="A10366"/>
      <c r="B10366"/>
    </row>
    <row r="10367" spans="1:2" x14ac:dyDescent="0.25">
      <c r="A10367"/>
      <c r="B10367"/>
    </row>
    <row r="10368" spans="1:2" x14ac:dyDescent="0.25">
      <c r="A10368"/>
      <c r="B10368"/>
    </row>
    <row r="10369" spans="1:2" x14ac:dyDescent="0.25">
      <c r="A10369"/>
      <c r="B10369"/>
    </row>
    <row r="10370" spans="1:2" x14ac:dyDescent="0.25">
      <c r="A10370"/>
      <c r="B10370"/>
    </row>
    <row r="10371" spans="1:2" x14ac:dyDescent="0.25">
      <c r="A10371"/>
      <c r="B10371"/>
    </row>
    <row r="10372" spans="1:2" x14ac:dyDescent="0.25">
      <c r="A10372"/>
      <c r="B10372"/>
    </row>
    <row r="10373" spans="1:2" x14ac:dyDescent="0.25">
      <c r="A10373"/>
      <c r="B10373"/>
    </row>
    <row r="10374" spans="1:2" x14ac:dyDescent="0.25">
      <c r="A10374"/>
      <c r="B10374"/>
    </row>
    <row r="10375" spans="1:2" x14ac:dyDescent="0.25">
      <c r="A10375"/>
      <c r="B10375"/>
    </row>
    <row r="10376" spans="1:2" x14ac:dyDescent="0.25">
      <c r="A10376"/>
      <c r="B10376"/>
    </row>
    <row r="10377" spans="1:2" x14ac:dyDescent="0.25">
      <c r="A10377"/>
      <c r="B10377"/>
    </row>
    <row r="10378" spans="1:2" x14ac:dyDescent="0.25">
      <c r="A10378"/>
      <c r="B10378"/>
    </row>
    <row r="10379" spans="1:2" x14ac:dyDescent="0.25">
      <c r="A10379"/>
      <c r="B10379"/>
    </row>
    <row r="10380" spans="1:2" x14ac:dyDescent="0.25">
      <c r="A10380"/>
      <c r="B10380"/>
    </row>
    <row r="10381" spans="1:2" x14ac:dyDescent="0.25">
      <c r="A10381"/>
      <c r="B10381"/>
    </row>
    <row r="10382" spans="1:2" x14ac:dyDescent="0.25">
      <c r="A10382"/>
      <c r="B10382"/>
    </row>
    <row r="10383" spans="1:2" x14ac:dyDescent="0.25">
      <c r="A10383"/>
      <c r="B10383"/>
    </row>
    <row r="10384" spans="1:2" x14ac:dyDescent="0.25">
      <c r="A10384"/>
      <c r="B10384"/>
    </row>
    <row r="10385" spans="1:2" x14ac:dyDescent="0.25">
      <c r="A10385"/>
      <c r="B10385"/>
    </row>
    <row r="10386" spans="1:2" x14ac:dyDescent="0.25">
      <c r="A10386"/>
      <c r="B10386"/>
    </row>
    <row r="10387" spans="1:2" x14ac:dyDescent="0.25">
      <c r="A10387"/>
      <c r="B10387"/>
    </row>
    <row r="10388" spans="1:2" x14ac:dyDescent="0.25">
      <c r="A10388"/>
      <c r="B10388"/>
    </row>
    <row r="10389" spans="1:2" x14ac:dyDescent="0.25">
      <c r="A10389"/>
      <c r="B10389"/>
    </row>
    <row r="10390" spans="1:2" x14ac:dyDescent="0.25">
      <c r="A10390"/>
      <c r="B10390"/>
    </row>
    <row r="10391" spans="1:2" x14ac:dyDescent="0.25">
      <c r="A10391"/>
      <c r="B10391"/>
    </row>
    <row r="10392" spans="1:2" x14ac:dyDescent="0.25">
      <c r="A10392"/>
      <c r="B10392"/>
    </row>
    <row r="10393" spans="1:2" x14ac:dyDescent="0.25">
      <c r="A10393"/>
      <c r="B10393"/>
    </row>
    <row r="10394" spans="1:2" x14ac:dyDescent="0.25">
      <c r="A10394"/>
      <c r="B10394"/>
    </row>
    <row r="10395" spans="1:2" x14ac:dyDescent="0.25">
      <c r="A10395"/>
      <c r="B10395"/>
    </row>
    <row r="10396" spans="1:2" x14ac:dyDescent="0.25">
      <c r="A10396"/>
      <c r="B10396"/>
    </row>
    <row r="10397" spans="1:2" x14ac:dyDescent="0.25">
      <c r="A10397"/>
      <c r="B10397"/>
    </row>
    <row r="10398" spans="1:2" x14ac:dyDescent="0.25">
      <c r="A10398"/>
      <c r="B10398"/>
    </row>
    <row r="10399" spans="1:2" x14ac:dyDescent="0.25">
      <c r="A10399"/>
      <c r="B10399"/>
    </row>
    <row r="10400" spans="1:2" x14ac:dyDescent="0.25">
      <c r="A10400"/>
      <c r="B10400"/>
    </row>
    <row r="10401" spans="1:2" x14ac:dyDescent="0.25">
      <c r="A10401"/>
      <c r="B10401"/>
    </row>
    <row r="10402" spans="1:2" x14ac:dyDescent="0.25">
      <c r="A10402"/>
      <c r="B10402"/>
    </row>
    <row r="10403" spans="1:2" x14ac:dyDescent="0.25">
      <c r="A10403"/>
      <c r="B10403"/>
    </row>
    <row r="10404" spans="1:2" x14ac:dyDescent="0.25">
      <c r="A10404"/>
      <c r="B10404"/>
    </row>
    <row r="10405" spans="1:2" x14ac:dyDescent="0.25">
      <c r="A10405"/>
      <c r="B10405"/>
    </row>
    <row r="10406" spans="1:2" x14ac:dyDescent="0.25">
      <c r="A10406"/>
      <c r="B10406"/>
    </row>
    <row r="10407" spans="1:2" x14ac:dyDescent="0.25">
      <c r="A10407"/>
      <c r="B10407"/>
    </row>
    <row r="10408" spans="1:2" x14ac:dyDescent="0.25">
      <c r="A10408"/>
      <c r="B10408"/>
    </row>
    <row r="10409" spans="1:2" x14ac:dyDescent="0.25">
      <c r="A10409"/>
      <c r="B10409"/>
    </row>
    <row r="10410" spans="1:2" x14ac:dyDescent="0.25">
      <c r="A10410"/>
      <c r="B10410"/>
    </row>
    <row r="10411" spans="1:2" x14ac:dyDescent="0.25">
      <c r="A10411"/>
      <c r="B10411"/>
    </row>
    <row r="10412" spans="1:2" x14ac:dyDescent="0.25">
      <c r="A10412"/>
      <c r="B10412"/>
    </row>
    <row r="10413" spans="1:2" x14ac:dyDescent="0.25">
      <c r="A10413"/>
      <c r="B10413"/>
    </row>
    <row r="10414" spans="1:2" x14ac:dyDescent="0.25">
      <c r="A10414"/>
      <c r="B10414"/>
    </row>
    <row r="10415" spans="1:2" x14ac:dyDescent="0.25">
      <c r="A10415"/>
      <c r="B10415"/>
    </row>
    <row r="10416" spans="1:2" x14ac:dyDescent="0.25">
      <c r="A10416"/>
      <c r="B10416"/>
    </row>
    <row r="10417" spans="1:2" x14ac:dyDescent="0.25">
      <c r="A10417"/>
      <c r="B10417"/>
    </row>
    <row r="10418" spans="1:2" x14ac:dyDescent="0.25">
      <c r="A10418"/>
      <c r="B10418"/>
    </row>
    <row r="10419" spans="1:2" x14ac:dyDescent="0.25">
      <c r="A10419"/>
      <c r="B10419"/>
    </row>
    <row r="10420" spans="1:2" x14ac:dyDescent="0.25">
      <c r="A10420"/>
      <c r="B10420"/>
    </row>
    <row r="10421" spans="1:2" x14ac:dyDescent="0.25">
      <c r="A10421"/>
      <c r="B10421"/>
    </row>
    <row r="10422" spans="1:2" x14ac:dyDescent="0.25">
      <c r="A10422"/>
      <c r="B10422"/>
    </row>
    <row r="10423" spans="1:2" x14ac:dyDescent="0.25">
      <c r="A10423"/>
      <c r="B10423"/>
    </row>
    <row r="10424" spans="1:2" x14ac:dyDescent="0.25">
      <c r="A10424"/>
      <c r="B10424"/>
    </row>
    <row r="10425" spans="1:2" x14ac:dyDescent="0.25">
      <c r="A10425"/>
      <c r="B10425"/>
    </row>
    <row r="10426" spans="1:2" x14ac:dyDescent="0.25">
      <c r="A10426"/>
      <c r="B10426"/>
    </row>
    <row r="10427" spans="1:2" x14ac:dyDescent="0.25">
      <c r="A10427"/>
      <c r="B10427"/>
    </row>
    <row r="10428" spans="1:2" x14ac:dyDescent="0.25">
      <c r="A10428"/>
      <c r="B10428"/>
    </row>
    <row r="10429" spans="1:2" x14ac:dyDescent="0.25">
      <c r="A10429"/>
      <c r="B10429"/>
    </row>
    <row r="10430" spans="1:2" x14ac:dyDescent="0.25">
      <c r="A10430"/>
      <c r="B10430"/>
    </row>
    <row r="10431" spans="1:2" x14ac:dyDescent="0.25">
      <c r="A10431"/>
      <c r="B10431"/>
    </row>
    <row r="10432" spans="1:2" x14ac:dyDescent="0.25">
      <c r="A10432"/>
      <c r="B10432"/>
    </row>
    <row r="10433" spans="1:2" x14ac:dyDescent="0.25">
      <c r="A10433"/>
      <c r="B10433"/>
    </row>
    <row r="10434" spans="1:2" x14ac:dyDescent="0.25">
      <c r="A10434"/>
      <c r="B10434"/>
    </row>
    <row r="10435" spans="1:2" x14ac:dyDescent="0.25">
      <c r="A10435"/>
      <c r="B10435"/>
    </row>
    <row r="10436" spans="1:2" x14ac:dyDescent="0.25">
      <c r="A10436"/>
      <c r="B10436"/>
    </row>
    <row r="10437" spans="1:2" x14ac:dyDescent="0.25">
      <c r="A10437"/>
      <c r="B10437"/>
    </row>
    <row r="10438" spans="1:2" x14ac:dyDescent="0.25">
      <c r="A10438"/>
      <c r="B10438"/>
    </row>
    <row r="10439" spans="1:2" x14ac:dyDescent="0.25">
      <c r="A10439"/>
      <c r="B10439"/>
    </row>
    <row r="10440" spans="1:2" x14ac:dyDescent="0.25">
      <c r="A10440"/>
      <c r="B10440"/>
    </row>
    <row r="10441" spans="1:2" x14ac:dyDescent="0.25">
      <c r="A10441"/>
      <c r="B10441"/>
    </row>
    <row r="10442" spans="1:2" x14ac:dyDescent="0.25">
      <c r="A10442"/>
      <c r="B10442"/>
    </row>
    <row r="10443" spans="1:2" x14ac:dyDescent="0.25">
      <c r="A10443"/>
      <c r="B10443"/>
    </row>
    <row r="10444" spans="1:2" x14ac:dyDescent="0.25">
      <c r="A10444"/>
      <c r="B10444"/>
    </row>
    <row r="10445" spans="1:2" x14ac:dyDescent="0.25">
      <c r="A10445"/>
      <c r="B10445"/>
    </row>
    <row r="10446" spans="1:2" x14ac:dyDescent="0.25">
      <c r="A10446"/>
      <c r="B10446"/>
    </row>
    <row r="10447" spans="1:2" x14ac:dyDescent="0.25">
      <c r="A10447"/>
      <c r="B10447"/>
    </row>
    <row r="10448" spans="1:2" x14ac:dyDescent="0.25">
      <c r="A10448"/>
      <c r="B10448"/>
    </row>
    <row r="10449" spans="1:2" x14ac:dyDescent="0.25">
      <c r="A10449"/>
      <c r="B10449"/>
    </row>
    <row r="10450" spans="1:2" x14ac:dyDescent="0.25">
      <c r="A10450"/>
      <c r="B10450"/>
    </row>
    <row r="10451" spans="1:2" x14ac:dyDescent="0.25">
      <c r="A10451"/>
      <c r="B10451"/>
    </row>
    <row r="10452" spans="1:2" x14ac:dyDescent="0.25">
      <c r="A10452"/>
      <c r="B10452"/>
    </row>
    <row r="10453" spans="1:2" x14ac:dyDescent="0.25">
      <c r="A10453"/>
      <c r="B10453"/>
    </row>
    <row r="10454" spans="1:2" x14ac:dyDescent="0.25">
      <c r="A10454"/>
      <c r="B10454"/>
    </row>
    <row r="10455" spans="1:2" x14ac:dyDescent="0.25">
      <c r="A10455"/>
      <c r="B10455"/>
    </row>
    <row r="10456" spans="1:2" x14ac:dyDescent="0.25">
      <c r="A10456"/>
      <c r="B10456"/>
    </row>
    <row r="10457" spans="1:2" x14ac:dyDescent="0.25">
      <c r="A10457"/>
      <c r="B10457"/>
    </row>
    <row r="10458" spans="1:2" x14ac:dyDescent="0.25">
      <c r="A10458"/>
      <c r="B10458"/>
    </row>
    <row r="10459" spans="1:2" x14ac:dyDescent="0.25">
      <c r="A10459"/>
      <c r="B10459"/>
    </row>
    <row r="10460" spans="1:2" x14ac:dyDescent="0.25">
      <c r="A10460"/>
      <c r="B10460"/>
    </row>
    <row r="10461" spans="1:2" x14ac:dyDescent="0.25">
      <c r="A10461"/>
      <c r="B10461"/>
    </row>
    <row r="10462" spans="1:2" x14ac:dyDescent="0.25">
      <c r="A10462"/>
      <c r="B10462"/>
    </row>
    <row r="10463" spans="1:2" x14ac:dyDescent="0.25">
      <c r="A10463"/>
      <c r="B10463"/>
    </row>
    <row r="10464" spans="1:2" x14ac:dyDescent="0.25">
      <c r="A10464"/>
      <c r="B10464"/>
    </row>
    <row r="10465" spans="1:2" x14ac:dyDescent="0.25">
      <c r="A10465"/>
      <c r="B10465"/>
    </row>
    <row r="10466" spans="1:2" x14ac:dyDescent="0.25">
      <c r="A10466"/>
      <c r="B10466"/>
    </row>
    <row r="10467" spans="1:2" x14ac:dyDescent="0.25">
      <c r="A10467"/>
      <c r="B10467"/>
    </row>
    <row r="10468" spans="1:2" x14ac:dyDescent="0.25">
      <c r="A10468"/>
      <c r="B10468"/>
    </row>
    <row r="10469" spans="1:2" x14ac:dyDescent="0.25">
      <c r="A10469"/>
      <c r="B10469"/>
    </row>
    <row r="10470" spans="1:2" x14ac:dyDescent="0.25">
      <c r="A10470"/>
      <c r="B10470"/>
    </row>
    <row r="10471" spans="1:2" x14ac:dyDescent="0.25">
      <c r="A10471"/>
      <c r="B10471"/>
    </row>
    <row r="10472" spans="1:2" x14ac:dyDescent="0.25">
      <c r="A10472"/>
      <c r="B10472"/>
    </row>
    <row r="10473" spans="1:2" x14ac:dyDescent="0.25">
      <c r="A10473"/>
      <c r="B10473"/>
    </row>
    <row r="10474" spans="1:2" x14ac:dyDescent="0.25">
      <c r="A10474"/>
      <c r="B10474"/>
    </row>
    <row r="10475" spans="1:2" x14ac:dyDescent="0.25">
      <c r="A10475"/>
      <c r="B10475"/>
    </row>
    <row r="10476" spans="1:2" x14ac:dyDescent="0.25">
      <c r="A10476"/>
      <c r="B10476"/>
    </row>
    <row r="10477" spans="1:2" x14ac:dyDescent="0.25">
      <c r="A10477"/>
      <c r="B10477"/>
    </row>
    <row r="10478" spans="1:2" x14ac:dyDescent="0.25">
      <c r="A10478"/>
      <c r="B10478"/>
    </row>
    <row r="10479" spans="1:2" x14ac:dyDescent="0.25">
      <c r="A10479"/>
      <c r="B10479"/>
    </row>
    <row r="10480" spans="1:2" x14ac:dyDescent="0.25">
      <c r="A10480"/>
      <c r="B10480"/>
    </row>
    <row r="10481" spans="1:2" x14ac:dyDescent="0.25">
      <c r="A10481"/>
      <c r="B10481"/>
    </row>
    <row r="10482" spans="1:2" x14ac:dyDescent="0.25">
      <c r="A10482"/>
      <c r="B10482"/>
    </row>
    <row r="10483" spans="1:2" x14ac:dyDescent="0.25">
      <c r="A10483"/>
      <c r="B10483"/>
    </row>
    <row r="10484" spans="1:2" x14ac:dyDescent="0.25">
      <c r="A10484"/>
      <c r="B10484"/>
    </row>
    <row r="10485" spans="1:2" x14ac:dyDescent="0.25">
      <c r="A10485"/>
      <c r="B10485"/>
    </row>
    <row r="10486" spans="1:2" x14ac:dyDescent="0.25">
      <c r="A10486"/>
      <c r="B10486"/>
    </row>
    <row r="10487" spans="1:2" x14ac:dyDescent="0.25">
      <c r="A10487"/>
      <c r="B10487"/>
    </row>
    <row r="10488" spans="1:2" x14ac:dyDescent="0.25">
      <c r="A10488"/>
      <c r="B10488"/>
    </row>
    <row r="10489" spans="1:2" x14ac:dyDescent="0.25">
      <c r="A10489"/>
      <c r="B10489"/>
    </row>
    <row r="10490" spans="1:2" x14ac:dyDescent="0.25">
      <c r="A10490"/>
      <c r="B10490"/>
    </row>
    <row r="10491" spans="1:2" x14ac:dyDescent="0.25">
      <c r="A10491"/>
      <c r="B10491"/>
    </row>
    <row r="10492" spans="1:2" x14ac:dyDescent="0.25">
      <c r="A10492"/>
      <c r="B10492"/>
    </row>
    <row r="10493" spans="1:2" x14ac:dyDescent="0.25">
      <c r="A10493"/>
      <c r="B10493"/>
    </row>
    <row r="10494" spans="1:2" x14ac:dyDescent="0.25">
      <c r="A10494"/>
      <c r="B10494"/>
    </row>
    <row r="10495" spans="1:2" x14ac:dyDescent="0.25">
      <c r="A10495"/>
      <c r="B10495"/>
    </row>
    <row r="10496" spans="1:2" x14ac:dyDescent="0.25">
      <c r="A10496"/>
      <c r="B10496"/>
    </row>
    <row r="10497" spans="1:2" x14ac:dyDescent="0.25">
      <c r="A10497"/>
      <c r="B10497"/>
    </row>
    <row r="10498" spans="1:2" x14ac:dyDescent="0.25">
      <c r="A10498"/>
      <c r="B10498"/>
    </row>
    <row r="10499" spans="1:2" x14ac:dyDescent="0.25">
      <c r="A10499"/>
      <c r="B10499"/>
    </row>
    <row r="10500" spans="1:2" x14ac:dyDescent="0.25">
      <c r="A10500"/>
      <c r="B10500"/>
    </row>
    <row r="10501" spans="1:2" x14ac:dyDescent="0.25">
      <c r="A10501"/>
      <c r="B10501"/>
    </row>
    <row r="10502" spans="1:2" x14ac:dyDescent="0.25">
      <c r="A10502"/>
      <c r="B10502"/>
    </row>
    <row r="10503" spans="1:2" x14ac:dyDescent="0.25">
      <c r="A10503"/>
      <c r="B10503"/>
    </row>
    <row r="10504" spans="1:2" x14ac:dyDescent="0.25">
      <c r="A10504"/>
      <c r="B10504"/>
    </row>
    <row r="10505" spans="1:2" x14ac:dyDescent="0.25">
      <c r="A10505"/>
      <c r="B10505"/>
    </row>
    <row r="10506" spans="1:2" x14ac:dyDescent="0.25">
      <c r="A10506"/>
      <c r="B10506"/>
    </row>
    <row r="10507" spans="1:2" x14ac:dyDescent="0.25">
      <c r="A10507"/>
      <c r="B10507"/>
    </row>
    <row r="10508" spans="1:2" x14ac:dyDescent="0.25">
      <c r="A10508"/>
      <c r="B10508"/>
    </row>
    <row r="10509" spans="1:2" x14ac:dyDescent="0.25">
      <c r="A10509"/>
      <c r="B10509"/>
    </row>
    <row r="10510" spans="1:2" x14ac:dyDescent="0.25">
      <c r="A10510"/>
      <c r="B10510"/>
    </row>
    <row r="10511" spans="1:2" x14ac:dyDescent="0.25">
      <c r="A10511"/>
      <c r="B10511"/>
    </row>
    <row r="10512" spans="1:2" x14ac:dyDescent="0.25">
      <c r="A10512"/>
      <c r="B10512"/>
    </row>
    <row r="10513" spans="1:2" x14ac:dyDescent="0.25">
      <c r="A10513"/>
      <c r="B10513"/>
    </row>
    <row r="10514" spans="1:2" x14ac:dyDescent="0.25">
      <c r="A10514"/>
      <c r="B10514"/>
    </row>
    <row r="10515" spans="1:2" x14ac:dyDescent="0.25">
      <c r="A10515"/>
      <c r="B10515"/>
    </row>
    <row r="10516" spans="1:2" x14ac:dyDescent="0.25">
      <c r="A10516"/>
      <c r="B10516"/>
    </row>
    <row r="10517" spans="1:2" x14ac:dyDescent="0.25">
      <c r="A10517"/>
      <c r="B10517"/>
    </row>
    <row r="10518" spans="1:2" x14ac:dyDescent="0.25">
      <c r="A10518"/>
      <c r="B10518"/>
    </row>
    <row r="10519" spans="1:2" x14ac:dyDescent="0.25">
      <c r="A10519"/>
      <c r="B10519"/>
    </row>
    <row r="10520" spans="1:2" x14ac:dyDescent="0.25">
      <c r="A10520"/>
      <c r="B10520"/>
    </row>
    <row r="10521" spans="1:2" x14ac:dyDescent="0.25">
      <c r="A10521"/>
      <c r="B10521"/>
    </row>
    <row r="10522" spans="1:2" x14ac:dyDescent="0.25">
      <c r="A10522"/>
      <c r="B10522"/>
    </row>
    <row r="10523" spans="1:2" x14ac:dyDescent="0.25">
      <c r="A10523"/>
      <c r="B10523"/>
    </row>
    <row r="10524" spans="1:2" x14ac:dyDescent="0.25">
      <c r="A10524"/>
      <c r="B10524"/>
    </row>
    <row r="10525" spans="1:2" x14ac:dyDescent="0.25">
      <c r="A10525"/>
      <c r="B10525"/>
    </row>
    <row r="10526" spans="1:2" x14ac:dyDescent="0.25">
      <c r="A10526"/>
      <c r="B10526"/>
    </row>
    <row r="10527" spans="1:2" x14ac:dyDescent="0.25">
      <c r="A10527"/>
      <c r="B10527"/>
    </row>
    <row r="10528" spans="1:2" x14ac:dyDescent="0.25">
      <c r="A10528"/>
      <c r="B10528"/>
    </row>
    <row r="10529" spans="1:2" x14ac:dyDescent="0.25">
      <c r="A10529"/>
      <c r="B10529"/>
    </row>
    <row r="10530" spans="1:2" x14ac:dyDescent="0.25">
      <c r="A10530"/>
      <c r="B10530"/>
    </row>
    <row r="10531" spans="1:2" x14ac:dyDescent="0.25">
      <c r="A10531"/>
      <c r="B10531"/>
    </row>
    <row r="10532" spans="1:2" x14ac:dyDescent="0.25">
      <c r="A10532"/>
      <c r="B10532"/>
    </row>
    <row r="10533" spans="1:2" x14ac:dyDescent="0.25">
      <c r="A10533"/>
      <c r="B10533"/>
    </row>
    <row r="10534" spans="1:2" x14ac:dyDescent="0.25">
      <c r="A10534"/>
      <c r="B10534"/>
    </row>
    <row r="10535" spans="1:2" x14ac:dyDescent="0.25">
      <c r="A10535"/>
      <c r="B10535"/>
    </row>
    <row r="10536" spans="1:2" x14ac:dyDescent="0.25">
      <c r="A10536"/>
      <c r="B10536"/>
    </row>
    <row r="10537" spans="1:2" x14ac:dyDescent="0.25">
      <c r="A10537"/>
      <c r="B10537"/>
    </row>
    <row r="10538" spans="1:2" x14ac:dyDescent="0.25">
      <c r="A10538"/>
      <c r="B10538"/>
    </row>
    <row r="10539" spans="1:2" x14ac:dyDescent="0.25">
      <c r="A10539"/>
      <c r="B10539"/>
    </row>
    <row r="10540" spans="1:2" x14ac:dyDescent="0.25">
      <c r="A10540"/>
      <c r="B10540"/>
    </row>
    <row r="10541" spans="1:2" x14ac:dyDescent="0.25">
      <c r="A10541"/>
      <c r="B10541"/>
    </row>
    <row r="10542" spans="1:2" x14ac:dyDescent="0.25">
      <c r="A10542"/>
      <c r="B10542"/>
    </row>
    <row r="10543" spans="1:2" x14ac:dyDescent="0.25">
      <c r="A10543"/>
      <c r="B10543"/>
    </row>
    <row r="10544" spans="1:2" x14ac:dyDescent="0.25">
      <c r="A10544"/>
      <c r="B10544"/>
    </row>
    <row r="10545" spans="1:2" x14ac:dyDescent="0.25">
      <c r="A10545"/>
      <c r="B10545"/>
    </row>
    <row r="10546" spans="1:2" x14ac:dyDescent="0.25">
      <c r="A10546"/>
      <c r="B10546"/>
    </row>
    <row r="10547" spans="1:2" x14ac:dyDescent="0.25">
      <c r="A10547"/>
      <c r="B10547"/>
    </row>
    <row r="10548" spans="1:2" x14ac:dyDescent="0.25">
      <c r="A10548"/>
      <c r="B10548"/>
    </row>
    <row r="10549" spans="1:2" x14ac:dyDescent="0.25">
      <c r="A10549"/>
      <c r="B10549"/>
    </row>
    <row r="10550" spans="1:2" x14ac:dyDescent="0.25">
      <c r="A10550"/>
      <c r="B10550"/>
    </row>
    <row r="10551" spans="1:2" x14ac:dyDescent="0.25">
      <c r="A10551"/>
      <c r="B10551"/>
    </row>
    <row r="10552" spans="1:2" x14ac:dyDescent="0.25">
      <c r="A10552"/>
      <c r="B10552"/>
    </row>
    <row r="10553" spans="1:2" x14ac:dyDescent="0.25">
      <c r="A10553"/>
      <c r="B10553"/>
    </row>
    <row r="10554" spans="1:2" x14ac:dyDescent="0.25">
      <c r="A10554"/>
      <c r="B10554"/>
    </row>
    <row r="10555" spans="1:2" x14ac:dyDescent="0.25">
      <c r="A10555"/>
      <c r="B10555"/>
    </row>
    <row r="10556" spans="1:2" x14ac:dyDescent="0.25">
      <c r="A10556"/>
      <c r="B10556"/>
    </row>
    <row r="10557" spans="1:2" x14ac:dyDescent="0.25">
      <c r="A10557"/>
      <c r="B10557"/>
    </row>
    <row r="10558" spans="1:2" x14ac:dyDescent="0.25">
      <c r="A10558"/>
      <c r="B10558"/>
    </row>
    <row r="10559" spans="1:2" x14ac:dyDescent="0.25">
      <c r="A10559"/>
      <c r="B10559"/>
    </row>
    <row r="10560" spans="1:2" x14ac:dyDescent="0.25">
      <c r="A10560"/>
      <c r="B10560"/>
    </row>
    <row r="10561" spans="1:2" x14ac:dyDescent="0.25">
      <c r="A10561"/>
      <c r="B10561"/>
    </row>
    <row r="10562" spans="1:2" x14ac:dyDescent="0.25">
      <c r="A10562"/>
      <c r="B10562"/>
    </row>
    <row r="10563" spans="1:2" x14ac:dyDescent="0.25">
      <c r="A10563"/>
      <c r="B10563"/>
    </row>
    <row r="10564" spans="1:2" x14ac:dyDescent="0.25">
      <c r="A10564"/>
      <c r="B10564"/>
    </row>
    <row r="10565" spans="1:2" x14ac:dyDescent="0.25">
      <c r="A10565"/>
      <c r="B10565"/>
    </row>
    <row r="10566" spans="1:2" x14ac:dyDescent="0.25">
      <c r="A10566"/>
      <c r="B10566"/>
    </row>
    <row r="10567" spans="1:2" x14ac:dyDescent="0.25">
      <c r="A10567"/>
      <c r="B10567"/>
    </row>
    <row r="10568" spans="1:2" x14ac:dyDescent="0.25">
      <c r="A10568"/>
      <c r="B10568"/>
    </row>
    <row r="10569" spans="1:2" x14ac:dyDescent="0.25">
      <c r="A10569"/>
      <c r="B10569"/>
    </row>
    <row r="10570" spans="1:2" x14ac:dyDescent="0.25">
      <c r="A10570"/>
      <c r="B10570"/>
    </row>
    <row r="10571" spans="1:2" x14ac:dyDescent="0.25">
      <c r="A10571"/>
      <c r="B10571"/>
    </row>
    <row r="10572" spans="1:2" x14ac:dyDescent="0.25">
      <c r="A10572"/>
      <c r="B10572"/>
    </row>
    <row r="10573" spans="1:2" x14ac:dyDescent="0.25">
      <c r="A10573"/>
      <c r="B10573"/>
    </row>
    <row r="10574" spans="1:2" x14ac:dyDescent="0.25">
      <c r="A10574"/>
      <c r="B10574"/>
    </row>
    <row r="10575" spans="1:2" x14ac:dyDescent="0.25">
      <c r="A10575"/>
      <c r="B10575"/>
    </row>
    <row r="10576" spans="1:2" x14ac:dyDescent="0.25">
      <c r="A10576"/>
      <c r="B10576"/>
    </row>
    <row r="10577" spans="1:2" x14ac:dyDescent="0.25">
      <c r="A10577"/>
      <c r="B10577"/>
    </row>
    <row r="10578" spans="1:2" x14ac:dyDescent="0.25">
      <c r="A10578"/>
      <c r="B10578"/>
    </row>
    <row r="10579" spans="1:2" x14ac:dyDescent="0.25">
      <c r="A10579"/>
      <c r="B10579"/>
    </row>
    <row r="10580" spans="1:2" x14ac:dyDescent="0.25">
      <c r="A10580"/>
      <c r="B10580"/>
    </row>
    <row r="10581" spans="1:2" x14ac:dyDescent="0.25">
      <c r="A10581"/>
      <c r="B10581"/>
    </row>
    <row r="10582" spans="1:2" x14ac:dyDescent="0.25">
      <c r="A10582"/>
      <c r="B10582"/>
    </row>
    <row r="10583" spans="1:2" x14ac:dyDescent="0.25">
      <c r="A10583"/>
      <c r="B10583"/>
    </row>
    <row r="10584" spans="1:2" x14ac:dyDescent="0.25">
      <c r="A10584"/>
      <c r="B10584"/>
    </row>
    <row r="10585" spans="1:2" x14ac:dyDescent="0.25">
      <c r="A10585"/>
      <c r="B10585"/>
    </row>
    <row r="10586" spans="1:2" x14ac:dyDescent="0.25">
      <c r="A10586"/>
      <c r="B10586"/>
    </row>
    <row r="10587" spans="1:2" x14ac:dyDescent="0.25">
      <c r="A10587"/>
      <c r="B10587"/>
    </row>
    <row r="10588" spans="1:2" x14ac:dyDescent="0.25">
      <c r="A10588"/>
      <c r="B10588"/>
    </row>
    <row r="10589" spans="1:2" x14ac:dyDescent="0.25">
      <c r="A10589"/>
      <c r="B10589"/>
    </row>
    <row r="10590" spans="1:2" x14ac:dyDescent="0.25">
      <c r="A10590"/>
      <c r="B10590"/>
    </row>
    <row r="10591" spans="1:2" x14ac:dyDescent="0.25">
      <c r="A10591"/>
      <c r="B10591"/>
    </row>
    <row r="10592" spans="1:2" x14ac:dyDescent="0.25">
      <c r="A10592"/>
      <c r="B10592"/>
    </row>
    <row r="10593" spans="1:2" x14ac:dyDescent="0.25">
      <c r="A10593"/>
      <c r="B10593"/>
    </row>
    <row r="10594" spans="1:2" x14ac:dyDescent="0.25">
      <c r="A10594"/>
      <c r="B10594"/>
    </row>
    <row r="10595" spans="1:2" x14ac:dyDescent="0.25">
      <c r="A10595"/>
      <c r="B10595"/>
    </row>
    <row r="10596" spans="1:2" x14ac:dyDescent="0.25">
      <c r="A10596"/>
      <c r="B10596"/>
    </row>
    <row r="10597" spans="1:2" x14ac:dyDescent="0.25">
      <c r="A10597"/>
      <c r="B10597"/>
    </row>
    <row r="10598" spans="1:2" x14ac:dyDescent="0.25">
      <c r="A10598"/>
      <c r="B10598"/>
    </row>
    <row r="10599" spans="1:2" x14ac:dyDescent="0.25">
      <c r="A10599"/>
      <c r="B10599"/>
    </row>
    <row r="10600" spans="1:2" x14ac:dyDescent="0.25">
      <c r="A10600"/>
      <c r="B10600"/>
    </row>
    <row r="10601" spans="1:2" x14ac:dyDescent="0.25">
      <c r="A10601"/>
      <c r="B10601"/>
    </row>
    <row r="10602" spans="1:2" x14ac:dyDescent="0.25">
      <c r="A10602"/>
      <c r="B10602"/>
    </row>
    <row r="10603" spans="1:2" x14ac:dyDescent="0.25">
      <c r="A10603"/>
      <c r="B10603"/>
    </row>
    <row r="10604" spans="1:2" x14ac:dyDescent="0.25">
      <c r="A10604"/>
      <c r="B10604"/>
    </row>
    <row r="10605" spans="1:2" x14ac:dyDescent="0.25">
      <c r="A10605"/>
      <c r="B10605"/>
    </row>
    <row r="10606" spans="1:2" x14ac:dyDescent="0.25">
      <c r="A10606"/>
      <c r="B10606"/>
    </row>
    <row r="10607" spans="1:2" x14ac:dyDescent="0.25">
      <c r="A10607"/>
      <c r="B10607"/>
    </row>
    <row r="10608" spans="1:2" x14ac:dyDescent="0.25">
      <c r="A10608"/>
      <c r="B10608"/>
    </row>
    <row r="10609" spans="1:2" x14ac:dyDescent="0.25">
      <c r="A10609"/>
      <c r="B10609"/>
    </row>
    <row r="10610" spans="1:2" x14ac:dyDescent="0.25">
      <c r="A10610"/>
      <c r="B10610"/>
    </row>
    <row r="10611" spans="1:2" x14ac:dyDescent="0.25">
      <c r="A10611"/>
      <c r="B10611"/>
    </row>
    <row r="10612" spans="1:2" x14ac:dyDescent="0.25">
      <c r="A10612"/>
      <c r="B10612"/>
    </row>
    <row r="10613" spans="1:2" x14ac:dyDescent="0.25">
      <c r="A10613"/>
      <c r="B10613"/>
    </row>
    <row r="10614" spans="1:2" x14ac:dyDescent="0.25">
      <c r="A10614"/>
      <c r="B10614"/>
    </row>
    <row r="10615" spans="1:2" x14ac:dyDescent="0.25">
      <c r="A10615"/>
      <c r="B10615"/>
    </row>
    <row r="10616" spans="1:2" x14ac:dyDescent="0.25">
      <c r="A10616"/>
      <c r="B10616"/>
    </row>
    <row r="10617" spans="1:2" x14ac:dyDescent="0.25">
      <c r="A10617"/>
      <c r="B10617"/>
    </row>
    <row r="10618" spans="1:2" x14ac:dyDescent="0.25">
      <c r="A10618"/>
      <c r="B10618"/>
    </row>
    <row r="10619" spans="1:2" x14ac:dyDescent="0.25">
      <c r="A10619"/>
      <c r="B10619"/>
    </row>
    <row r="10620" spans="1:2" x14ac:dyDescent="0.25">
      <c r="A10620"/>
      <c r="B10620"/>
    </row>
    <row r="10621" spans="1:2" x14ac:dyDescent="0.25">
      <c r="A10621"/>
      <c r="B10621"/>
    </row>
    <row r="10622" spans="1:2" x14ac:dyDescent="0.25">
      <c r="A10622"/>
      <c r="B10622"/>
    </row>
    <row r="10623" spans="1:2" x14ac:dyDescent="0.25">
      <c r="A10623"/>
      <c r="B10623"/>
    </row>
    <row r="10624" spans="1:2" x14ac:dyDescent="0.25">
      <c r="A10624"/>
      <c r="B10624"/>
    </row>
    <row r="10625" spans="1:2" x14ac:dyDescent="0.25">
      <c r="A10625"/>
      <c r="B10625"/>
    </row>
    <row r="10626" spans="1:2" x14ac:dyDescent="0.25">
      <c r="A10626"/>
      <c r="B10626"/>
    </row>
    <row r="10627" spans="1:2" x14ac:dyDescent="0.25">
      <c r="A10627"/>
      <c r="B10627"/>
    </row>
    <row r="10628" spans="1:2" x14ac:dyDescent="0.25">
      <c r="A10628"/>
      <c r="B10628"/>
    </row>
    <row r="10629" spans="1:2" x14ac:dyDescent="0.25">
      <c r="A10629"/>
      <c r="B10629"/>
    </row>
    <row r="10630" spans="1:2" x14ac:dyDescent="0.25">
      <c r="A10630"/>
      <c r="B10630"/>
    </row>
    <row r="10631" spans="1:2" x14ac:dyDescent="0.25">
      <c r="A10631"/>
      <c r="B10631"/>
    </row>
    <row r="10632" spans="1:2" x14ac:dyDescent="0.25">
      <c r="A10632"/>
      <c r="B10632"/>
    </row>
    <row r="10633" spans="1:2" x14ac:dyDescent="0.25">
      <c r="A10633"/>
      <c r="B10633"/>
    </row>
    <row r="10634" spans="1:2" x14ac:dyDescent="0.25">
      <c r="A10634"/>
      <c r="B10634"/>
    </row>
    <row r="10635" spans="1:2" x14ac:dyDescent="0.25">
      <c r="A10635"/>
      <c r="B10635"/>
    </row>
    <row r="10636" spans="1:2" x14ac:dyDescent="0.25">
      <c r="A10636"/>
      <c r="B10636"/>
    </row>
    <row r="10637" spans="1:2" x14ac:dyDescent="0.25">
      <c r="A10637"/>
      <c r="B10637"/>
    </row>
    <row r="10638" spans="1:2" x14ac:dyDescent="0.25">
      <c r="A10638"/>
      <c r="B10638"/>
    </row>
    <row r="10639" spans="1:2" x14ac:dyDescent="0.25">
      <c r="A10639"/>
      <c r="B10639"/>
    </row>
    <row r="10640" spans="1:2" x14ac:dyDescent="0.25">
      <c r="A10640"/>
      <c r="B10640"/>
    </row>
    <row r="10641" spans="1:2" x14ac:dyDescent="0.25">
      <c r="A10641"/>
      <c r="B10641"/>
    </row>
    <row r="10642" spans="1:2" x14ac:dyDescent="0.25">
      <c r="A10642"/>
      <c r="B10642"/>
    </row>
    <row r="10643" spans="1:2" x14ac:dyDescent="0.25">
      <c r="A10643"/>
      <c r="B10643"/>
    </row>
    <row r="10644" spans="1:2" x14ac:dyDescent="0.25">
      <c r="A10644"/>
      <c r="B10644"/>
    </row>
    <row r="10645" spans="1:2" x14ac:dyDescent="0.25">
      <c r="A10645"/>
      <c r="B10645"/>
    </row>
    <row r="10646" spans="1:2" x14ac:dyDescent="0.25">
      <c r="A10646"/>
      <c r="B10646"/>
    </row>
    <row r="10647" spans="1:2" x14ac:dyDescent="0.25">
      <c r="A10647"/>
      <c r="B10647"/>
    </row>
    <row r="10648" spans="1:2" x14ac:dyDescent="0.25">
      <c r="A10648"/>
      <c r="B10648"/>
    </row>
    <row r="10649" spans="1:2" x14ac:dyDescent="0.25">
      <c r="A10649"/>
      <c r="B10649"/>
    </row>
    <row r="10650" spans="1:2" x14ac:dyDescent="0.25">
      <c r="A10650"/>
      <c r="B10650"/>
    </row>
    <row r="10651" spans="1:2" x14ac:dyDescent="0.25">
      <c r="A10651"/>
      <c r="B10651"/>
    </row>
    <row r="10652" spans="1:2" x14ac:dyDescent="0.25">
      <c r="A10652"/>
      <c r="B10652"/>
    </row>
    <row r="10653" spans="1:2" x14ac:dyDescent="0.25">
      <c r="A10653"/>
      <c r="B10653"/>
    </row>
    <row r="10654" spans="1:2" x14ac:dyDescent="0.25">
      <c r="A10654"/>
      <c r="B10654"/>
    </row>
    <row r="10655" spans="1:2" x14ac:dyDescent="0.25">
      <c r="A10655"/>
      <c r="B10655"/>
    </row>
    <row r="10656" spans="1:2" x14ac:dyDescent="0.25">
      <c r="A10656"/>
      <c r="B10656"/>
    </row>
    <row r="10657" spans="1:2" x14ac:dyDescent="0.25">
      <c r="A10657"/>
      <c r="B10657"/>
    </row>
    <row r="10658" spans="1:2" x14ac:dyDescent="0.25">
      <c r="A10658"/>
      <c r="B10658"/>
    </row>
    <row r="10659" spans="1:2" x14ac:dyDescent="0.25">
      <c r="A10659"/>
      <c r="B10659"/>
    </row>
    <row r="10660" spans="1:2" x14ac:dyDescent="0.25">
      <c r="A10660"/>
      <c r="B10660"/>
    </row>
    <row r="10661" spans="1:2" x14ac:dyDescent="0.25">
      <c r="A10661"/>
      <c r="B10661"/>
    </row>
    <row r="10662" spans="1:2" x14ac:dyDescent="0.25">
      <c r="A10662"/>
      <c r="B10662"/>
    </row>
    <row r="10663" spans="1:2" x14ac:dyDescent="0.25">
      <c r="A10663"/>
      <c r="B10663"/>
    </row>
    <row r="10664" spans="1:2" x14ac:dyDescent="0.25">
      <c r="A10664"/>
      <c r="B10664"/>
    </row>
    <row r="10665" spans="1:2" x14ac:dyDescent="0.25">
      <c r="A10665"/>
      <c r="B10665"/>
    </row>
    <row r="10666" spans="1:2" x14ac:dyDescent="0.25">
      <c r="A10666"/>
      <c r="B10666"/>
    </row>
    <row r="10667" spans="1:2" x14ac:dyDescent="0.25">
      <c r="A10667"/>
      <c r="B10667"/>
    </row>
    <row r="10668" spans="1:2" x14ac:dyDescent="0.25">
      <c r="A10668"/>
      <c r="B10668"/>
    </row>
    <row r="10669" spans="1:2" x14ac:dyDescent="0.25">
      <c r="A10669"/>
      <c r="B10669"/>
    </row>
    <row r="10670" spans="1:2" x14ac:dyDescent="0.25">
      <c r="A10670"/>
      <c r="B10670"/>
    </row>
    <row r="10671" spans="1:2" x14ac:dyDescent="0.25">
      <c r="A10671"/>
      <c r="B10671"/>
    </row>
    <row r="10672" spans="1:2" x14ac:dyDescent="0.25">
      <c r="A10672"/>
      <c r="B10672"/>
    </row>
    <row r="10673" spans="1:2" x14ac:dyDescent="0.25">
      <c r="A10673"/>
      <c r="B10673"/>
    </row>
    <row r="10674" spans="1:2" x14ac:dyDescent="0.25">
      <c r="A10674"/>
      <c r="B10674"/>
    </row>
    <row r="10675" spans="1:2" x14ac:dyDescent="0.25">
      <c r="A10675"/>
      <c r="B10675"/>
    </row>
    <row r="10676" spans="1:2" x14ac:dyDescent="0.25">
      <c r="A10676"/>
      <c r="B10676"/>
    </row>
    <row r="10677" spans="1:2" x14ac:dyDescent="0.25">
      <c r="A10677"/>
      <c r="B10677"/>
    </row>
    <row r="10678" spans="1:2" x14ac:dyDescent="0.25">
      <c r="A10678"/>
      <c r="B10678"/>
    </row>
    <row r="10679" spans="1:2" x14ac:dyDescent="0.25">
      <c r="A10679"/>
      <c r="B10679"/>
    </row>
    <row r="10680" spans="1:2" x14ac:dyDescent="0.25">
      <c r="A10680"/>
      <c r="B10680"/>
    </row>
    <row r="10681" spans="1:2" x14ac:dyDescent="0.25">
      <c r="A10681"/>
      <c r="B10681"/>
    </row>
    <row r="10682" spans="1:2" x14ac:dyDescent="0.25">
      <c r="A10682"/>
      <c r="B10682"/>
    </row>
    <row r="10683" spans="1:2" x14ac:dyDescent="0.25">
      <c r="A10683"/>
      <c r="B10683"/>
    </row>
    <row r="10684" spans="1:2" x14ac:dyDescent="0.25">
      <c r="A10684"/>
      <c r="B10684"/>
    </row>
    <row r="10685" spans="1:2" x14ac:dyDescent="0.25">
      <c r="A10685"/>
      <c r="B10685"/>
    </row>
    <row r="10686" spans="1:2" x14ac:dyDescent="0.25">
      <c r="A10686"/>
      <c r="B10686"/>
    </row>
    <row r="10687" spans="1:2" x14ac:dyDescent="0.25">
      <c r="A10687"/>
      <c r="B10687"/>
    </row>
    <row r="10688" spans="1:2" x14ac:dyDescent="0.25">
      <c r="A10688"/>
      <c r="B10688"/>
    </row>
    <row r="10689" spans="1:2" x14ac:dyDescent="0.25">
      <c r="A10689"/>
      <c r="B10689"/>
    </row>
    <row r="10690" spans="1:2" x14ac:dyDescent="0.25">
      <c r="A10690"/>
      <c r="B10690"/>
    </row>
    <row r="10691" spans="1:2" x14ac:dyDescent="0.25">
      <c r="A10691"/>
      <c r="B10691"/>
    </row>
    <row r="10692" spans="1:2" x14ac:dyDescent="0.25">
      <c r="A10692"/>
      <c r="B10692"/>
    </row>
    <row r="10693" spans="1:2" x14ac:dyDescent="0.25">
      <c r="A10693"/>
      <c r="B10693"/>
    </row>
    <row r="10694" spans="1:2" x14ac:dyDescent="0.25">
      <c r="A10694"/>
      <c r="B10694"/>
    </row>
    <row r="10695" spans="1:2" x14ac:dyDescent="0.25">
      <c r="A10695"/>
      <c r="B10695"/>
    </row>
    <row r="10696" spans="1:2" x14ac:dyDescent="0.25">
      <c r="A10696"/>
      <c r="B10696"/>
    </row>
    <row r="10697" spans="1:2" x14ac:dyDescent="0.25">
      <c r="A10697"/>
      <c r="B10697"/>
    </row>
    <row r="10698" spans="1:2" x14ac:dyDescent="0.25">
      <c r="A10698"/>
      <c r="B10698"/>
    </row>
    <row r="10699" spans="1:2" x14ac:dyDescent="0.25">
      <c r="A10699"/>
      <c r="B10699"/>
    </row>
    <row r="10700" spans="1:2" x14ac:dyDescent="0.25">
      <c r="A10700"/>
      <c r="B10700"/>
    </row>
    <row r="10701" spans="1:2" x14ac:dyDescent="0.25">
      <c r="A10701"/>
      <c r="B10701"/>
    </row>
    <row r="10702" spans="1:2" x14ac:dyDescent="0.25">
      <c r="A10702"/>
      <c r="B10702"/>
    </row>
    <row r="10703" spans="1:2" x14ac:dyDescent="0.25">
      <c r="A10703"/>
      <c r="B10703"/>
    </row>
    <row r="10704" spans="1:2" x14ac:dyDescent="0.25">
      <c r="A10704"/>
      <c r="B10704"/>
    </row>
    <row r="10705" spans="1:2" x14ac:dyDescent="0.25">
      <c r="A10705"/>
      <c r="B10705"/>
    </row>
    <row r="10706" spans="1:2" x14ac:dyDescent="0.25">
      <c r="A10706"/>
      <c r="B10706"/>
    </row>
    <row r="10707" spans="1:2" x14ac:dyDescent="0.25">
      <c r="A10707"/>
      <c r="B10707"/>
    </row>
    <row r="10708" spans="1:2" x14ac:dyDescent="0.25">
      <c r="A10708"/>
      <c r="B10708"/>
    </row>
    <row r="10709" spans="1:2" x14ac:dyDescent="0.25">
      <c r="A10709"/>
      <c r="B10709"/>
    </row>
    <row r="10710" spans="1:2" x14ac:dyDescent="0.25">
      <c r="A10710"/>
      <c r="B10710"/>
    </row>
    <row r="10711" spans="1:2" x14ac:dyDescent="0.25">
      <c r="A10711"/>
      <c r="B10711"/>
    </row>
    <row r="10712" spans="1:2" x14ac:dyDescent="0.25">
      <c r="A10712"/>
      <c r="B10712"/>
    </row>
    <row r="10713" spans="1:2" x14ac:dyDescent="0.25">
      <c r="A10713"/>
      <c r="B10713"/>
    </row>
    <row r="10714" spans="1:2" x14ac:dyDescent="0.25">
      <c r="A10714"/>
      <c r="B10714"/>
    </row>
    <row r="10715" spans="1:2" x14ac:dyDescent="0.25">
      <c r="A10715"/>
      <c r="B10715"/>
    </row>
    <row r="10716" spans="1:2" x14ac:dyDescent="0.25">
      <c r="A10716"/>
      <c r="B10716"/>
    </row>
    <row r="10717" spans="1:2" x14ac:dyDescent="0.25">
      <c r="A10717"/>
      <c r="B10717"/>
    </row>
    <row r="10718" spans="1:2" x14ac:dyDescent="0.25">
      <c r="A10718"/>
      <c r="B10718"/>
    </row>
    <row r="10719" spans="1:2" x14ac:dyDescent="0.25">
      <c r="A10719"/>
      <c r="B10719"/>
    </row>
    <row r="10720" spans="1:2" x14ac:dyDescent="0.25">
      <c r="A10720"/>
      <c r="B10720"/>
    </row>
    <row r="10721" spans="1:2" x14ac:dyDescent="0.25">
      <c r="A10721"/>
      <c r="B10721"/>
    </row>
    <row r="10722" spans="1:2" x14ac:dyDescent="0.25">
      <c r="A10722"/>
      <c r="B10722"/>
    </row>
    <row r="10723" spans="1:2" x14ac:dyDescent="0.25">
      <c r="A10723"/>
      <c r="B10723"/>
    </row>
    <row r="10724" spans="1:2" x14ac:dyDescent="0.25">
      <c r="A10724"/>
      <c r="B10724"/>
    </row>
    <row r="10725" spans="1:2" x14ac:dyDescent="0.25">
      <c r="A10725"/>
      <c r="B10725"/>
    </row>
    <row r="10726" spans="1:2" x14ac:dyDescent="0.25">
      <c r="A10726"/>
      <c r="B10726"/>
    </row>
    <row r="10727" spans="1:2" x14ac:dyDescent="0.25">
      <c r="A10727"/>
      <c r="B10727"/>
    </row>
    <row r="10728" spans="1:2" x14ac:dyDescent="0.25">
      <c r="A10728"/>
      <c r="B10728"/>
    </row>
    <row r="10729" spans="1:2" x14ac:dyDescent="0.25">
      <c r="A10729"/>
      <c r="B10729"/>
    </row>
    <row r="10730" spans="1:2" x14ac:dyDescent="0.25">
      <c r="A10730"/>
      <c r="B10730"/>
    </row>
    <row r="10731" spans="1:2" x14ac:dyDescent="0.25">
      <c r="A10731"/>
      <c r="B10731"/>
    </row>
    <row r="10732" spans="1:2" x14ac:dyDescent="0.25">
      <c r="A10732"/>
      <c r="B10732"/>
    </row>
    <row r="10733" spans="1:2" x14ac:dyDescent="0.25">
      <c r="A10733"/>
      <c r="B10733"/>
    </row>
    <row r="10734" spans="1:2" x14ac:dyDescent="0.25">
      <c r="A10734"/>
      <c r="B10734"/>
    </row>
    <row r="10735" spans="1:2" x14ac:dyDescent="0.25">
      <c r="A10735"/>
      <c r="B10735"/>
    </row>
    <row r="10736" spans="1:2" x14ac:dyDescent="0.25">
      <c r="A10736"/>
      <c r="B10736"/>
    </row>
    <row r="10737" spans="1:2" x14ac:dyDescent="0.25">
      <c r="A10737"/>
      <c r="B10737"/>
    </row>
    <row r="10738" spans="1:2" x14ac:dyDescent="0.25">
      <c r="A10738"/>
      <c r="B10738"/>
    </row>
    <row r="10739" spans="1:2" x14ac:dyDescent="0.25">
      <c r="A10739"/>
      <c r="B10739"/>
    </row>
    <row r="10740" spans="1:2" x14ac:dyDescent="0.25">
      <c r="A10740"/>
      <c r="B10740"/>
    </row>
    <row r="10741" spans="1:2" x14ac:dyDescent="0.25">
      <c r="A10741"/>
      <c r="B10741"/>
    </row>
    <row r="10742" spans="1:2" x14ac:dyDescent="0.25">
      <c r="A10742"/>
      <c r="B10742"/>
    </row>
    <row r="10743" spans="1:2" x14ac:dyDescent="0.25">
      <c r="A10743"/>
      <c r="B10743"/>
    </row>
    <row r="10744" spans="1:2" x14ac:dyDescent="0.25">
      <c r="A10744"/>
      <c r="B10744"/>
    </row>
    <row r="10745" spans="1:2" x14ac:dyDescent="0.25">
      <c r="A10745"/>
      <c r="B10745"/>
    </row>
    <row r="10746" spans="1:2" x14ac:dyDescent="0.25">
      <c r="A10746"/>
      <c r="B10746"/>
    </row>
    <row r="10747" spans="1:2" x14ac:dyDescent="0.25">
      <c r="A10747"/>
      <c r="B10747"/>
    </row>
    <row r="10748" spans="1:2" x14ac:dyDescent="0.25">
      <c r="A10748"/>
      <c r="B10748"/>
    </row>
    <row r="10749" spans="1:2" x14ac:dyDescent="0.25">
      <c r="A10749"/>
      <c r="B10749"/>
    </row>
    <row r="10750" spans="1:2" x14ac:dyDescent="0.25">
      <c r="A10750"/>
      <c r="B10750"/>
    </row>
    <row r="10751" spans="1:2" x14ac:dyDescent="0.25">
      <c r="A10751"/>
      <c r="B10751"/>
    </row>
    <row r="10752" spans="1:2" x14ac:dyDescent="0.25">
      <c r="A10752"/>
      <c r="B10752"/>
    </row>
    <row r="10753" spans="1:2" x14ac:dyDescent="0.25">
      <c r="A10753"/>
      <c r="B10753"/>
    </row>
    <row r="10754" spans="1:2" x14ac:dyDescent="0.25">
      <c r="A10754"/>
      <c r="B10754"/>
    </row>
    <row r="10755" spans="1:2" x14ac:dyDescent="0.25">
      <c r="A10755"/>
      <c r="B10755"/>
    </row>
    <row r="10756" spans="1:2" x14ac:dyDescent="0.25">
      <c r="A10756"/>
      <c r="B10756"/>
    </row>
    <row r="10757" spans="1:2" x14ac:dyDescent="0.25">
      <c r="A10757"/>
      <c r="B10757"/>
    </row>
    <row r="10758" spans="1:2" x14ac:dyDescent="0.25">
      <c r="A10758"/>
      <c r="B10758"/>
    </row>
    <row r="10759" spans="1:2" x14ac:dyDescent="0.25">
      <c r="A10759"/>
      <c r="B10759"/>
    </row>
    <row r="10760" spans="1:2" x14ac:dyDescent="0.25">
      <c r="A10760"/>
      <c r="B10760"/>
    </row>
    <row r="10761" spans="1:2" x14ac:dyDescent="0.25">
      <c r="A10761"/>
      <c r="B10761"/>
    </row>
    <row r="10762" spans="1:2" x14ac:dyDescent="0.25">
      <c r="A10762"/>
      <c r="B10762"/>
    </row>
    <row r="10763" spans="1:2" x14ac:dyDescent="0.25">
      <c r="A10763"/>
      <c r="B10763"/>
    </row>
    <row r="10764" spans="1:2" x14ac:dyDescent="0.25">
      <c r="A10764"/>
      <c r="B10764"/>
    </row>
    <row r="10765" spans="1:2" x14ac:dyDescent="0.25">
      <c r="A10765"/>
      <c r="B10765"/>
    </row>
    <row r="10766" spans="1:2" x14ac:dyDescent="0.25">
      <c r="A10766"/>
      <c r="B10766"/>
    </row>
    <row r="10767" spans="1:2" x14ac:dyDescent="0.25">
      <c r="A10767"/>
      <c r="B10767"/>
    </row>
    <row r="10768" spans="1:2" x14ac:dyDescent="0.25">
      <c r="A10768"/>
      <c r="B10768"/>
    </row>
    <row r="10769" spans="1:2" x14ac:dyDescent="0.25">
      <c r="A10769"/>
      <c r="B10769"/>
    </row>
    <row r="10770" spans="1:2" x14ac:dyDescent="0.25">
      <c r="A10770"/>
      <c r="B10770"/>
    </row>
    <row r="10771" spans="1:2" x14ac:dyDescent="0.25">
      <c r="A10771"/>
      <c r="B10771"/>
    </row>
    <row r="10772" spans="1:2" x14ac:dyDescent="0.25">
      <c r="A10772"/>
      <c r="B10772"/>
    </row>
    <row r="10773" spans="1:2" x14ac:dyDescent="0.25">
      <c r="A10773"/>
      <c r="B10773"/>
    </row>
    <row r="10774" spans="1:2" x14ac:dyDescent="0.25">
      <c r="A10774"/>
      <c r="B10774"/>
    </row>
    <row r="10775" spans="1:2" x14ac:dyDescent="0.25">
      <c r="A10775"/>
      <c r="B10775"/>
    </row>
    <row r="10776" spans="1:2" x14ac:dyDescent="0.25">
      <c r="A10776"/>
      <c r="B10776"/>
    </row>
    <row r="10777" spans="1:2" x14ac:dyDescent="0.25">
      <c r="A10777"/>
      <c r="B10777"/>
    </row>
    <row r="10778" spans="1:2" x14ac:dyDescent="0.25">
      <c r="A10778"/>
      <c r="B10778"/>
    </row>
    <row r="10779" spans="1:2" x14ac:dyDescent="0.25">
      <c r="A10779"/>
      <c r="B10779"/>
    </row>
    <row r="10780" spans="1:2" x14ac:dyDescent="0.25">
      <c r="A10780"/>
      <c r="B10780"/>
    </row>
    <row r="10781" spans="1:2" x14ac:dyDescent="0.25">
      <c r="A10781"/>
      <c r="B10781"/>
    </row>
    <row r="10782" spans="1:2" x14ac:dyDescent="0.25">
      <c r="A10782"/>
      <c r="B10782"/>
    </row>
    <row r="10783" spans="1:2" x14ac:dyDescent="0.25">
      <c r="A10783"/>
      <c r="B10783"/>
    </row>
    <row r="10784" spans="1:2" x14ac:dyDescent="0.25">
      <c r="A10784"/>
      <c r="B10784"/>
    </row>
    <row r="10785" spans="1:2" x14ac:dyDescent="0.25">
      <c r="A10785"/>
      <c r="B10785"/>
    </row>
    <row r="10786" spans="1:2" x14ac:dyDescent="0.25">
      <c r="A10786"/>
      <c r="B10786"/>
    </row>
    <row r="10787" spans="1:2" x14ac:dyDescent="0.25">
      <c r="A10787"/>
      <c r="B10787"/>
    </row>
    <row r="10788" spans="1:2" x14ac:dyDescent="0.25">
      <c r="A10788"/>
      <c r="B10788"/>
    </row>
    <row r="10789" spans="1:2" x14ac:dyDescent="0.25">
      <c r="A10789"/>
      <c r="B10789"/>
    </row>
    <row r="10790" spans="1:2" x14ac:dyDescent="0.25">
      <c r="A10790"/>
      <c r="B10790"/>
    </row>
    <row r="10791" spans="1:2" x14ac:dyDescent="0.25">
      <c r="A10791"/>
      <c r="B10791"/>
    </row>
    <row r="10792" spans="1:2" x14ac:dyDescent="0.25">
      <c r="A10792"/>
      <c r="B10792"/>
    </row>
    <row r="10793" spans="1:2" x14ac:dyDescent="0.25">
      <c r="A10793"/>
      <c r="B10793"/>
    </row>
    <row r="10794" spans="1:2" x14ac:dyDescent="0.25">
      <c r="A10794"/>
      <c r="B10794"/>
    </row>
    <row r="10795" spans="1:2" x14ac:dyDescent="0.25">
      <c r="A10795"/>
      <c r="B10795"/>
    </row>
    <row r="10796" spans="1:2" x14ac:dyDescent="0.25">
      <c r="A10796"/>
      <c r="B10796"/>
    </row>
    <row r="10797" spans="1:2" x14ac:dyDescent="0.25">
      <c r="A10797"/>
      <c r="B10797"/>
    </row>
    <row r="10798" spans="1:2" x14ac:dyDescent="0.25">
      <c r="A10798"/>
      <c r="B10798"/>
    </row>
    <row r="10799" spans="1:2" x14ac:dyDescent="0.25">
      <c r="A10799"/>
      <c r="B10799"/>
    </row>
    <row r="10800" spans="1:2" x14ac:dyDescent="0.25">
      <c r="A10800"/>
      <c r="B10800"/>
    </row>
    <row r="10801" spans="1:2" x14ac:dyDescent="0.25">
      <c r="A10801"/>
      <c r="B10801"/>
    </row>
    <row r="10802" spans="1:2" x14ac:dyDescent="0.25">
      <c r="A10802"/>
      <c r="B10802"/>
    </row>
    <row r="10803" spans="1:2" x14ac:dyDescent="0.25">
      <c r="A10803"/>
      <c r="B10803"/>
    </row>
    <row r="10804" spans="1:2" x14ac:dyDescent="0.25">
      <c r="A10804"/>
      <c r="B10804"/>
    </row>
    <row r="10805" spans="1:2" x14ac:dyDescent="0.25">
      <c r="A10805"/>
      <c r="B10805"/>
    </row>
    <row r="10806" spans="1:2" x14ac:dyDescent="0.25">
      <c r="A10806"/>
      <c r="B10806"/>
    </row>
    <row r="10807" spans="1:2" x14ac:dyDescent="0.25">
      <c r="A10807"/>
      <c r="B10807"/>
    </row>
    <row r="10808" spans="1:2" x14ac:dyDescent="0.25">
      <c r="A10808"/>
      <c r="B10808"/>
    </row>
    <row r="10809" spans="1:2" x14ac:dyDescent="0.25">
      <c r="A10809"/>
      <c r="B10809"/>
    </row>
    <row r="10810" spans="1:2" x14ac:dyDescent="0.25">
      <c r="A10810"/>
      <c r="B10810"/>
    </row>
    <row r="10811" spans="1:2" x14ac:dyDescent="0.25">
      <c r="A10811"/>
      <c r="B10811"/>
    </row>
    <row r="10812" spans="1:2" x14ac:dyDescent="0.25">
      <c r="A10812"/>
      <c r="B10812"/>
    </row>
    <row r="10813" spans="1:2" x14ac:dyDescent="0.25">
      <c r="A10813"/>
      <c r="B10813"/>
    </row>
    <row r="10814" spans="1:2" x14ac:dyDescent="0.25">
      <c r="A10814"/>
      <c r="B10814"/>
    </row>
    <row r="10815" spans="1:2" x14ac:dyDescent="0.25">
      <c r="A10815"/>
      <c r="B10815"/>
    </row>
    <row r="10816" spans="1:2" x14ac:dyDescent="0.25">
      <c r="A10816"/>
      <c r="B10816"/>
    </row>
    <row r="10817" spans="1:2" x14ac:dyDescent="0.25">
      <c r="A10817"/>
      <c r="B10817"/>
    </row>
    <row r="10818" spans="1:2" x14ac:dyDescent="0.25">
      <c r="A10818"/>
      <c r="B10818"/>
    </row>
    <row r="10819" spans="1:2" x14ac:dyDescent="0.25">
      <c r="A10819"/>
      <c r="B10819"/>
    </row>
    <row r="10820" spans="1:2" x14ac:dyDescent="0.25">
      <c r="A10820"/>
      <c r="B10820"/>
    </row>
    <row r="10821" spans="1:2" x14ac:dyDescent="0.25">
      <c r="A10821"/>
      <c r="B10821"/>
    </row>
    <row r="10822" spans="1:2" x14ac:dyDescent="0.25">
      <c r="A10822"/>
      <c r="B10822"/>
    </row>
    <row r="10823" spans="1:2" x14ac:dyDescent="0.25">
      <c r="A10823"/>
      <c r="B10823"/>
    </row>
    <row r="10824" spans="1:2" x14ac:dyDescent="0.25">
      <c r="A10824"/>
      <c r="B10824"/>
    </row>
    <row r="10825" spans="1:2" x14ac:dyDescent="0.25">
      <c r="A10825"/>
      <c r="B10825"/>
    </row>
    <row r="10826" spans="1:2" x14ac:dyDescent="0.25">
      <c r="A10826"/>
      <c r="B10826"/>
    </row>
    <row r="10827" spans="1:2" x14ac:dyDescent="0.25">
      <c r="A10827"/>
      <c r="B10827"/>
    </row>
    <row r="10828" spans="1:2" x14ac:dyDescent="0.25">
      <c r="A10828"/>
      <c r="B10828"/>
    </row>
    <row r="10829" spans="1:2" x14ac:dyDescent="0.25">
      <c r="A10829"/>
      <c r="B10829"/>
    </row>
    <row r="10830" spans="1:2" x14ac:dyDescent="0.25">
      <c r="A10830"/>
      <c r="B10830"/>
    </row>
    <row r="10831" spans="1:2" x14ac:dyDescent="0.25">
      <c r="A10831"/>
      <c r="B10831"/>
    </row>
    <row r="10832" spans="1:2" x14ac:dyDescent="0.25">
      <c r="A10832"/>
      <c r="B10832"/>
    </row>
    <row r="10833" spans="1:2" x14ac:dyDescent="0.25">
      <c r="A10833"/>
      <c r="B10833"/>
    </row>
    <row r="10834" spans="1:2" x14ac:dyDescent="0.25">
      <c r="A10834"/>
      <c r="B10834"/>
    </row>
    <row r="10835" spans="1:2" x14ac:dyDescent="0.25">
      <c r="A10835"/>
      <c r="B10835"/>
    </row>
    <row r="10836" spans="1:2" x14ac:dyDescent="0.25">
      <c r="A10836"/>
      <c r="B10836"/>
    </row>
    <row r="10837" spans="1:2" x14ac:dyDescent="0.25">
      <c r="A10837"/>
      <c r="B10837"/>
    </row>
    <row r="10838" spans="1:2" x14ac:dyDescent="0.25">
      <c r="A10838"/>
      <c r="B10838"/>
    </row>
    <row r="10839" spans="1:2" x14ac:dyDescent="0.25">
      <c r="A10839"/>
      <c r="B10839"/>
    </row>
    <row r="10840" spans="1:2" x14ac:dyDescent="0.25">
      <c r="A10840"/>
      <c r="B10840"/>
    </row>
    <row r="10841" spans="1:2" x14ac:dyDescent="0.25">
      <c r="A10841"/>
      <c r="B10841"/>
    </row>
    <row r="10842" spans="1:2" x14ac:dyDescent="0.25">
      <c r="A10842"/>
      <c r="B10842"/>
    </row>
    <row r="10843" spans="1:2" x14ac:dyDescent="0.25">
      <c r="A10843"/>
      <c r="B10843"/>
    </row>
    <row r="10844" spans="1:2" x14ac:dyDescent="0.25">
      <c r="A10844"/>
      <c r="B10844"/>
    </row>
    <row r="10845" spans="1:2" x14ac:dyDescent="0.25">
      <c r="A10845"/>
      <c r="B10845"/>
    </row>
    <row r="10846" spans="1:2" x14ac:dyDescent="0.25">
      <c r="A10846"/>
      <c r="B10846"/>
    </row>
    <row r="10847" spans="1:2" x14ac:dyDescent="0.25">
      <c r="A10847"/>
      <c r="B10847"/>
    </row>
    <row r="10848" spans="1:2" x14ac:dyDescent="0.25">
      <c r="A10848"/>
      <c r="B10848"/>
    </row>
    <row r="10849" spans="1:2" x14ac:dyDescent="0.25">
      <c r="A10849"/>
      <c r="B10849"/>
    </row>
    <row r="10850" spans="1:2" x14ac:dyDescent="0.25">
      <c r="A10850"/>
      <c r="B10850"/>
    </row>
    <row r="10851" spans="1:2" x14ac:dyDescent="0.25">
      <c r="A10851"/>
      <c r="B10851"/>
    </row>
    <row r="10852" spans="1:2" x14ac:dyDescent="0.25">
      <c r="A10852"/>
      <c r="B10852"/>
    </row>
    <row r="10853" spans="1:2" x14ac:dyDescent="0.25">
      <c r="A10853"/>
      <c r="B10853"/>
    </row>
    <row r="10854" spans="1:2" x14ac:dyDescent="0.25">
      <c r="A10854"/>
      <c r="B10854"/>
    </row>
    <row r="10855" spans="1:2" x14ac:dyDescent="0.25">
      <c r="A10855"/>
      <c r="B10855"/>
    </row>
    <row r="10856" spans="1:2" x14ac:dyDescent="0.25">
      <c r="A10856"/>
      <c r="B10856"/>
    </row>
    <row r="10857" spans="1:2" x14ac:dyDescent="0.25">
      <c r="A10857"/>
      <c r="B10857"/>
    </row>
    <row r="10858" spans="1:2" x14ac:dyDescent="0.25">
      <c r="A10858"/>
      <c r="B10858"/>
    </row>
    <row r="10859" spans="1:2" x14ac:dyDescent="0.25">
      <c r="A10859"/>
      <c r="B10859"/>
    </row>
    <row r="10860" spans="1:2" x14ac:dyDescent="0.25">
      <c r="A10860"/>
      <c r="B10860"/>
    </row>
    <row r="10861" spans="1:2" x14ac:dyDescent="0.25">
      <c r="A10861"/>
      <c r="B10861"/>
    </row>
    <row r="10862" spans="1:2" x14ac:dyDescent="0.25">
      <c r="A10862"/>
      <c r="B10862"/>
    </row>
    <row r="10863" spans="1:2" x14ac:dyDescent="0.25">
      <c r="A10863"/>
      <c r="B10863"/>
    </row>
    <row r="10864" spans="1:2" x14ac:dyDescent="0.25">
      <c r="A10864"/>
      <c r="B10864"/>
    </row>
    <row r="10865" spans="1:2" x14ac:dyDescent="0.25">
      <c r="A10865"/>
      <c r="B10865"/>
    </row>
    <row r="10866" spans="1:2" x14ac:dyDescent="0.25">
      <c r="A10866"/>
      <c r="B10866"/>
    </row>
    <row r="10867" spans="1:2" x14ac:dyDescent="0.25">
      <c r="A10867"/>
      <c r="B10867"/>
    </row>
    <row r="10868" spans="1:2" x14ac:dyDescent="0.25">
      <c r="A10868"/>
      <c r="B10868"/>
    </row>
    <row r="10869" spans="1:2" x14ac:dyDescent="0.25">
      <c r="A10869"/>
      <c r="B10869"/>
    </row>
    <row r="10870" spans="1:2" x14ac:dyDescent="0.25">
      <c r="A10870"/>
      <c r="B10870"/>
    </row>
    <row r="10871" spans="1:2" x14ac:dyDescent="0.25">
      <c r="A10871"/>
      <c r="B10871"/>
    </row>
    <row r="10872" spans="1:2" x14ac:dyDescent="0.25">
      <c r="A10872"/>
      <c r="B10872"/>
    </row>
    <row r="10873" spans="1:2" x14ac:dyDescent="0.25">
      <c r="A10873"/>
      <c r="B10873"/>
    </row>
    <row r="10874" spans="1:2" x14ac:dyDescent="0.25">
      <c r="A10874"/>
      <c r="B10874"/>
    </row>
    <row r="10875" spans="1:2" x14ac:dyDescent="0.25">
      <c r="A10875"/>
      <c r="B10875"/>
    </row>
    <row r="10876" spans="1:2" x14ac:dyDescent="0.25">
      <c r="A10876"/>
      <c r="B10876"/>
    </row>
    <row r="10877" spans="1:2" x14ac:dyDescent="0.25">
      <c r="A10877"/>
      <c r="B10877"/>
    </row>
    <row r="10878" spans="1:2" x14ac:dyDescent="0.25">
      <c r="A10878"/>
      <c r="B10878"/>
    </row>
    <row r="10879" spans="1:2" x14ac:dyDescent="0.25">
      <c r="A10879"/>
      <c r="B10879"/>
    </row>
    <row r="10880" spans="1:2" x14ac:dyDescent="0.25">
      <c r="A10880"/>
      <c r="B10880"/>
    </row>
    <row r="10881" spans="1:2" x14ac:dyDescent="0.25">
      <c r="A10881"/>
      <c r="B10881"/>
    </row>
    <row r="10882" spans="1:2" x14ac:dyDescent="0.25">
      <c r="A10882"/>
      <c r="B10882"/>
    </row>
    <row r="10883" spans="1:2" x14ac:dyDescent="0.25">
      <c r="A10883"/>
      <c r="B10883"/>
    </row>
    <row r="10884" spans="1:2" x14ac:dyDescent="0.25">
      <c r="A10884"/>
      <c r="B10884"/>
    </row>
    <row r="10885" spans="1:2" x14ac:dyDescent="0.25">
      <c r="A10885"/>
      <c r="B10885"/>
    </row>
    <row r="10886" spans="1:2" x14ac:dyDescent="0.25">
      <c r="A10886"/>
      <c r="B10886"/>
    </row>
    <row r="10887" spans="1:2" x14ac:dyDescent="0.25">
      <c r="A10887"/>
      <c r="B10887"/>
    </row>
    <row r="10888" spans="1:2" x14ac:dyDescent="0.25">
      <c r="A10888"/>
      <c r="B10888"/>
    </row>
    <row r="10889" spans="1:2" x14ac:dyDescent="0.25">
      <c r="A10889"/>
      <c r="B10889"/>
    </row>
    <row r="10890" spans="1:2" x14ac:dyDescent="0.25">
      <c r="A10890"/>
      <c r="B10890"/>
    </row>
    <row r="10891" spans="1:2" x14ac:dyDescent="0.25">
      <c r="A10891"/>
      <c r="B10891"/>
    </row>
    <row r="10892" spans="1:2" x14ac:dyDescent="0.25">
      <c r="A10892"/>
      <c r="B10892"/>
    </row>
    <row r="10893" spans="1:2" x14ac:dyDescent="0.25">
      <c r="A10893"/>
      <c r="B10893"/>
    </row>
    <row r="10894" spans="1:2" x14ac:dyDescent="0.25">
      <c r="A10894"/>
      <c r="B10894"/>
    </row>
    <row r="10895" spans="1:2" x14ac:dyDescent="0.25">
      <c r="A10895"/>
      <c r="B10895"/>
    </row>
    <row r="10896" spans="1:2" x14ac:dyDescent="0.25">
      <c r="A10896"/>
      <c r="B10896"/>
    </row>
    <row r="10897" spans="1:2" x14ac:dyDescent="0.25">
      <c r="A10897"/>
      <c r="B10897"/>
    </row>
    <row r="10898" spans="1:2" x14ac:dyDescent="0.25">
      <c r="A10898"/>
      <c r="B10898"/>
    </row>
    <row r="10899" spans="1:2" x14ac:dyDescent="0.25">
      <c r="A10899"/>
      <c r="B10899"/>
    </row>
    <row r="10900" spans="1:2" x14ac:dyDescent="0.25">
      <c r="A10900"/>
      <c r="B10900"/>
    </row>
    <row r="10901" spans="1:2" x14ac:dyDescent="0.25">
      <c r="A10901"/>
      <c r="B10901"/>
    </row>
    <row r="10902" spans="1:2" x14ac:dyDescent="0.25">
      <c r="A10902"/>
      <c r="B10902"/>
    </row>
    <row r="10903" spans="1:2" x14ac:dyDescent="0.25">
      <c r="A10903"/>
      <c r="B10903"/>
    </row>
    <row r="10904" spans="1:2" x14ac:dyDescent="0.25">
      <c r="A10904"/>
      <c r="B10904"/>
    </row>
    <row r="10905" spans="1:2" x14ac:dyDescent="0.25">
      <c r="A10905"/>
      <c r="B10905"/>
    </row>
    <row r="10906" spans="1:2" x14ac:dyDescent="0.25">
      <c r="A10906"/>
      <c r="B10906"/>
    </row>
    <row r="10907" spans="1:2" x14ac:dyDescent="0.25">
      <c r="A10907"/>
      <c r="B10907"/>
    </row>
    <row r="10908" spans="1:2" x14ac:dyDescent="0.25">
      <c r="A10908"/>
      <c r="B10908"/>
    </row>
    <row r="10909" spans="1:2" x14ac:dyDescent="0.25">
      <c r="A10909"/>
      <c r="B10909"/>
    </row>
    <row r="10910" spans="1:2" x14ac:dyDescent="0.25">
      <c r="A10910"/>
      <c r="B10910"/>
    </row>
    <row r="10911" spans="1:2" x14ac:dyDescent="0.25">
      <c r="A10911"/>
      <c r="B10911"/>
    </row>
    <row r="10912" spans="1:2" x14ac:dyDescent="0.25">
      <c r="A10912"/>
      <c r="B10912"/>
    </row>
    <row r="10913" spans="1:2" x14ac:dyDescent="0.25">
      <c r="A10913"/>
      <c r="B10913"/>
    </row>
    <row r="10914" spans="1:2" x14ac:dyDescent="0.25">
      <c r="A10914"/>
      <c r="B10914"/>
    </row>
    <row r="10915" spans="1:2" x14ac:dyDescent="0.25">
      <c r="A10915"/>
      <c r="B10915"/>
    </row>
    <row r="10916" spans="1:2" x14ac:dyDescent="0.25">
      <c r="A10916"/>
      <c r="B10916"/>
    </row>
    <row r="10917" spans="1:2" x14ac:dyDescent="0.25">
      <c r="A10917"/>
      <c r="B10917"/>
    </row>
    <row r="10918" spans="1:2" x14ac:dyDescent="0.25">
      <c r="A10918"/>
      <c r="B10918"/>
    </row>
    <row r="10919" spans="1:2" x14ac:dyDescent="0.25">
      <c r="A10919"/>
      <c r="B10919"/>
    </row>
    <row r="10920" spans="1:2" x14ac:dyDescent="0.25">
      <c r="A10920"/>
      <c r="B10920"/>
    </row>
    <row r="10921" spans="1:2" x14ac:dyDescent="0.25">
      <c r="A10921"/>
      <c r="B10921"/>
    </row>
    <row r="10922" spans="1:2" x14ac:dyDescent="0.25">
      <c r="A10922"/>
      <c r="B10922"/>
    </row>
    <row r="10923" spans="1:2" x14ac:dyDescent="0.25">
      <c r="A10923"/>
      <c r="B10923"/>
    </row>
    <row r="10924" spans="1:2" x14ac:dyDescent="0.25">
      <c r="A10924"/>
      <c r="B10924"/>
    </row>
    <row r="10925" spans="1:2" x14ac:dyDescent="0.25">
      <c r="A10925"/>
      <c r="B10925"/>
    </row>
    <row r="10926" spans="1:2" x14ac:dyDescent="0.25">
      <c r="A10926"/>
      <c r="B10926"/>
    </row>
    <row r="10927" spans="1:2" x14ac:dyDescent="0.25">
      <c r="A10927"/>
      <c r="B10927"/>
    </row>
    <row r="10928" spans="1:2" x14ac:dyDescent="0.25">
      <c r="A10928"/>
      <c r="B10928"/>
    </row>
    <row r="10929" spans="1:2" x14ac:dyDescent="0.25">
      <c r="A10929"/>
      <c r="B10929"/>
    </row>
    <row r="10930" spans="1:2" x14ac:dyDescent="0.25">
      <c r="A10930"/>
      <c r="B10930"/>
    </row>
    <row r="10931" spans="1:2" x14ac:dyDescent="0.25">
      <c r="A10931"/>
      <c r="B10931"/>
    </row>
    <row r="10932" spans="1:2" x14ac:dyDescent="0.25">
      <c r="A10932"/>
      <c r="B10932"/>
    </row>
    <row r="10933" spans="1:2" x14ac:dyDescent="0.25">
      <c r="A10933"/>
      <c r="B10933"/>
    </row>
    <row r="10934" spans="1:2" x14ac:dyDescent="0.25">
      <c r="A10934"/>
      <c r="B10934"/>
    </row>
    <row r="10935" spans="1:2" x14ac:dyDescent="0.25">
      <c r="A10935"/>
      <c r="B10935"/>
    </row>
    <row r="10936" spans="1:2" x14ac:dyDescent="0.25">
      <c r="A10936"/>
      <c r="B10936"/>
    </row>
    <row r="10937" spans="1:2" x14ac:dyDescent="0.25">
      <c r="A10937"/>
      <c r="B10937"/>
    </row>
    <row r="10938" spans="1:2" x14ac:dyDescent="0.25">
      <c r="A10938"/>
      <c r="B10938"/>
    </row>
    <row r="10939" spans="1:2" x14ac:dyDescent="0.25">
      <c r="A10939"/>
      <c r="B10939"/>
    </row>
    <row r="10940" spans="1:2" x14ac:dyDescent="0.25">
      <c r="A10940"/>
      <c r="B10940"/>
    </row>
    <row r="10941" spans="1:2" x14ac:dyDescent="0.25">
      <c r="A10941"/>
      <c r="B10941"/>
    </row>
    <row r="10942" spans="1:2" x14ac:dyDescent="0.25">
      <c r="A10942"/>
      <c r="B10942"/>
    </row>
    <row r="10943" spans="1:2" x14ac:dyDescent="0.25">
      <c r="A10943"/>
      <c r="B10943"/>
    </row>
    <row r="10944" spans="1:2" x14ac:dyDescent="0.25">
      <c r="A10944"/>
      <c r="B10944"/>
    </row>
    <row r="10945" spans="1:2" x14ac:dyDescent="0.25">
      <c r="A10945"/>
      <c r="B10945"/>
    </row>
    <row r="10946" spans="1:2" x14ac:dyDescent="0.25">
      <c r="A10946"/>
      <c r="B10946"/>
    </row>
    <row r="10947" spans="1:2" x14ac:dyDescent="0.25">
      <c r="A10947"/>
      <c r="B10947"/>
    </row>
    <row r="10948" spans="1:2" x14ac:dyDescent="0.25">
      <c r="A10948"/>
      <c r="B10948"/>
    </row>
    <row r="10949" spans="1:2" x14ac:dyDescent="0.25">
      <c r="A10949"/>
      <c r="B10949"/>
    </row>
    <row r="10950" spans="1:2" x14ac:dyDescent="0.25">
      <c r="A10950"/>
      <c r="B10950"/>
    </row>
    <row r="10951" spans="1:2" x14ac:dyDescent="0.25">
      <c r="A10951"/>
      <c r="B10951"/>
    </row>
    <row r="10952" spans="1:2" x14ac:dyDescent="0.25">
      <c r="A10952"/>
      <c r="B10952"/>
    </row>
    <row r="10953" spans="1:2" x14ac:dyDescent="0.25">
      <c r="A10953"/>
      <c r="B10953"/>
    </row>
    <row r="10954" spans="1:2" x14ac:dyDescent="0.25">
      <c r="A10954"/>
      <c r="B10954"/>
    </row>
    <row r="10955" spans="1:2" x14ac:dyDescent="0.25">
      <c r="A10955"/>
      <c r="B10955"/>
    </row>
    <row r="10956" spans="1:2" x14ac:dyDescent="0.25">
      <c r="A10956"/>
      <c r="B10956"/>
    </row>
    <row r="10957" spans="1:2" x14ac:dyDescent="0.25">
      <c r="A10957"/>
      <c r="B10957"/>
    </row>
    <row r="10958" spans="1:2" x14ac:dyDescent="0.25">
      <c r="A10958"/>
      <c r="B10958"/>
    </row>
    <row r="10959" spans="1:2" x14ac:dyDescent="0.25">
      <c r="A10959"/>
      <c r="B10959"/>
    </row>
    <row r="10960" spans="1:2" x14ac:dyDescent="0.25">
      <c r="A10960"/>
      <c r="B10960"/>
    </row>
    <row r="10961" spans="1:2" x14ac:dyDescent="0.25">
      <c r="A10961"/>
      <c r="B10961"/>
    </row>
    <row r="10962" spans="1:2" x14ac:dyDescent="0.25">
      <c r="A10962"/>
      <c r="B10962"/>
    </row>
    <row r="10963" spans="1:2" x14ac:dyDescent="0.25">
      <c r="A10963"/>
      <c r="B10963"/>
    </row>
    <row r="10964" spans="1:2" x14ac:dyDescent="0.25">
      <c r="A10964"/>
      <c r="B10964"/>
    </row>
    <row r="10965" spans="1:2" x14ac:dyDescent="0.25">
      <c r="A10965"/>
      <c r="B10965"/>
    </row>
    <row r="10966" spans="1:2" x14ac:dyDescent="0.25">
      <c r="A10966"/>
      <c r="B10966"/>
    </row>
    <row r="10967" spans="1:2" x14ac:dyDescent="0.25">
      <c r="A10967"/>
      <c r="B10967"/>
    </row>
    <row r="10968" spans="1:2" x14ac:dyDescent="0.25">
      <c r="A10968"/>
      <c r="B10968"/>
    </row>
    <row r="10969" spans="1:2" x14ac:dyDescent="0.25">
      <c r="A10969"/>
      <c r="B10969"/>
    </row>
    <row r="10970" spans="1:2" x14ac:dyDescent="0.25">
      <c r="A10970"/>
      <c r="B10970"/>
    </row>
    <row r="10971" spans="1:2" x14ac:dyDescent="0.25">
      <c r="A10971"/>
      <c r="B10971"/>
    </row>
    <row r="10972" spans="1:2" x14ac:dyDescent="0.25">
      <c r="A10972"/>
      <c r="B10972"/>
    </row>
    <row r="10973" spans="1:2" x14ac:dyDescent="0.25">
      <c r="A10973"/>
      <c r="B10973"/>
    </row>
    <row r="10974" spans="1:2" x14ac:dyDescent="0.25">
      <c r="A10974"/>
      <c r="B10974"/>
    </row>
    <row r="10975" spans="1:2" x14ac:dyDescent="0.25">
      <c r="A10975"/>
      <c r="B10975"/>
    </row>
    <row r="10976" spans="1:2" x14ac:dyDescent="0.25">
      <c r="A10976"/>
      <c r="B10976"/>
    </row>
    <row r="10977" spans="1:2" x14ac:dyDescent="0.25">
      <c r="A10977"/>
      <c r="B10977"/>
    </row>
    <row r="10978" spans="1:2" x14ac:dyDescent="0.25">
      <c r="A10978"/>
      <c r="B10978"/>
    </row>
    <row r="10979" spans="1:2" x14ac:dyDescent="0.25">
      <c r="A10979"/>
      <c r="B10979"/>
    </row>
    <row r="10980" spans="1:2" x14ac:dyDescent="0.25">
      <c r="A10980"/>
      <c r="B10980"/>
    </row>
    <row r="10981" spans="1:2" x14ac:dyDescent="0.25">
      <c r="A10981"/>
      <c r="B10981"/>
    </row>
    <row r="10982" spans="1:2" x14ac:dyDescent="0.25">
      <c r="A10982"/>
      <c r="B10982"/>
    </row>
    <row r="10983" spans="1:2" x14ac:dyDescent="0.25">
      <c r="A10983"/>
      <c r="B10983"/>
    </row>
    <row r="10984" spans="1:2" x14ac:dyDescent="0.25">
      <c r="A10984"/>
      <c r="B10984"/>
    </row>
    <row r="10985" spans="1:2" x14ac:dyDescent="0.25">
      <c r="A10985"/>
      <c r="B10985"/>
    </row>
    <row r="10986" spans="1:2" x14ac:dyDescent="0.25">
      <c r="A10986"/>
      <c r="B10986"/>
    </row>
    <row r="10987" spans="1:2" x14ac:dyDescent="0.25">
      <c r="A10987"/>
      <c r="B10987"/>
    </row>
    <row r="10988" spans="1:2" x14ac:dyDescent="0.25">
      <c r="A10988"/>
      <c r="B10988"/>
    </row>
    <row r="10989" spans="1:2" x14ac:dyDescent="0.25">
      <c r="A10989"/>
      <c r="B10989"/>
    </row>
    <row r="10990" spans="1:2" x14ac:dyDescent="0.25">
      <c r="A10990"/>
      <c r="B10990"/>
    </row>
    <row r="10991" spans="1:2" x14ac:dyDescent="0.25">
      <c r="A10991"/>
      <c r="B10991"/>
    </row>
    <row r="10992" spans="1:2" x14ac:dyDescent="0.25">
      <c r="A10992"/>
      <c r="B10992"/>
    </row>
    <row r="10993" spans="1:2" x14ac:dyDescent="0.25">
      <c r="A10993"/>
      <c r="B10993"/>
    </row>
    <row r="10994" spans="1:2" x14ac:dyDescent="0.25">
      <c r="A10994"/>
      <c r="B10994"/>
    </row>
    <row r="10995" spans="1:2" x14ac:dyDescent="0.25">
      <c r="A10995"/>
      <c r="B10995"/>
    </row>
    <row r="10996" spans="1:2" x14ac:dyDescent="0.25">
      <c r="A10996"/>
      <c r="B10996"/>
    </row>
    <row r="10997" spans="1:2" x14ac:dyDescent="0.25">
      <c r="A10997"/>
      <c r="B10997"/>
    </row>
    <row r="10998" spans="1:2" x14ac:dyDescent="0.25">
      <c r="A10998"/>
      <c r="B10998"/>
    </row>
    <row r="10999" spans="1:2" x14ac:dyDescent="0.25">
      <c r="A10999"/>
      <c r="B10999"/>
    </row>
    <row r="11000" spans="1:2" x14ac:dyDescent="0.25">
      <c r="A11000"/>
      <c r="B11000"/>
    </row>
    <row r="11001" spans="1:2" x14ac:dyDescent="0.25">
      <c r="A11001"/>
      <c r="B11001"/>
    </row>
    <row r="11002" spans="1:2" x14ac:dyDescent="0.25">
      <c r="A11002"/>
      <c r="B11002"/>
    </row>
    <row r="11003" spans="1:2" x14ac:dyDescent="0.25">
      <c r="A11003"/>
      <c r="B11003"/>
    </row>
    <row r="11004" spans="1:2" x14ac:dyDescent="0.25">
      <c r="A11004"/>
      <c r="B11004"/>
    </row>
    <row r="11005" spans="1:2" x14ac:dyDescent="0.25">
      <c r="A11005"/>
      <c r="B11005"/>
    </row>
    <row r="11006" spans="1:2" x14ac:dyDescent="0.25">
      <c r="A11006"/>
      <c r="B11006"/>
    </row>
    <row r="11007" spans="1:2" x14ac:dyDescent="0.25">
      <c r="A11007"/>
      <c r="B11007"/>
    </row>
    <row r="11008" spans="1:2" x14ac:dyDescent="0.25">
      <c r="A11008"/>
      <c r="B11008"/>
    </row>
    <row r="11009" spans="1:2" x14ac:dyDescent="0.25">
      <c r="A11009"/>
      <c r="B11009"/>
    </row>
    <row r="11010" spans="1:2" x14ac:dyDescent="0.25">
      <c r="A11010"/>
      <c r="B11010"/>
    </row>
    <row r="11011" spans="1:2" x14ac:dyDescent="0.25">
      <c r="A11011"/>
      <c r="B11011"/>
    </row>
    <row r="11012" spans="1:2" x14ac:dyDescent="0.25">
      <c r="A11012"/>
      <c r="B11012"/>
    </row>
    <row r="11013" spans="1:2" x14ac:dyDescent="0.25">
      <c r="A11013"/>
      <c r="B11013"/>
    </row>
    <row r="11014" spans="1:2" x14ac:dyDescent="0.25">
      <c r="A11014"/>
      <c r="B11014"/>
    </row>
    <row r="11015" spans="1:2" x14ac:dyDescent="0.25">
      <c r="A11015"/>
      <c r="B11015"/>
    </row>
    <row r="11016" spans="1:2" x14ac:dyDescent="0.25">
      <c r="A11016"/>
      <c r="B11016"/>
    </row>
    <row r="11017" spans="1:2" x14ac:dyDescent="0.25">
      <c r="A11017"/>
      <c r="B11017"/>
    </row>
    <row r="11018" spans="1:2" x14ac:dyDescent="0.25">
      <c r="A11018"/>
      <c r="B11018"/>
    </row>
    <row r="11019" spans="1:2" x14ac:dyDescent="0.25">
      <c r="A11019"/>
      <c r="B11019"/>
    </row>
    <row r="11020" spans="1:2" x14ac:dyDescent="0.25">
      <c r="A11020"/>
      <c r="B11020"/>
    </row>
    <row r="11021" spans="1:2" x14ac:dyDescent="0.25">
      <c r="A11021"/>
      <c r="B11021"/>
    </row>
    <row r="11022" spans="1:2" x14ac:dyDescent="0.25">
      <c r="A11022"/>
      <c r="B11022"/>
    </row>
    <row r="11023" spans="1:2" x14ac:dyDescent="0.25">
      <c r="A11023"/>
      <c r="B11023"/>
    </row>
    <row r="11024" spans="1:2" x14ac:dyDescent="0.25">
      <c r="A11024"/>
      <c r="B11024"/>
    </row>
    <row r="11025" spans="1:2" x14ac:dyDescent="0.25">
      <c r="A11025"/>
      <c r="B11025"/>
    </row>
    <row r="11026" spans="1:2" x14ac:dyDescent="0.25">
      <c r="A11026"/>
      <c r="B11026"/>
    </row>
    <row r="11027" spans="1:2" x14ac:dyDescent="0.25">
      <c r="A11027"/>
      <c r="B11027"/>
    </row>
    <row r="11028" spans="1:2" x14ac:dyDescent="0.25">
      <c r="A11028"/>
      <c r="B11028"/>
    </row>
    <row r="11029" spans="1:2" x14ac:dyDescent="0.25">
      <c r="A11029"/>
      <c r="B11029"/>
    </row>
    <row r="11030" spans="1:2" x14ac:dyDescent="0.25">
      <c r="A11030"/>
      <c r="B11030"/>
    </row>
    <row r="11031" spans="1:2" x14ac:dyDescent="0.25">
      <c r="A11031"/>
      <c r="B11031"/>
    </row>
    <row r="11032" spans="1:2" x14ac:dyDescent="0.25">
      <c r="A11032"/>
      <c r="B11032"/>
    </row>
    <row r="11033" spans="1:2" x14ac:dyDescent="0.25">
      <c r="A11033"/>
      <c r="B11033"/>
    </row>
    <row r="11034" spans="1:2" x14ac:dyDescent="0.25">
      <c r="A11034"/>
      <c r="B11034"/>
    </row>
    <row r="11035" spans="1:2" x14ac:dyDescent="0.25">
      <c r="A11035"/>
      <c r="B11035"/>
    </row>
    <row r="11036" spans="1:2" x14ac:dyDescent="0.25">
      <c r="A11036"/>
      <c r="B11036"/>
    </row>
    <row r="11037" spans="1:2" x14ac:dyDescent="0.25">
      <c r="A11037"/>
      <c r="B11037"/>
    </row>
    <row r="11038" spans="1:2" x14ac:dyDescent="0.25">
      <c r="A11038"/>
      <c r="B11038"/>
    </row>
    <row r="11039" spans="1:2" x14ac:dyDescent="0.25">
      <c r="A11039"/>
      <c r="B11039"/>
    </row>
    <row r="11040" spans="1:2" x14ac:dyDescent="0.25">
      <c r="A11040"/>
      <c r="B11040"/>
    </row>
    <row r="11041" spans="1:2" x14ac:dyDescent="0.25">
      <c r="A11041"/>
      <c r="B11041"/>
    </row>
    <row r="11042" spans="1:2" x14ac:dyDescent="0.25">
      <c r="A11042"/>
      <c r="B11042"/>
    </row>
    <row r="11043" spans="1:2" x14ac:dyDescent="0.25">
      <c r="A11043"/>
      <c r="B11043"/>
    </row>
    <row r="11044" spans="1:2" x14ac:dyDescent="0.25">
      <c r="A11044"/>
      <c r="B11044"/>
    </row>
    <row r="11045" spans="1:2" x14ac:dyDescent="0.25">
      <c r="A11045"/>
      <c r="B11045"/>
    </row>
    <row r="11046" spans="1:2" x14ac:dyDescent="0.25">
      <c r="A11046"/>
      <c r="B11046"/>
    </row>
    <row r="11047" spans="1:2" x14ac:dyDescent="0.25">
      <c r="A11047"/>
      <c r="B11047"/>
    </row>
    <row r="11048" spans="1:2" x14ac:dyDescent="0.25">
      <c r="A11048"/>
      <c r="B11048"/>
    </row>
    <row r="11049" spans="1:2" x14ac:dyDescent="0.25">
      <c r="A11049"/>
      <c r="B11049"/>
    </row>
    <row r="11050" spans="1:2" x14ac:dyDescent="0.25">
      <c r="A11050"/>
      <c r="B11050"/>
    </row>
    <row r="11051" spans="1:2" x14ac:dyDescent="0.25">
      <c r="A11051"/>
      <c r="B11051"/>
    </row>
    <row r="11052" spans="1:2" x14ac:dyDescent="0.25">
      <c r="A11052"/>
      <c r="B11052"/>
    </row>
    <row r="11053" spans="1:2" x14ac:dyDescent="0.25">
      <c r="A11053"/>
      <c r="B11053"/>
    </row>
    <row r="11054" spans="1:2" x14ac:dyDescent="0.25">
      <c r="A11054"/>
      <c r="B11054"/>
    </row>
    <row r="11055" spans="1:2" x14ac:dyDescent="0.25">
      <c r="A11055"/>
      <c r="B11055"/>
    </row>
    <row r="11056" spans="1:2" x14ac:dyDescent="0.25">
      <c r="A11056"/>
      <c r="B11056"/>
    </row>
    <row r="11057" spans="1:2" x14ac:dyDescent="0.25">
      <c r="A11057"/>
      <c r="B11057"/>
    </row>
    <row r="11058" spans="1:2" x14ac:dyDescent="0.25">
      <c r="A11058"/>
      <c r="B11058"/>
    </row>
    <row r="11059" spans="1:2" x14ac:dyDescent="0.25">
      <c r="A11059"/>
      <c r="B11059"/>
    </row>
    <row r="11060" spans="1:2" x14ac:dyDescent="0.25">
      <c r="A11060"/>
      <c r="B11060"/>
    </row>
    <row r="11061" spans="1:2" x14ac:dyDescent="0.25">
      <c r="A11061"/>
      <c r="B11061"/>
    </row>
    <row r="11062" spans="1:2" x14ac:dyDescent="0.25">
      <c r="A11062"/>
      <c r="B11062"/>
    </row>
    <row r="11063" spans="1:2" x14ac:dyDescent="0.25">
      <c r="A11063"/>
      <c r="B11063"/>
    </row>
    <row r="11064" spans="1:2" x14ac:dyDescent="0.25">
      <c r="A11064"/>
      <c r="B11064"/>
    </row>
    <row r="11065" spans="1:2" x14ac:dyDescent="0.25">
      <c r="A11065"/>
      <c r="B11065"/>
    </row>
    <row r="11066" spans="1:2" x14ac:dyDescent="0.25">
      <c r="A11066"/>
      <c r="B11066"/>
    </row>
    <row r="11067" spans="1:2" x14ac:dyDescent="0.25">
      <c r="A11067"/>
      <c r="B11067"/>
    </row>
    <row r="11068" spans="1:2" x14ac:dyDescent="0.25">
      <c r="A11068"/>
      <c r="B11068"/>
    </row>
    <row r="11069" spans="1:2" x14ac:dyDescent="0.25">
      <c r="A11069"/>
      <c r="B11069"/>
    </row>
    <row r="11070" spans="1:2" x14ac:dyDescent="0.25">
      <c r="A11070"/>
      <c r="B11070"/>
    </row>
    <row r="11071" spans="1:2" x14ac:dyDescent="0.25">
      <c r="A11071"/>
      <c r="B11071"/>
    </row>
    <row r="11072" spans="1:2" x14ac:dyDescent="0.25">
      <c r="A11072"/>
      <c r="B11072"/>
    </row>
    <row r="11073" spans="1:2" x14ac:dyDescent="0.25">
      <c r="A11073"/>
      <c r="B11073"/>
    </row>
    <row r="11074" spans="1:2" x14ac:dyDescent="0.25">
      <c r="A11074"/>
      <c r="B11074"/>
    </row>
    <row r="11075" spans="1:2" x14ac:dyDescent="0.25">
      <c r="A11075"/>
      <c r="B11075"/>
    </row>
    <row r="11076" spans="1:2" x14ac:dyDescent="0.25">
      <c r="A11076"/>
      <c r="B11076"/>
    </row>
    <row r="11077" spans="1:2" x14ac:dyDescent="0.25">
      <c r="A11077"/>
      <c r="B11077"/>
    </row>
    <row r="11078" spans="1:2" x14ac:dyDescent="0.25">
      <c r="A11078"/>
      <c r="B11078"/>
    </row>
    <row r="11079" spans="1:2" x14ac:dyDescent="0.25">
      <c r="A11079"/>
      <c r="B11079"/>
    </row>
    <row r="11080" spans="1:2" x14ac:dyDescent="0.25">
      <c r="A11080"/>
      <c r="B11080"/>
    </row>
    <row r="11081" spans="1:2" x14ac:dyDescent="0.25">
      <c r="A11081"/>
      <c r="B11081"/>
    </row>
    <row r="11082" spans="1:2" x14ac:dyDescent="0.25">
      <c r="A11082"/>
      <c r="B11082"/>
    </row>
    <row r="11083" spans="1:2" x14ac:dyDescent="0.25">
      <c r="A11083"/>
      <c r="B11083"/>
    </row>
    <row r="11084" spans="1:2" x14ac:dyDescent="0.25">
      <c r="A11084"/>
      <c r="B11084"/>
    </row>
    <row r="11085" spans="1:2" x14ac:dyDescent="0.25">
      <c r="A11085"/>
      <c r="B11085"/>
    </row>
    <row r="11086" spans="1:2" x14ac:dyDescent="0.25">
      <c r="A11086"/>
      <c r="B11086"/>
    </row>
    <row r="11087" spans="1:2" x14ac:dyDescent="0.25">
      <c r="A11087"/>
      <c r="B11087"/>
    </row>
    <row r="11088" spans="1:2" x14ac:dyDescent="0.25">
      <c r="A11088"/>
      <c r="B11088"/>
    </row>
    <row r="11089" spans="1:2" x14ac:dyDescent="0.25">
      <c r="A11089"/>
      <c r="B11089"/>
    </row>
    <row r="11090" spans="1:2" x14ac:dyDescent="0.25">
      <c r="A11090"/>
      <c r="B11090"/>
    </row>
    <row r="11091" spans="1:2" x14ac:dyDescent="0.25">
      <c r="A11091"/>
      <c r="B11091"/>
    </row>
    <row r="11092" spans="1:2" x14ac:dyDescent="0.25">
      <c r="A11092"/>
      <c r="B11092"/>
    </row>
    <row r="11093" spans="1:2" x14ac:dyDescent="0.25">
      <c r="A11093"/>
      <c r="B11093"/>
    </row>
    <row r="11094" spans="1:2" x14ac:dyDescent="0.25">
      <c r="A11094"/>
      <c r="B11094"/>
    </row>
    <row r="11095" spans="1:2" x14ac:dyDescent="0.25">
      <c r="A11095"/>
      <c r="B11095"/>
    </row>
    <row r="11096" spans="1:2" x14ac:dyDescent="0.25">
      <c r="A11096"/>
      <c r="B11096"/>
    </row>
    <row r="11097" spans="1:2" x14ac:dyDescent="0.25">
      <c r="A11097"/>
      <c r="B11097"/>
    </row>
    <row r="11098" spans="1:2" x14ac:dyDescent="0.25">
      <c r="A11098"/>
      <c r="B11098"/>
    </row>
    <row r="11099" spans="1:2" x14ac:dyDescent="0.25">
      <c r="A11099"/>
      <c r="B11099"/>
    </row>
    <row r="11100" spans="1:2" x14ac:dyDescent="0.25">
      <c r="A11100"/>
      <c r="B11100"/>
    </row>
    <row r="11101" spans="1:2" x14ac:dyDescent="0.25">
      <c r="A11101"/>
      <c r="B11101"/>
    </row>
    <row r="11102" spans="1:2" x14ac:dyDescent="0.25">
      <c r="A11102"/>
      <c r="B11102"/>
    </row>
    <row r="11103" spans="1:2" x14ac:dyDescent="0.25">
      <c r="A11103"/>
      <c r="B11103"/>
    </row>
    <row r="11104" spans="1:2" x14ac:dyDescent="0.25">
      <c r="A11104"/>
      <c r="B11104"/>
    </row>
    <row r="11105" spans="1:2" x14ac:dyDescent="0.25">
      <c r="A11105"/>
      <c r="B11105"/>
    </row>
    <row r="11106" spans="1:2" x14ac:dyDescent="0.25">
      <c r="A11106"/>
      <c r="B11106"/>
    </row>
    <row r="11107" spans="1:2" x14ac:dyDescent="0.25">
      <c r="A11107"/>
      <c r="B11107"/>
    </row>
    <row r="11108" spans="1:2" x14ac:dyDescent="0.25">
      <c r="A11108"/>
      <c r="B11108"/>
    </row>
    <row r="11109" spans="1:2" x14ac:dyDescent="0.25">
      <c r="A11109"/>
      <c r="B11109"/>
    </row>
    <row r="11110" spans="1:2" x14ac:dyDescent="0.25">
      <c r="A11110"/>
      <c r="B11110"/>
    </row>
    <row r="11111" spans="1:2" x14ac:dyDescent="0.25">
      <c r="A11111"/>
      <c r="B11111"/>
    </row>
    <row r="11112" spans="1:2" x14ac:dyDescent="0.25">
      <c r="A11112"/>
      <c r="B11112"/>
    </row>
    <row r="11113" spans="1:2" x14ac:dyDescent="0.25">
      <c r="A11113"/>
      <c r="B11113"/>
    </row>
    <row r="11114" spans="1:2" x14ac:dyDescent="0.25">
      <c r="A11114"/>
      <c r="B11114"/>
    </row>
    <row r="11115" spans="1:2" x14ac:dyDescent="0.25">
      <c r="A11115"/>
      <c r="B11115"/>
    </row>
    <row r="11116" spans="1:2" x14ac:dyDescent="0.25">
      <c r="A11116"/>
      <c r="B11116"/>
    </row>
    <row r="11117" spans="1:2" x14ac:dyDescent="0.25">
      <c r="A11117"/>
      <c r="B11117"/>
    </row>
    <row r="11118" spans="1:2" x14ac:dyDescent="0.25">
      <c r="A11118"/>
      <c r="B11118"/>
    </row>
    <row r="11119" spans="1:2" x14ac:dyDescent="0.25">
      <c r="A11119"/>
      <c r="B11119"/>
    </row>
    <row r="11120" spans="1:2" x14ac:dyDescent="0.25">
      <c r="A11120"/>
      <c r="B11120"/>
    </row>
    <row r="11121" spans="1:2" x14ac:dyDescent="0.25">
      <c r="A11121"/>
      <c r="B11121"/>
    </row>
    <row r="11122" spans="1:2" x14ac:dyDescent="0.25">
      <c r="A11122"/>
      <c r="B11122"/>
    </row>
    <row r="11123" spans="1:2" x14ac:dyDescent="0.25">
      <c r="A11123"/>
      <c r="B11123"/>
    </row>
    <row r="11124" spans="1:2" x14ac:dyDescent="0.25">
      <c r="A11124"/>
      <c r="B11124"/>
    </row>
    <row r="11125" spans="1:2" x14ac:dyDescent="0.25">
      <c r="A11125"/>
      <c r="B11125"/>
    </row>
    <row r="11126" spans="1:2" x14ac:dyDescent="0.25">
      <c r="A11126"/>
      <c r="B11126"/>
    </row>
    <row r="11127" spans="1:2" x14ac:dyDescent="0.25">
      <c r="A11127"/>
      <c r="B11127"/>
    </row>
    <row r="11128" spans="1:2" x14ac:dyDescent="0.25">
      <c r="A11128"/>
      <c r="B11128"/>
    </row>
    <row r="11129" spans="1:2" x14ac:dyDescent="0.25">
      <c r="A11129"/>
      <c r="B11129"/>
    </row>
    <row r="11130" spans="1:2" x14ac:dyDescent="0.25">
      <c r="A11130"/>
      <c r="B11130"/>
    </row>
    <row r="11131" spans="1:2" x14ac:dyDescent="0.25">
      <c r="A11131"/>
      <c r="B11131"/>
    </row>
    <row r="11132" spans="1:2" x14ac:dyDescent="0.25">
      <c r="A11132"/>
      <c r="B11132"/>
    </row>
    <row r="11133" spans="1:2" x14ac:dyDescent="0.25">
      <c r="A11133"/>
      <c r="B11133"/>
    </row>
    <row r="11134" spans="1:2" x14ac:dyDescent="0.25">
      <c r="A11134"/>
      <c r="B11134"/>
    </row>
    <row r="11135" spans="1:2" x14ac:dyDescent="0.25">
      <c r="A11135"/>
      <c r="B11135"/>
    </row>
    <row r="11136" spans="1:2" x14ac:dyDescent="0.25">
      <c r="A11136"/>
      <c r="B11136"/>
    </row>
    <row r="11137" spans="1:2" x14ac:dyDescent="0.25">
      <c r="A11137"/>
      <c r="B11137"/>
    </row>
    <row r="11138" spans="1:2" x14ac:dyDescent="0.25">
      <c r="A11138"/>
      <c r="B11138"/>
    </row>
    <row r="11139" spans="1:2" x14ac:dyDescent="0.25">
      <c r="A11139"/>
      <c r="B11139"/>
    </row>
    <row r="11140" spans="1:2" x14ac:dyDescent="0.25">
      <c r="A11140"/>
      <c r="B11140"/>
    </row>
    <row r="11141" spans="1:2" x14ac:dyDescent="0.25">
      <c r="A11141"/>
      <c r="B11141"/>
    </row>
    <row r="11142" spans="1:2" x14ac:dyDescent="0.25">
      <c r="A11142"/>
      <c r="B11142"/>
    </row>
    <row r="11143" spans="1:2" x14ac:dyDescent="0.25">
      <c r="A11143"/>
      <c r="B11143"/>
    </row>
    <row r="11144" spans="1:2" x14ac:dyDescent="0.25">
      <c r="A11144"/>
      <c r="B11144"/>
    </row>
    <row r="11145" spans="1:2" x14ac:dyDescent="0.25">
      <c r="A11145"/>
      <c r="B11145"/>
    </row>
    <row r="11146" spans="1:2" x14ac:dyDescent="0.25">
      <c r="A11146"/>
      <c r="B11146"/>
    </row>
    <row r="11147" spans="1:2" x14ac:dyDescent="0.25">
      <c r="A11147"/>
      <c r="B11147"/>
    </row>
    <row r="11148" spans="1:2" x14ac:dyDescent="0.25">
      <c r="A11148"/>
      <c r="B11148"/>
    </row>
    <row r="11149" spans="1:2" x14ac:dyDescent="0.25">
      <c r="A11149"/>
      <c r="B11149"/>
    </row>
    <row r="11150" spans="1:2" x14ac:dyDescent="0.25">
      <c r="A11150"/>
      <c r="B11150"/>
    </row>
    <row r="11151" spans="1:2" x14ac:dyDescent="0.25">
      <c r="A11151"/>
      <c r="B11151"/>
    </row>
    <row r="11152" spans="1:2" x14ac:dyDescent="0.25">
      <c r="A11152"/>
      <c r="B11152"/>
    </row>
    <row r="11153" spans="1:2" x14ac:dyDescent="0.25">
      <c r="A11153"/>
      <c r="B11153"/>
    </row>
    <row r="11154" spans="1:2" x14ac:dyDescent="0.25">
      <c r="A11154"/>
      <c r="B11154"/>
    </row>
    <row r="11155" spans="1:2" x14ac:dyDescent="0.25">
      <c r="A11155"/>
      <c r="B11155"/>
    </row>
    <row r="11156" spans="1:2" x14ac:dyDescent="0.25">
      <c r="A11156"/>
      <c r="B11156"/>
    </row>
    <row r="11157" spans="1:2" x14ac:dyDescent="0.25">
      <c r="A11157"/>
      <c r="B11157"/>
    </row>
    <row r="11158" spans="1:2" x14ac:dyDescent="0.25">
      <c r="A11158"/>
      <c r="B11158"/>
    </row>
    <row r="11159" spans="1:2" x14ac:dyDescent="0.25">
      <c r="A11159"/>
      <c r="B11159"/>
    </row>
    <row r="11160" spans="1:2" x14ac:dyDescent="0.25">
      <c r="A11160"/>
      <c r="B11160"/>
    </row>
    <row r="11161" spans="1:2" x14ac:dyDescent="0.25">
      <c r="A11161"/>
      <c r="B11161"/>
    </row>
    <row r="11162" spans="1:2" x14ac:dyDescent="0.25">
      <c r="A11162"/>
      <c r="B11162"/>
    </row>
    <row r="11163" spans="1:2" x14ac:dyDescent="0.25">
      <c r="A11163"/>
      <c r="B11163"/>
    </row>
    <row r="11164" spans="1:2" x14ac:dyDescent="0.25">
      <c r="A11164"/>
      <c r="B11164"/>
    </row>
    <row r="11165" spans="1:2" x14ac:dyDescent="0.25">
      <c r="A11165"/>
      <c r="B11165"/>
    </row>
    <row r="11166" spans="1:2" x14ac:dyDescent="0.25">
      <c r="A11166"/>
      <c r="B11166"/>
    </row>
    <row r="11167" spans="1:2" x14ac:dyDescent="0.25">
      <c r="A11167"/>
      <c r="B11167"/>
    </row>
    <row r="11168" spans="1:2" x14ac:dyDescent="0.25">
      <c r="A11168"/>
      <c r="B11168"/>
    </row>
    <row r="11169" spans="1:2" x14ac:dyDescent="0.25">
      <c r="A11169"/>
      <c r="B11169"/>
    </row>
    <row r="11170" spans="1:2" x14ac:dyDescent="0.25">
      <c r="A11170"/>
      <c r="B11170"/>
    </row>
    <row r="11171" spans="1:2" x14ac:dyDescent="0.25">
      <c r="A11171"/>
      <c r="B11171"/>
    </row>
    <row r="11172" spans="1:2" x14ac:dyDescent="0.25">
      <c r="A11172"/>
      <c r="B11172"/>
    </row>
    <row r="11173" spans="1:2" x14ac:dyDescent="0.25">
      <c r="A11173"/>
      <c r="B11173"/>
    </row>
    <row r="11174" spans="1:2" x14ac:dyDescent="0.25">
      <c r="A11174"/>
      <c r="B11174"/>
    </row>
    <row r="11175" spans="1:2" x14ac:dyDescent="0.25">
      <c r="A11175"/>
      <c r="B11175"/>
    </row>
    <row r="11176" spans="1:2" x14ac:dyDescent="0.25">
      <c r="A11176"/>
      <c r="B11176"/>
    </row>
    <row r="11177" spans="1:2" x14ac:dyDescent="0.25">
      <c r="A11177"/>
      <c r="B11177"/>
    </row>
    <row r="11178" spans="1:2" x14ac:dyDescent="0.25">
      <c r="A11178"/>
      <c r="B11178"/>
    </row>
    <row r="11179" spans="1:2" x14ac:dyDescent="0.25">
      <c r="A11179"/>
      <c r="B11179"/>
    </row>
    <row r="11180" spans="1:2" x14ac:dyDescent="0.25">
      <c r="A11180"/>
      <c r="B11180"/>
    </row>
    <row r="11181" spans="1:2" x14ac:dyDescent="0.25">
      <c r="A11181"/>
      <c r="B11181"/>
    </row>
    <row r="11182" spans="1:2" x14ac:dyDescent="0.25">
      <c r="A11182"/>
      <c r="B11182"/>
    </row>
    <row r="11183" spans="1:2" x14ac:dyDescent="0.25">
      <c r="A11183"/>
      <c r="B11183"/>
    </row>
    <row r="11184" spans="1:2" x14ac:dyDescent="0.25">
      <c r="A11184"/>
      <c r="B11184"/>
    </row>
    <row r="11185" spans="1:2" x14ac:dyDescent="0.25">
      <c r="A11185"/>
      <c r="B11185"/>
    </row>
    <row r="11186" spans="1:2" x14ac:dyDescent="0.25">
      <c r="A11186"/>
      <c r="B11186"/>
    </row>
    <row r="11187" spans="1:2" x14ac:dyDescent="0.25">
      <c r="A11187"/>
      <c r="B11187"/>
    </row>
    <row r="11188" spans="1:2" x14ac:dyDescent="0.25">
      <c r="A11188"/>
      <c r="B11188"/>
    </row>
    <row r="11189" spans="1:2" x14ac:dyDescent="0.25">
      <c r="A11189"/>
      <c r="B11189"/>
    </row>
    <row r="11190" spans="1:2" x14ac:dyDescent="0.25">
      <c r="A11190"/>
      <c r="B11190"/>
    </row>
    <row r="11191" spans="1:2" x14ac:dyDescent="0.25">
      <c r="A11191"/>
      <c r="B11191"/>
    </row>
    <row r="11192" spans="1:2" x14ac:dyDescent="0.25">
      <c r="A11192"/>
      <c r="B11192"/>
    </row>
    <row r="11193" spans="1:2" x14ac:dyDescent="0.25">
      <c r="A11193"/>
      <c r="B11193"/>
    </row>
    <row r="11194" spans="1:2" x14ac:dyDescent="0.25">
      <c r="A11194"/>
      <c r="B11194"/>
    </row>
    <row r="11195" spans="1:2" x14ac:dyDescent="0.25">
      <c r="A11195"/>
      <c r="B11195"/>
    </row>
    <row r="11196" spans="1:2" x14ac:dyDescent="0.25">
      <c r="A11196"/>
      <c r="B11196"/>
    </row>
    <row r="11197" spans="1:2" x14ac:dyDescent="0.25">
      <c r="A11197"/>
      <c r="B11197"/>
    </row>
    <row r="11198" spans="1:2" x14ac:dyDescent="0.25">
      <c r="A11198"/>
      <c r="B11198"/>
    </row>
    <row r="11199" spans="1:2" x14ac:dyDescent="0.25">
      <c r="A11199"/>
      <c r="B11199"/>
    </row>
    <row r="11200" spans="1:2" x14ac:dyDescent="0.25">
      <c r="A11200"/>
      <c r="B11200"/>
    </row>
    <row r="11201" spans="1:2" x14ac:dyDescent="0.25">
      <c r="A11201"/>
      <c r="B11201"/>
    </row>
    <row r="11202" spans="1:2" x14ac:dyDescent="0.25">
      <c r="A11202"/>
      <c r="B11202"/>
    </row>
    <row r="11203" spans="1:2" x14ac:dyDescent="0.25">
      <c r="A11203"/>
      <c r="B11203"/>
    </row>
    <row r="11204" spans="1:2" x14ac:dyDescent="0.25">
      <c r="A11204"/>
      <c r="B11204"/>
    </row>
    <row r="11205" spans="1:2" x14ac:dyDescent="0.25">
      <c r="A11205"/>
      <c r="B11205"/>
    </row>
    <row r="11206" spans="1:2" x14ac:dyDescent="0.25">
      <c r="A11206"/>
      <c r="B11206"/>
    </row>
    <row r="11207" spans="1:2" x14ac:dyDescent="0.25">
      <c r="A11207"/>
      <c r="B11207"/>
    </row>
    <row r="11208" spans="1:2" x14ac:dyDescent="0.25">
      <c r="A11208"/>
      <c r="B11208"/>
    </row>
    <row r="11209" spans="1:2" x14ac:dyDescent="0.25">
      <c r="A11209"/>
      <c r="B11209"/>
    </row>
    <row r="11210" spans="1:2" x14ac:dyDescent="0.25">
      <c r="A11210"/>
      <c r="B11210"/>
    </row>
    <row r="11211" spans="1:2" x14ac:dyDescent="0.25">
      <c r="A11211"/>
      <c r="B11211"/>
    </row>
    <row r="11212" spans="1:2" x14ac:dyDescent="0.25">
      <c r="A11212"/>
      <c r="B11212"/>
    </row>
    <row r="11213" spans="1:2" x14ac:dyDescent="0.25">
      <c r="A11213"/>
      <c r="B11213"/>
    </row>
    <row r="11214" spans="1:2" x14ac:dyDescent="0.25">
      <c r="A11214"/>
      <c r="B11214"/>
    </row>
    <row r="11215" spans="1:2" x14ac:dyDescent="0.25">
      <c r="A11215"/>
      <c r="B11215"/>
    </row>
    <row r="11216" spans="1:2" x14ac:dyDescent="0.25">
      <c r="A11216"/>
      <c r="B11216"/>
    </row>
    <row r="11217" spans="1:2" x14ac:dyDescent="0.25">
      <c r="A11217"/>
      <c r="B11217"/>
    </row>
    <row r="11218" spans="1:2" x14ac:dyDescent="0.25">
      <c r="A11218"/>
      <c r="B11218"/>
    </row>
    <row r="11219" spans="1:2" x14ac:dyDescent="0.25">
      <c r="A11219"/>
      <c r="B11219"/>
    </row>
    <row r="11220" spans="1:2" x14ac:dyDescent="0.25">
      <c r="A11220"/>
      <c r="B11220"/>
    </row>
    <row r="11221" spans="1:2" x14ac:dyDescent="0.25">
      <c r="A11221"/>
      <c r="B11221"/>
    </row>
    <row r="11222" spans="1:2" x14ac:dyDescent="0.25">
      <c r="A11222"/>
      <c r="B11222"/>
    </row>
    <row r="11223" spans="1:2" x14ac:dyDescent="0.25">
      <c r="A11223"/>
      <c r="B11223"/>
    </row>
    <row r="11224" spans="1:2" x14ac:dyDescent="0.25">
      <c r="A11224"/>
      <c r="B11224"/>
    </row>
    <row r="11225" spans="1:2" x14ac:dyDescent="0.25">
      <c r="A11225"/>
      <c r="B11225"/>
    </row>
    <row r="11226" spans="1:2" x14ac:dyDescent="0.25">
      <c r="A11226"/>
      <c r="B11226"/>
    </row>
    <row r="11227" spans="1:2" x14ac:dyDescent="0.25">
      <c r="A11227"/>
      <c r="B11227"/>
    </row>
    <row r="11228" spans="1:2" x14ac:dyDescent="0.25">
      <c r="A11228"/>
      <c r="B11228"/>
    </row>
    <row r="11229" spans="1:2" x14ac:dyDescent="0.25">
      <c r="A11229"/>
      <c r="B11229"/>
    </row>
    <row r="11230" spans="1:2" x14ac:dyDescent="0.25">
      <c r="A11230"/>
      <c r="B11230"/>
    </row>
    <row r="11231" spans="1:2" x14ac:dyDescent="0.25">
      <c r="A11231"/>
      <c r="B11231"/>
    </row>
    <row r="11232" spans="1:2" x14ac:dyDescent="0.25">
      <c r="A11232"/>
      <c r="B11232"/>
    </row>
    <row r="11233" spans="1:2" x14ac:dyDescent="0.25">
      <c r="A11233"/>
      <c r="B11233"/>
    </row>
    <row r="11234" spans="1:2" x14ac:dyDescent="0.25">
      <c r="A11234"/>
      <c r="B11234"/>
    </row>
    <row r="11235" spans="1:2" x14ac:dyDescent="0.25">
      <c r="A11235"/>
      <c r="B11235"/>
    </row>
    <row r="11236" spans="1:2" x14ac:dyDescent="0.25">
      <c r="A11236"/>
      <c r="B11236"/>
    </row>
    <row r="11237" spans="1:2" x14ac:dyDescent="0.25">
      <c r="A11237"/>
      <c r="B11237"/>
    </row>
    <row r="11238" spans="1:2" x14ac:dyDescent="0.25">
      <c r="A11238"/>
      <c r="B11238"/>
    </row>
    <row r="11239" spans="1:2" x14ac:dyDescent="0.25">
      <c r="A11239"/>
      <c r="B11239"/>
    </row>
    <row r="11240" spans="1:2" x14ac:dyDescent="0.25">
      <c r="A11240"/>
      <c r="B11240"/>
    </row>
    <row r="11241" spans="1:2" x14ac:dyDescent="0.25">
      <c r="A11241"/>
      <c r="B11241"/>
    </row>
    <row r="11242" spans="1:2" x14ac:dyDescent="0.25">
      <c r="A11242"/>
      <c r="B11242"/>
    </row>
    <row r="11243" spans="1:2" x14ac:dyDescent="0.25">
      <c r="A11243"/>
      <c r="B11243"/>
    </row>
    <row r="11244" spans="1:2" x14ac:dyDescent="0.25">
      <c r="A11244"/>
      <c r="B11244"/>
    </row>
    <row r="11245" spans="1:2" x14ac:dyDescent="0.25">
      <c r="A11245"/>
      <c r="B11245"/>
    </row>
    <row r="11246" spans="1:2" x14ac:dyDescent="0.25">
      <c r="A11246"/>
      <c r="B11246"/>
    </row>
    <row r="11247" spans="1:2" x14ac:dyDescent="0.25">
      <c r="A11247"/>
      <c r="B11247"/>
    </row>
    <row r="11248" spans="1:2" x14ac:dyDescent="0.25">
      <c r="A11248"/>
      <c r="B11248"/>
    </row>
    <row r="11249" spans="1:2" x14ac:dyDescent="0.25">
      <c r="A11249"/>
      <c r="B11249"/>
    </row>
    <row r="11250" spans="1:2" x14ac:dyDescent="0.25">
      <c r="A11250"/>
      <c r="B11250"/>
    </row>
    <row r="11251" spans="1:2" x14ac:dyDescent="0.25">
      <c r="A11251"/>
      <c r="B11251"/>
    </row>
    <row r="11252" spans="1:2" x14ac:dyDescent="0.25">
      <c r="A11252"/>
      <c r="B11252"/>
    </row>
    <row r="11253" spans="1:2" x14ac:dyDescent="0.25">
      <c r="A11253"/>
      <c r="B11253"/>
    </row>
    <row r="11254" spans="1:2" x14ac:dyDescent="0.25">
      <c r="A11254"/>
      <c r="B11254"/>
    </row>
    <row r="11255" spans="1:2" x14ac:dyDescent="0.25">
      <c r="A11255"/>
      <c r="B11255"/>
    </row>
    <row r="11256" spans="1:2" x14ac:dyDescent="0.25">
      <c r="A11256"/>
      <c r="B11256"/>
    </row>
    <row r="11257" spans="1:2" x14ac:dyDescent="0.25">
      <c r="A11257"/>
      <c r="B11257"/>
    </row>
    <row r="11258" spans="1:2" x14ac:dyDescent="0.25">
      <c r="A11258"/>
      <c r="B11258"/>
    </row>
    <row r="11259" spans="1:2" x14ac:dyDescent="0.25">
      <c r="A11259"/>
      <c r="B11259"/>
    </row>
    <row r="11260" spans="1:2" x14ac:dyDescent="0.25">
      <c r="A11260"/>
      <c r="B11260"/>
    </row>
    <row r="11261" spans="1:2" x14ac:dyDescent="0.25">
      <c r="A11261"/>
      <c r="B11261"/>
    </row>
    <row r="11262" spans="1:2" x14ac:dyDescent="0.25">
      <c r="A11262"/>
      <c r="B11262"/>
    </row>
    <row r="11263" spans="1:2" x14ac:dyDescent="0.25">
      <c r="A11263"/>
      <c r="B11263"/>
    </row>
    <row r="11264" spans="1:2" x14ac:dyDescent="0.25">
      <c r="A11264"/>
      <c r="B11264"/>
    </row>
    <row r="11265" spans="1:2" x14ac:dyDescent="0.25">
      <c r="A11265"/>
      <c r="B11265"/>
    </row>
    <row r="11266" spans="1:2" x14ac:dyDescent="0.25">
      <c r="A11266"/>
      <c r="B11266"/>
    </row>
    <row r="11267" spans="1:2" x14ac:dyDescent="0.25">
      <c r="A11267"/>
      <c r="B11267"/>
    </row>
    <row r="11268" spans="1:2" x14ac:dyDescent="0.25">
      <c r="A11268"/>
      <c r="B11268"/>
    </row>
    <row r="11269" spans="1:2" x14ac:dyDescent="0.25">
      <c r="A11269"/>
      <c r="B11269"/>
    </row>
    <row r="11270" spans="1:2" x14ac:dyDescent="0.25">
      <c r="A11270"/>
      <c r="B11270"/>
    </row>
    <row r="11271" spans="1:2" x14ac:dyDescent="0.25">
      <c r="A11271"/>
      <c r="B11271"/>
    </row>
    <row r="11272" spans="1:2" x14ac:dyDescent="0.25">
      <c r="A11272"/>
      <c r="B11272"/>
    </row>
    <row r="11273" spans="1:2" x14ac:dyDescent="0.25">
      <c r="A11273"/>
      <c r="B11273"/>
    </row>
    <row r="11274" spans="1:2" x14ac:dyDescent="0.25">
      <c r="A11274"/>
      <c r="B11274"/>
    </row>
    <row r="11275" spans="1:2" x14ac:dyDescent="0.25">
      <c r="A11275"/>
      <c r="B11275"/>
    </row>
    <row r="11276" spans="1:2" x14ac:dyDescent="0.25">
      <c r="A11276"/>
      <c r="B11276"/>
    </row>
    <row r="11277" spans="1:2" x14ac:dyDescent="0.25">
      <c r="A11277"/>
      <c r="B11277"/>
    </row>
    <row r="11278" spans="1:2" x14ac:dyDescent="0.25">
      <c r="A11278"/>
      <c r="B11278"/>
    </row>
    <row r="11279" spans="1:2" x14ac:dyDescent="0.25">
      <c r="A11279"/>
      <c r="B11279"/>
    </row>
    <row r="11280" spans="1:2" x14ac:dyDescent="0.25">
      <c r="A11280"/>
      <c r="B11280"/>
    </row>
    <row r="11281" spans="1:2" x14ac:dyDescent="0.25">
      <c r="A11281"/>
      <c r="B11281"/>
    </row>
    <row r="11282" spans="1:2" x14ac:dyDescent="0.25">
      <c r="A11282"/>
      <c r="B11282"/>
    </row>
    <row r="11283" spans="1:2" x14ac:dyDescent="0.25">
      <c r="A11283"/>
      <c r="B11283"/>
    </row>
    <row r="11284" spans="1:2" x14ac:dyDescent="0.25">
      <c r="A11284"/>
      <c r="B11284"/>
    </row>
    <row r="11285" spans="1:2" x14ac:dyDescent="0.25">
      <c r="A11285"/>
      <c r="B11285"/>
    </row>
    <row r="11286" spans="1:2" x14ac:dyDescent="0.25">
      <c r="A11286"/>
      <c r="B11286"/>
    </row>
    <row r="11287" spans="1:2" x14ac:dyDescent="0.25">
      <c r="A11287"/>
      <c r="B11287"/>
    </row>
    <row r="11288" spans="1:2" x14ac:dyDescent="0.25">
      <c r="A11288"/>
      <c r="B11288"/>
    </row>
    <row r="11289" spans="1:2" x14ac:dyDescent="0.25">
      <c r="A11289"/>
      <c r="B11289"/>
    </row>
    <row r="11290" spans="1:2" x14ac:dyDescent="0.25">
      <c r="A11290"/>
      <c r="B11290"/>
    </row>
    <row r="11291" spans="1:2" x14ac:dyDescent="0.25">
      <c r="A11291"/>
      <c r="B11291"/>
    </row>
    <row r="11292" spans="1:2" x14ac:dyDescent="0.25">
      <c r="A11292"/>
      <c r="B11292"/>
    </row>
    <row r="11293" spans="1:2" x14ac:dyDescent="0.25">
      <c r="A11293"/>
      <c r="B11293"/>
    </row>
    <row r="11294" spans="1:2" x14ac:dyDescent="0.25">
      <c r="A11294"/>
      <c r="B11294"/>
    </row>
    <row r="11295" spans="1:2" x14ac:dyDescent="0.25">
      <c r="A11295"/>
      <c r="B11295"/>
    </row>
    <row r="11296" spans="1:2" x14ac:dyDescent="0.25">
      <c r="A11296"/>
      <c r="B11296"/>
    </row>
    <row r="11297" spans="1:2" x14ac:dyDescent="0.25">
      <c r="A11297"/>
      <c r="B11297"/>
    </row>
    <row r="11298" spans="1:2" x14ac:dyDescent="0.25">
      <c r="A11298"/>
      <c r="B11298"/>
    </row>
    <row r="11299" spans="1:2" x14ac:dyDescent="0.25">
      <c r="A11299"/>
      <c r="B11299"/>
    </row>
    <row r="11300" spans="1:2" x14ac:dyDescent="0.25">
      <c r="A11300"/>
      <c r="B11300"/>
    </row>
    <row r="11301" spans="1:2" x14ac:dyDescent="0.25">
      <c r="A11301"/>
      <c r="B11301"/>
    </row>
    <row r="11302" spans="1:2" x14ac:dyDescent="0.25">
      <c r="A11302"/>
      <c r="B11302"/>
    </row>
    <row r="11303" spans="1:2" x14ac:dyDescent="0.25">
      <c r="A11303"/>
      <c r="B11303"/>
    </row>
    <row r="11304" spans="1:2" x14ac:dyDescent="0.25">
      <c r="A11304"/>
      <c r="B11304"/>
    </row>
    <row r="11305" spans="1:2" x14ac:dyDescent="0.25">
      <c r="A11305"/>
      <c r="B11305"/>
    </row>
    <row r="11306" spans="1:2" x14ac:dyDescent="0.25">
      <c r="A11306"/>
      <c r="B11306"/>
    </row>
    <row r="11307" spans="1:2" x14ac:dyDescent="0.25">
      <c r="A11307"/>
      <c r="B11307"/>
    </row>
    <row r="11308" spans="1:2" x14ac:dyDescent="0.25">
      <c r="A11308"/>
      <c r="B11308"/>
    </row>
    <row r="11309" spans="1:2" x14ac:dyDescent="0.25">
      <c r="A11309"/>
      <c r="B11309"/>
    </row>
    <row r="11310" spans="1:2" x14ac:dyDescent="0.25">
      <c r="A11310"/>
      <c r="B11310"/>
    </row>
    <row r="11311" spans="1:2" x14ac:dyDescent="0.25">
      <c r="A11311"/>
      <c r="B11311"/>
    </row>
    <row r="11312" spans="1:2" x14ac:dyDescent="0.25">
      <c r="A11312"/>
      <c r="B11312"/>
    </row>
    <row r="11313" spans="1:2" x14ac:dyDescent="0.25">
      <c r="A11313"/>
      <c r="B11313"/>
    </row>
    <row r="11314" spans="1:2" x14ac:dyDescent="0.25">
      <c r="A11314"/>
      <c r="B11314"/>
    </row>
    <row r="11315" spans="1:2" x14ac:dyDescent="0.25">
      <c r="A11315"/>
      <c r="B11315"/>
    </row>
    <row r="11316" spans="1:2" x14ac:dyDescent="0.25">
      <c r="A11316"/>
      <c r="B11316"/>
    </row>
    <row r="11317" spans="1:2" x14ac:dyDescent="0.25">
      <c r="A11317"/>
      <c r="B11317"/>
    </row>
    <row r="11318" spans="1:2" x14ac:dyDescent="0.25">
      <c r="A11318"/>
      <c r="B11318"/>
    </row>
    <row r="11319" spans="1:2" x14ac:dyDescent="0.25">
      <c r="A11319"/>
      <c r="B11319"/>
    </row>
    <row r="11320" spans="1:2" x14ac:dyDescent="0.25">
      <c r="A11320"/>
      <c r="B11320"/>
    </row>
    <row r="11321" spans="1:2" x14ac:dyDescent="0.25">
      <c r="A11321"/>
      <c r="B11321"/>
    </row>
    <row r="11322" spans="1:2" x14ac:dyDescent="0.25">
      <c r="A11322"/>
      <c r="B11322"/>
    </row>
    <row r="11323" spans="1:2" x14ac:dyDescent="0.25">
      <c r="A11323"/>
      <c r="B11323"/>
    </row>
    <row r="11324" spans="1:2" x14ac:dyDescent="0.25">
      <c r="A11324"/>
      <c r="B11324"/>
    </row>
    <row r="11325" spans="1:2" x14ac:dyDescent="0.25">
      <c r="A11325"/>
      <c r="B11325"/>
    </row>
    <row r="11326" spans="1:2" x14ac:dyDescent="0.25">
      <c r="A11326"/>
      <c r="B11326"/>
    </row>
    <row r="11327" spans="1:2" x14ac:dyDescent="0.25">
      <c r="A11327"/>
      <c r="B11327"/>
    </row>
    <row r="11328" spans="1:2" x14ac:dyDescent="0.25">
      <c r="A11328"/>
      <c r="B11328"/>
    </row>
    <row r="11329" spans="1:2" x14ac:dyDescent="0.25">
      <c r="A11329"/>
      <c r="B11329"/>
    </row>
    <row r="11330" spans="1:2" x14ac:dyDescent="0.25">
      <c r="A11330"/>
      <c r="B11330"/>
    </row>
    <row r="11331" spans="1:2" x14ac:dyDescent="0.25">
      <c r="A11331"/>
      <c r="B11331"/>
    </row>
    <row r="11332" spans="1:2" x14ac:dyDescent="0.25">
      <c r="A11332"/>
      <c r="B11332"/>
    </row>
    <row r="11333" spans="1:2" x14ac:dyDescent="0.25">
      <c r="A11333"/>
      <c r="B11333"/>
    </row>
    <row r="11334" spans="1:2" x14ac:dyDescent="0.25">
      <c r="A11334"/>
      <c r="B11334"/>
    </row>
    <row r="11335" spans="1:2" x14ac:dyDescent="0.25">
      <c r="A11335"/>
      <c r="B11335"/>
    </row>
    <row r="11336" spans="1:2" x14ac:dyDescent="0.25">
      <c r="A11336"/>
      <c r="B11336"/>
    </row>
    <row r="11337" spans="1:2" x14ac:dyDescent="0.25">
      <c r="A11337"/>
      <c r="B11337"/>
    </row>
    <row r="11338" spans="1:2" x14ac:dyDescent="0.25">
      <c r="A11338"/>
      <c r="B11338"/>
    </row>
    <row r="11339" spans="1:2" x14ac:dyDescent="0.25">
      <c r="A11339"/>
      <c r="B11339"/>
    </row>
    <row r="11340" spans="1:2" x14ac:dyDescent="0.25">
      <c r="A11340"/>
      <c r="B11340"/>
    </row>
    <row r="11341" spans="1:2" x14ac:dyDescent="0.25">
      <c r="A11341"/>
      <c r="B11341"/>
    </row>
    <row r="11342" spans="1:2" x14ac:dyDescent="0.25">
      <c r="A11342"/>
      <c r="B11342"/>
    </row>
    <row r="11343" spans="1:2" x14ac:dyDescent="0.25">
      <c r="A11343"/>
      <c r="B11343"/>
    </row>
    <row r="11344" spans="1:2" x14ac:dyDescent="0.25">
      <c r="A11344"/>
      <c r="B11344"/>
    </row>
    <row r="11345" spans="1:2" x14ac:dyDescent="0.25">
      <c r="A11345"/>
      <c r="B11345"/>
    </row>
    <row r="11346" spans="1:2" x14ac:dyDescent="0.25">
      <c r="A11346"/>
      <c r="B11346"/>
    </row>
    <row r="11347" spans="1:2" x14ac:dyDescent="0.25">
      <c r="A11347"/>
      <c r="B11347"/>
    </row>
    <row r="11348" spans="1:2" x14ac:dyDescent="0.25">
      <c r="A11348"/>
      <c r="B11348"/>
    </row>
    <row r="11349" spans="1:2" x14ac:dyDescent="0.25">
      <c r="A11349"/>
      <c r="B11349"/>
    </row>
    <row r="11350" spans="1:2" x14ac:dyDescent="0.25">
      <c r="A11350"/>
      <c r="B11350"/>
    </row>
    <row r="11351" spans="1:2" x14ac:dyDescent="0.25">
      <c r="A11351"/>
      <c r="B11351"/>
    </row>
    <row r="11352" spans="1:2" x14ac:dyDescent="0.25">
      <c r="A11352"/>
      <c r="B11352"/>
    </row>
    <row r="11353" spans="1:2" x14ac:dyDescent="0.25">
      <c r="A11353"/>
      <c r="B11353"/>
    </row>
    <row r="11354" spans="1:2" x14ac:dyDescent="0.25">
      <c r="A11354"/>
      <c r="B11354"/>
    </row>
    <row r="11355" spans="1:2" x14ac:dyDescent="0.25">
      <c r="A11355"/>
      <c r="B11355"/>
    </row>
    <row r="11356" spans="1:2" x14ac:dyDescent="0.25">
      <c r="A11356"/>
      <c r="B11356"/>
    </row>
    <row r="11357" spans="1:2" x14ac:dyDescent="0.25">
      <c r="A11357"/>
      <c r="B11357"/>
    </row>
    <row r="11358" spans="1:2" x14ac:dyDescent="0.25">
      <c r="A11358"/>
      <c r="B11358"/>
    </row>
    <row r="11359" spans="1:2" x14ac:dyDescent="0.25">
      <c r="A11359"/>
      <c r="B11359"/>
    </row>
    <row r="11360" spans="1:2" x14ac:dyDescent="0.25">
      <c r="A11360"/>
      <c r="B11360"/>
    </row>
    <row r="11361" spans="1:2" x14ac:dyDescent="0.25">
      <c r="A11361"/>
      <c r="B11361"/>
    </row>
    <row r="11362" spans="1:2" x14ac:dyDescent="0.25">
      <c r="A11362"/>
      <c r="B11362"/>
    </row>
    <row r="11363" spans="1:2" x14ac:dyDescent="0.25">
      <c r="A11363"/>
      <c r="B11363"/>
    </row>
    <row r="11364" spans="1:2" x14ac:dyDescent="0.25">
      <c r="A11364"/>
      <c r="B11364"/>
    </row>
    <row r="11365" spans="1:2" x14ac:dyDescent="0.25">
      <c r="A11365"/>
      <c r="B11365"/>
    </row>
    <row r="11366" spans="1:2" x14ac:dyDescent="0.25">
      <c r="A11366"/>
      <c r="B11366"/>
    </row>
    <row r="11367" spans="1:2" x14ac:dyDescent="0.25">
      <c r="A11367"/>
      <c r="B11367"/>
    </row>
    <row r="11368" spans="1:2" x14ac:dyDescent="0.25">
      <c r="A11368"/>
      <c r="B11368"/>
    </row>
    <row r="11369" spans="1:2" x14ac:dyDescent="0.25">
      <c r="A11369"/>
      <c r="B11369"/>
    </row>
    <row r="11370" spans="1:2" x14ac:dyDescent="0.25">
      <c r="A11370"/>
      <c r="B11370"/>
    </row>
    <row r="11371" spans="1:2" x14ac:dyDescent="0.25">
      <c r="A11371"/>
      <c r="B11371"/>
    </row>
    <row r="11372" spans="1:2" x14ac:dyDescent="0.25">
      <c r="A11372"/>
      <c r="B11372"/>
    </row>
    <row r="11373" spans="1:2" x14ac:dyDescent="0.25">
      <c r="A11373"/>
      <c r="B11373"/>
    </row>
    <row r="11374" spans="1:2" x14ac:dyDescent="0.25">
      <c r="A11374"/>
      <c r="B11374"/>
    </row>
    <row r="11375" spans="1:2" x14ac:dyDescent="0.25">
      <c r="A11375"/>
      <c r="B11375"/>
    </row>
    <row r="11376" spans="1:2" x14ac:dyDescent="0.25">
      <c r="A11376"/>
      <c r="B11376"/>
    </row>
    <row r="11377" spans="1:2" x14ac:dyDescent="0.25">
      <c r="A11377"/>
      <c r="B11377"/>
    </row>
    <row r="11378" spans="1:2" x14ac:dyDescent="0.25">
      <c r="A11378"/>
      <c r="B11378"/>
    </row>
    <row r="11379" spans="1:2" x14ac:dyDescent="0.25">
      <c r="A11379"/>
      <c r="B11379"/>
    </row>
    <row r="11380" spans="1:2" x14ac:dyDescent="0.25">
      <c r="A11380"/>
      <c r="B11380"/>
    </row>
    <row r="11381" spans="1:2" x14ac:dyDescent="0.25">
      <c r="A11381"/>
      <c r="B11381"/>
    </row>
    <row r="11382" spans="1:2" x14ac:dyDescent="0.25">
      <c r="A11382"/>
      <c r="B11382"/>
    </row>
    <row r="11383" spans="1:2" x14ac:dyDescent="0.25">
      <c r="A11383"/>
      <c r="B11383"/>
    </row>
    <row r="11384" spans="1:2" x14ac:dyDescent="0.25">
      <c r="A11384"/>
      <c r="B11384"/>
    </row>
    <row r="11385" spans="1:2" x14ac:dyDescent="0.25">
      <c r="A11385"/>
      <c r="B11385"/>
    </row>
    <row r="11386" spans="1:2" x14ac:dyDescent="0.25">
      <c r="A11386"/>
      <c r="B11386"/>
    </row>
    <row r="11387" spans="1:2" x14ac:dyDescent="0.25">
      <c r="A11387"/>
      <c r="B11387"/>
    </row>
    <row r="11388" spans="1:2" x14ac:dyDescent="0.25">
      <c r="A11388"/>
      <c r="B11388"/>
    </row>
    <row r="11389" spans="1:2" x14ac:dyDescent="0.25">
      <c r="A11389"/>
      <c r="B11389"/>
    </row>
    <row r="11390" spans="1:2" x14ac:dyDescent="0.25">
      <c r="A11390"/>
      <c r="B11390"/>
    </row>
    <row r="11391" spans="1:2" x14ac:dyDescent="0.25">
      <c r="A11391"/>
      <c r="B11391"/>
    </row>
    <row r="11392" spans="1:2" x14ac:dyDescent="0.25">
      <c r="A11392"/>
      <c r="B11392"/>
    </row>
    <row r="11393" spans="1:2" x14ac:dyDescent="0.25">
      <c r="A11393"/>
      <c r="B11393"/>
    </row>
    <row r="11394" spans="1:2" x14ac:dyDescent="0.25">
      <c r="A11394"/>
      <c r="B11394"/>
    </row>
    <row r="11395" spans="1:2" x14ac:dyDescent="0.25">
      <c r="A11395"/>
      <c r="B11395"/>
    </row>
    <row r="11396" spans="1:2" x14ac:dyDescent="0.25">
      <c r="A11396"/>
      <c r="B11396"/>
    </row>
    <row r="11397" spans="1:2" x14ac:dyDescent="0.25">
      <c r="A11397"/>
      <c r="B11397"/>
    </row>
    <row r="11398" spans="1:2" x14ac:dyDescent="0.25">
      <c r="A11398"/>
      <c r="B11398"/>
    </row>
    <row r="11399" spans="1:2" x14ac:dyDescent="0.25">
      <c r="A11399"/>
      <c r="B11399"/>
    </row>
    <row r="11400" spans="1:2" x14ac:dyDescent="0.25">
      <c r="A11400"/>
      <c r="B11400"/>
    </row>
    <row r="11401" spans="1:2" x14ac:dyDescent="0.25">
      <c r="A11401"/>
      <c r="B11401"/>
    </row>
    <row r="11402" spans="1:2" x14ac:dyDescent="0.25">
      <c r="A11402"/>
      <c r="B11402"/>
    </row>
    <row r="11403" spans="1:2" x14ac:dyDescent="0.25">
      <c r="A11403"/>
      <c r="B11403"/>
    </row>
    <row r="11404" spans="1:2" x14ac:dyDescent="0.25">
      <c r="A11404"/>
      <c r="B11404"/>
    </row>
    <row r="11405" spans="1:2" x14ac:dyDescent="0.25">
      <c r="A11405"/>
      <c r="B11405"/>
    </row>
    <row r="11406" spans="1:2" x14ac:dyDescent="0.25">
      <c r="A11406"/>
      <c r="B11406"/>
    </row>
    <row r="11407" spans="1:2" x14ac:dyDescent="0.25">
      <c r="A11407"/>
      <c r="B11407"/>
    </row>
    <row r="11408" spans="1:2" x14ac:dyDescent="0.25">
      <c r="A11408"/>
      <c r="B11408"/>
    </row>
    <row r="11409" spans="1:2" x14ac:dyDescent="0.25">
      <c r="A11409"/>
      <c r="B11409"/>
    </row>
    <row r="11410" spans="1:2" x14ac:dyDescent="0.25">
      <c r="A11410"/>
      <c r="B11410"/>
    </row>
    <row r="11411" spans="1:2" x14ac:dyDescent="0.25">
      <c r="A11411"/>
      <c r="B11411"/>
    </row>
    <row r="11412" spans="1:2" x14ac:dyDescent="0.25">
      <c r="A11412"/>
      <c r="B11412"/>
    </row>
    <row r="11413" spans="1:2" x14ac:dyDescent="0.25">
      <c r="A11413"/>
      <c r="B11413"/>
    </row>
    <row r="11414" spans="1:2" x14ac:dyDescent="0.25">
      <c r="A11414"/>
      <c r="B11414"/>
    </row>
    <row r="11415" spans="1:2" x14ac:dyDescent="0.25">
      <c r="A11415"/>
      <c r="B11415"/>
    </row>
    <row r="11416" spans="1:2" x14ac:dyDescent="0.25">
      <c r="A11416"/>
      <c r="B11416"/>
    </row>
    <row r="11417" spans="1:2" x14ac:dyDescent="0.25">
      <c r="A11417"/>
      <c r="B11417"/>
    </row>
    <row r="11418" spans="1:2" x14ac:dyDescent="0.25">
      <c r="A11418"/>
      <c r="B11418"/>
    </row>
    <row r="11419" spans="1:2" x14ac:dyDescent="0.25">
      <c r="A11419"/>
      <c r="B11419"/>
    </row>
    <row r="11420" spans="1:2" x14ac:dyDescent="0.25">
      <c r="A11420"/>
      <c r="B11420"/>
    </row>
    <row r="11421" spans="1:2" x14ac:dyDescent="0.25">
      <c r="A11421"/>
      <c r="B11421"/>
    </row>
    <row r="11422" spans="1:2" x14ac:dyDescent="0.25">
      <c r="A11422"/>
      <c r="B11422"/>
    </row>
    <row r="11423" spans="1:2" x14ac:dyDescent="0.25">
      <c r="A11423"/>
      <c r="B11423"/>
    </row>
    <row r="11424" spans="1:2" x14ac:dyDescent="0.25">
      <c r="A11424"/>
      <c r="B11424"/>
    </row>
    <row r="11425" spans="1:2" x14ac:dyDescent="0.25">
      <c r="A11425"/>
      <c r="B11425"/>
    </row>
    <row r="11426" spans="1:2" x14ac:dyDescent="0.25">
      <c r="A11426"/>
      <c r="B11426"/>
    </row>
    <row r="11427" spans="1:2" x14ac:dyDescent="0.25">
      <c r="A11427"/>
      <c r="B11427"/>
    </row>
    <row r="11428" spans="1:2" x14ac:dyDescent="0.25">
      <c r="A11428"/>
      <c r="B11428"/>
    </row>
    <row r="11429" spans="1:2" x14ac:dyDescent="0.25">
      <c r="A11429"/>
      <c r="B11429"/>
    </row>
    <row r="11430" spans="1:2" x14ac:dyDescent="0.25">
      <c r="A11430"/>
      <c r="B11430"/>
    </row>
    <row r="11431" spans="1:2" x14ac:dyDescent="0.25">
      <c r="A11431"/>
      <c r="B11431"/>
    </row>
    <row r="11432" spans="1:2" x14ac:dyDescent="0.25">
      <c r="A11432"/>
      <c r="B11432"/>
    </row>
    <row r="11433" spans="1:2" x14ac:dyDescent="0.25">
      <c r="A11433"/>
      <c r="B11433"/>
    </row>
    <row r="11434" spans="1:2" x14ac:dyDescent="0.25">
      <c r="A11434"/>
      <c r="B11434"/>
    </row>
    <row r="11435" spans="1:2" x14ac:dyDescent="0.25">
      <c r="A11435"/>
      <c r="B11435"/>
    </row>
    <row r="11436" spans="1:2" x14ac:dyDescent="0.25">
      <c r="A11436"/>
      <c r="B11436"/>
    </row>
    <row r="11437" spans="1:2" x14ac:dyDescent="0.25">
      <c r="A11437"/>
      <c r="B11437"/>
    </row>
    <row r="11438" spans="1:2" x14ac:dyDescent="0.25">
      <c r="A11438"/>
      <c r="B11438"/>
    </row>
    <row r="11439" spans="1:2" x14ac:dyDescent="0.25">
      <c r="A11439"/>
      <c r="B11439"/>
    </row>
    <row r="11440" spans="1:2" x14ac:dyDescent="0.25">
      <c r="A11440"/>
      <c r="B11440"/>
    </row>
    <row r="11441" spans="1:2" x14ac:dyDescent="0.25">
      <c r="A11441"/>
      <c r="B11441"/>
    </row>
    <row r="11442" spans="1:2" x14ac:dyDescent="0.25">
      <c r="A11442"/>
      <c r="B11442"/>
    </row>
    <row r="11443" spans="1:2" x14ac:dyDescent="0.25">
      <c r="A11443"/>
      <c r="B11443"/>
    </row>
    <row r="11444" spans="1:2" x14ac:dyDescent="0.25">
      <c r="A11444"/>
      <c r="B11444"/>
    </row>
    <row r="11445" spans="1:2" x14ac:dyDescent="0.25">
      <c r="A11445"/>
      <c r="B11445"/>
    </row>
    <row r="11446" spans="1:2" x14ac:dyDescent="0.25">
      <c r="A11446"/>
      <c r="B11446"/>
    </row>
    <row r="11447" spans="1:2" x14ac:dyDescent="0.25">
      <c r="A11447"/>
      <c r="B11447"/>
    </row>
    <row r="11448" spans="1:2" x14ac:dyDescent="0.25">
      <c r="A11448"/>
      <c r="B11448"/>
    </row>
    <row r="11449" spans="1:2" x14ac:dyDescent="0.25">
      <c r="A11449"/>
      <c r="B11449"/>
    </row>
    <row r="11450" spans="1:2" x14ac:dyDescent="0.25">
      <c r="A11450"/>
      <c r="B11450"/>
    </row>
    <row r="11451" spans="1:2" x14ac:dyDescent="0.25">
      <c r="A11451"/>
      <c r="B11451"/>
    </row>
    <row r="11452" spans="1:2" x14ac:dyDescent="0.25">
      <c r="A11452"/>
      <c r="B11452"/>
    </row>
    <row r="11453" spans="1:2" x14ac:dyDescent="0.25">
      <c r="A11453"/>
      <c r="B11453"/>
    </row>
    <row r="11454" spans="1:2" x14ac:dyDescent="0.25">
      <c r="A11454"/>
      <c r="B11454"/>
    </row>
    <row r="11455" spans="1:2" x14ac:dyDescent="0.25">
      <c r="A11455"/>
      <c r="B11455"/>
    </row>
    <row r="11456" spans="1:2" x14ac:dyDescent="0.25">
      <c r="A11456"/>
      <c r="B11456"/>
    </row>
    <row r="11457" spans="1:2" x14ac:dyDescent="0.25">
      <c r="A11457"/>
      <c r="B11457"/>
    </row>
    <row r="11458" spans="1:2" x14ac:dyDescent="0.25">
      <c r="A11458"/>
      <c r="B11458"/>
    </row>
    <row r="11459" spans="1:2" x14ac:dyDescent="0.25">
      <c r="A11459"/>
      <c r="B11459"/>
    </row>
    <row r="11460" spans="1:2" x14ac:dyDescent="0.25">
      <c r="A11460"/>
      <c r="B11460"/>
    </row>
    <row r="11461" spans="1:2" x14ac:dyDescent="0.25">
      <c r="A11461"/>
      <c r="B11461"/>
    </row>
    <row r="11462" spans="1:2" x14ac:dyDescent="0.25">
      <c r="A11462"/>
      <c r="B11462"/>
    </row>
    <row r="11463" spans="1:2" x14ac:dyDescent="0.25">
      <c r="A11463"/>
      <c r="B11463"/>
    </row>
    <row r="11464" spans="1:2" x14ac:dyDescent="0.25">
      <c r="A11464"/>
      <c r="B11464"/>
    </row>
    <row r="11465" spans="1:2" x14ac:dyDescent="0.25">
      <c r="A11465"/>
      <c r="B11465"/>
    </row>
    <row r="11466" spans="1:2" x14ac:dyDescent="0.25">
      <c r="A11466"/>
      <c r="B11466"/>
    </row>
    <row r="11467" spans="1:2" x14ac:dyDescent="0.25">
      <c r="A11467"/>
      <c r="B11467"/>
    </row>
    <row r="11468" spans="1:2" x14ac:dyDescent="0.25">
      <c r="A11468"/>
      <c r="B11468"/>
    </row>
    <row r="11469" spans="1:2" x14ac:dyDescent="0.25">
      <c r="A11469"/>
      <c r="B11469"/>
    </row>
    <row r="11470" spans="1:2" x14ac:dyDescent="0.25">
      <c r="A11470"/>
      <c r="B11470"/>
    </row>
    <row r="11471" spans="1:2" x14ac:dyDescent="0.25">
      <c r="A11471"/>
      <c r="B11471"/>
    </row>
    <row r="11472" spans="1:2" x14ac:dyDescent="0.25">
      <c r="A11472"/>
      <c r="B11472"/>
    </row>
    <row r="11473" spans="1:2" x14ac:dyDescent="0.25">
      <c r="A11473"/>
      <c r="B11473"/>
    </row>
    <row r="11474" spans="1:2" x14ac:dyDescent="0.25">
      <c r="A11474"/>
      <c r="B11474"/>
    </row>
    <row r="11475" spans="1:2" x14ac:dyDescent="0.25">
      <c r="A11475"/>
      <c r="B11475"/>
    </row>
    <row r="11476" spans="1:2" x14ac:dyDescent="0.25">
      <c r="A11476"/>
      <c r="B11476"/>
    </row>
    <row r="11477" spans="1:2" x14ac:dyDescent="0.25">
      <c r="A11477"/>
      <c r="B11477"/>
    </row>
    <row r="11478" spans="1:2" x14ac:dyDescent="0.25">
      <c r="A11478"/>
      <c r="B11478"/>
    </row>
    <row r="11479" spans="1:2" x14ac:dyDescent="0.25">
      <c r="A11479"/>
      <c r="B11479"/>
    </row>
    <row r="11480" spans="1:2" x14ac:dyDescent="0.25">
      <c r="A11480"/>
      <c r="B11480"/>
    </row>
    <row r="11481" spans="1:2" x14ac:dyDescent="0.25">
      <c r="A11481"/>
      <c r="B11481"/>
    </row>
    <row r="11482" spans="1:2" x14ac:dyDescent="0.25">
      <c r="A11482"/>
      <c r="B11482"/>
    </row>
    <row r="11483" spans="1:2" x14ac:dyDescent="0.25">
      <c r="A11483"/>
      <c r="B11483"/>
    </row>
    <row r="11484" spans="1:2" x14ac:dyDescent="0.25">
      <c r="A11484"/>
      <c r="B11484"/>
    </row>
    <row r="11485" spans="1:2" x14ac:dyDescent="0.25">
      <c r="A11485"/>
      <c r="B11485"/>
    </row>
    <row r="11486" spans="1:2" x14ac:dyDescent="0.25">
      <c r="A11486"/>
      <c r="B11486"/>
    </row>
    <row r="11487" spans="1:2" x14ac:dyDescent="0.25">
      <c r="A11487"/>
      <c r="B11487"/>
    </row>
    <row r="11488" spans="1:2" x14ac:dyDescent="0.25">
      <c r="A11488"/>
      <c r="B11488"/>
    </row>
    <row r="11489" spans="1:2" x14ac:dyDescent="0.25">
      <c r="A11489"/>
      <c r="B11489"/>
    </row>
    <row r="11490" spans="1:2" x14ac:dyDescent="0.25">
      <c r="A11490"/>
      <c r="B11490"/>
    </row>
    <row r="11491" spans="1:2" x14ac:dyDescent="0.25">
      <c r="A11491"/>
      <c r="B11491"/>
    </row>
    <row r="11492" spans="1:2" x14ac:dyDescent="0.25">
      <c r="A11492"/>
      <c r="B11492"/>
    </row>
    <row r="11493" spans="1:2" x14ac:dyDescent="0.25">
      <c r="A11493"/>
      <c r="B11493"/>
    </row>
    <row r="11494" spans="1:2" x14ac:dyDescent="0.25">
      <c r="A11494"/>
      <c r="B11494"/>
    </row>
    <row r="11495" spans="1:2" x14ac:dyDescent="0.25">
      <c r="A11495"/>
      <c r="B11495"/>
    </row>
    <row r="11496" spans="1:2" x14ac:dyDescent="0.25">
      <c r="A11496"/>
      <c r="B11496"/>
    </row>
    <row r="11497" spans="1:2" x14ac:dyDescent="0.25">
      <c r="A11497"/>
      <c r="B11497"/>
    </row>
    <row r="11498" spans="1:2" x14ac:dyDescent="0.25">
      <c r="A11498"/>
      <c r="B11498"/>
    </row>
    <row r="11499" spans="1:2" x14ac:dyDescent="0.25">
      <c r="A11499"/>
      <c r="B11499"/>
    </row>
    <row r="11500" spans="1:2" x14ac:dyDescent="0.25">
      <c r="A11500"/>
      <c r="B11500"/>
    </row>
    <row r="11501" spans="1:2" x14ac:dyDescent="0.25">
      <c r="A11501"/>
      <c r="B11501"/>
    </row>
    <row r="11502" spans="1:2" x14ac:dyDescent="0.25">
      <c r="A11502"/>
      <c r="B11502"/>
    </row>
    <row r="11503" spans="1:2" x14ac:dyDescent="0.25">
      <c r="A11503"/>
      <c r="B11503"/>
    </row>
    <row r="11504" spans="1:2" x14ac:dyDescent="0.25">
      <c r="A11504"/>
      <c r="B11504"/>
    </row>
    <row r="11505" spans="1:2" x14ac:dyDescent="0.25">
      <c r="A11505"/>
      <c r="B11505"/>
    </row>
    <row r="11506" spans="1:2" x14ac:dyDescent="0.25">
      <c r="A11506"/>
      <c r="B11506"/>
    </row>
    <row r="11507" spans="1:2" x14ac:dyDescent="0.25">
      <c r="A11507"/>
      <c r="B11507"/>
    </row>
    <row r="11508" spans="1:2" x14ac:dyDescent="0.25">
      <c r="A11508"/>
      <c r="B11508"/>
    </row>
    <row r="11509" spans="1:2" x14ac:dyDescent="0.25">
      <c r="A11509"/>
      <c r="B11509"/>
    </row>
    <row r="11510" spans="1:2" x14ac:dyDescent="0.25">
      <c r="A11510"/>
      <c r="B11510"/>
    </row>
    <row r="11511" spans="1:2" x14ac:dyDescent="0.25">
      <c r="A11511"/>
      <c r="B11511"/>
    </row>
    <row r="11512" spans="1:2" x14ac:dyDescent="0.25">
      <c r="A11512"/>
      <c r="B11512"/>
    </row>
    <row r="11513" spans="1:2" x14ac:dyDescent="0.25">
      <c r="A11513"/>
      <c r="B11513"/>
    </row>
    <row r="11514" spans="1:2" x14ac:dyDescent="0.25">
      <c r="A11514"/>
      <c r="B11514"/>
    </row>
    <row r="11515" spans="1:2" x14ac:dyDescent="0.25">
      <c r="A11515"/>
      <c r="B11515"/>
    </row>
    <row r="11516" spans="1:2" x14ac:dyDescent="0.25">
      <c r="A11516"/>
      <c r="B11516"/>
    </row>
    <row r="11517" spans="1:2" x14ac:dyDescent="0.25">
      <c r="A11517"/>
      <c r="B11517"/>
    </row>
    <row r="11518" spans="1:2" x14ac:dyDescent="0.25">
      <c r="A11518"/>
      <c r="B11518"/>
    </row>
    <row r="11519" spans="1:2" x14ac:dyDescent="0.25">
      <c r="A11519"/>
      <c r="B11519"/>
    </row>
    <row r="11520" spans="1:2" x14ac:dyDescent="0.25">
      <c r="A11520"/>
      <c r="B11520"/>
    </row>
    <row r="11521" spans="1:2" x14ac:dyDescent="0.25">
      <c r="A11521"/>
      <c r="B11521"/>
    </row>
    <row r="11522" spans="1:2" x14ac:dyDescent="0.25">
      <c r="A11522"/>
      <c r="B11522"/>
    </row>
    <row r="11523" spans="1:2" x14ac:dyDescent="0.25">
      <c r="A11523"/>
      <c r="B11523"/>
    </row>
    <row r="11524" spans="1:2" x14ac:dyDescent="0.25">
      <c r="A11524"/>
      <c r="B11524"/>
    </row>
    <row r="11525" spans="1:2" x14ac:dyDescent="0.25">
      <c r="A11525"/>
      <c r="B11525"/>
    </row>
    <row r="11526" spans="1:2" x14ac:dyDescent="0.25">
      <c r="A11526"/>
      <c r="B11526"/>
    </row>
    <row r="11527" spans="1:2" x14ac:dyDescent="0.25">
      <c r="A11527"/>
      <c r="B11527"/>
    </row>
    <row r="11528" spans="1:2" x14ac:dyDescent="0.25">
      <c r="A11528"/>
      <c r="B11528"/>
    </row>
    <row r="11529" spans="1:2" x14ac:dyDescent="0.25">
      <c r="A11529"/>
      <c r="B11529"/>
    </row>
    <row r="11530" spans="1:2" x14ac:dyDescent="0.25">
      <c r="A11530"/>
      <c r="B11530"/>
    </row>
    <row r="11531" spans="1:2" x14ac:dyDescent="0.25">
      <c r="A11531"/>
      <c r="B11531"/>
    </row>
    <row r="11532" spans="1:2" x14ac:dyDescent="0.25">
      <c r="A11532"/>
      <c r="B11532"/>
    </row>
    <row r="11533" spans="1:2" x14ac:dyDescent="0.25">
      <c r="A11533"/>
      <c r="B11533"/>
    </row>
    <row r="11534" spans="1:2" x14ac:dyDescent="0.25">
      <c r="A11534"/>
      <c r="B11534"/>
    </row>
    <row r="11535" spans="1:2" x14ac:dyDescent="0.25">
      <c r="A11535"/>
      <c r="B11535"/>
    </row>
    <row r="11536" spans="1:2" x14ac:dyDescent="0.25">
      <c r="A11536"/>
      <c r="B11536"/>
    </row>
    <row r="11537" spans="1:2" x14ac:dyDescent="0.25">
      <c r="A11537"/>
      <c r="B11537"/>
    </row>
    <row r="11538" spans="1:2" x14ac:dyDescent="0.25">
      <c r="A11538"/>
      <c r="B11538"/>
    </row>
    <row r="11539" spans="1:2" x14ac:dyDescent="0.25">
      <c r="A11539"/>
      <c r="B11539"/>
    </row>
    <row r="11540" spans="1:2" x14ac:dyDescent="0.25">
      <c r="A11540"/>
      <c r="B11540"/>
    </row>
    <row r="11541" spans="1:2" x14ac:dyDescent="0.25">
      <c r="A11541"/>
      <c r="B11541"/>
    </row>
    <row r="11542" spans="1:2" x14ac:dyDescent="0.25">
      <c r="A11542"/>
      <c r="B11542"/>
    </row>
    <row r="11543" spans="1:2" x14ac:dyDescent="0.25">
      <c r="A11543"/>
      <c r="B11543"/>
    </row>
    <row r="11544" spans="1:2" x14ac:dyDescent="0.25">
      <c r="A11544"/>
      <c r="B11544"/>
    </row>
    <row r="11545" spans="1:2" x14ac:dyDescent="0.25">
      <c r="A11545"/>
      <c r="B11545"/>
    </row>
    <row r="11546" spans="1:2" x14ac:dyDescent="0.25">
      <c r="A11546"/>
      <c r="B11546"/>
    </row>
    <row r="11547" spans="1:2" x14ac:dyDescent="0.25">
      <c r="A11547"/>
      <c r="B11547"/>
    </row>
    <row r="11548" spans="1:2" x14ac:dyDescent="0.25">
      <c r="A11548"/>
      <c r="B11548"/>
    </row>
    <row r="11549" spans="1:2" x14ac:dyDescent="0.25">
      <c r="A11549"/>
      <c r="B11549"/>
    </row>
    <row r="11550" spans="1:2" x14ac:dyDescent="0.25">
      <c r="A11550"/>
      <c r="B11550"/>
    </row>
    <row r="11551" spans="1:2" x14ac:dyDescent="0.25">
      <c r="A11551"/>
      <c r="B11551"/>
    </row>
    <row r="11552" spans="1:2" x14ac:dyDescent="0.25">
      <c r="A11552"/>
      <c r="B11552"/>
    </row>
    <row r="11553" spans="1:2" x14ac:dyDescent="0.25">
      <c r="A11553"/>
      <c r="B11553"/>
    </row>
    <row r="11554" spans="1:2" x14ac:dyDescent="0.25">
      <c r="A11554"/>
      <c r="B11554"/>
    </row>
    <row r="11555" spans="1:2" x14ac:dyDescent="0.25">
      <c r="A11555"/>
      <c r="B11555"/>
    </row>
    <row r="11556" spans="1:2" x14ac:dyDescent="0.25">
      <c r="A11556"/>
      <c r="B11556"/>
    </row>
    <row r="11557" spans="1:2" x14ac:dyDescent="0.25">
      <c r="A11557"/>
      <c r="B11557"/>
    </row>
    <row r="11558" spans="1:2" x14ac:dyDescent="0.25">
      <c r="A11558"/>
      <c r="B11558"/>
    </row>
    <row r="11559" spans="1:2" x14ac:dyDescent="0.25">
      <c r="A11559"/>
      <c r="B11559"/>
    </row>
    <row r="11560" spans="1:2" x14ac:dyDescent="0.25">
      <c r="A11560"/>
      <c r="B11560"/>
    </row>
    <row r="11561" spans="1:2" x14ac:dyDescent="0.25">
      <c r="A11561"/>
      <c r="B11561"/>
    </row>
    <row r="11562" spans="1:2" x14ac:dyDescent="0.25">
      <c r="A11562"/>
      <c r="B11562"/>
    </row>
    <row r="11563" spans="1:2" x14ac:dyDescent="0.25">
      <c r="A11563"/>
      <c r="B11563"/>
    </row>
    <row r="11564" spans="1:2" x14ac:dyDescent="0.25">
      <c r="A11564"/>
      <c r="B11564"/>
    </row>
    <row r="11565" spans="1:2" x14ac:dyDescent="0.25">
      <c r="A11565"/>
      <c r="B11565"/>
    </row>
    <row r="11566" spans="1:2" x14ac:dyDescent="0.25">
      <c r="A11566"/>
      <c r="B11566"/>
    </row>
    <row r="11567" spans="1:2" x14ac:dyDescent="0.25">
      <c r="A11567"/>
      <c r="B11567"/>
    </row>
    <row r="11568" spans="1:2" x14ac:dyDescent="0.25">
      <c r="A11568"/>
      <c r="B11568"/>
    </row>
    <row r="11569" spans="1:2" x14ac:dyDescent="0.25">
      <c r="A11569"/>
      <c r="B11569"/>
    </row>
    <row r="11570" spans="1:2" x14ac:dyDescent="0.25">
      <c r="A11570"/>
      <c r="B11570"/>
    </row>
    <row r="11571" spans="1:2" x14ac:dyDescent="0.25">
      <c r="A11571"/>
      <c r="B11571"/>
    </row>
    <row r="11572" spans="1:2" x14ac:dyDescent="0.25">
      <c r="A11572"/>
      <c r="B11572"/>
    </row>
    <row r="11573" spans="1:2" x14ac:dyDescent="0.25">
      <c r="A11573"/>
      <c r="B11573"/>
    </row>
    <row r="11574" spans="1:2" x14ac:dyDescent="0.25">
      <c r="A11574"/>
      <c r="B11574"/>
    </row>
    <row r="11575" spans="1:2" x14ac:dyDescent="0.25">
      <c r="A11575"/>
      <c r="B11575"/>
    </row>
    <row r="11576" spans="1:2" x14ac:dyDescent="0.25">
      <c r="A11576"/>
      <c r="B11576"/>
    </row>
    <row r="11577" spans="1:2" x14ac:dyDescent="0.25">
      <c r="A11577"/>
      <c r="B11577"/>
    </row>
    <row r="11578" spans="1:2" x14ac:dyDescent="0.25">
      <c r="A11578"/>
      <c r="B11578"/>
    </row>
    <row r="11579" spans="1:2" x14ac:dyDescent="0.25">
      <c r="A11579"/>
      <c r="B11579"/>
    </row>
    <row r="11580" spans="1:2" x14ac:dyDescent="0.25">
      <c r="A11580"/>
      <c r="B11580"/>
    </row>
    <row r="11581" spans="1:2" x14ac:dyDescent="0.25">
      <c r="A11581"/>
      <c r="B11581"/>
    </row>
    <row r="11582" spans="1:2" x14ac:dyDescent="0.25">
      <c r="A11582"/>
      <c r="B11582"/>
    </row>
    <row r="11583" spans="1:2" x14ac:dyDescent="0.25">
      <c r="A11583"/>
      <c r="B11583"/>
    </row>
    <row r="11584" spans="1:2" x14ac:dyDescent="0.25">
      <c r="A11584"/>
      <c r="B11584"/>
    </row>
    <row r="11585" spans="1:2" x14ac:dyDescent="0.25">
      <c r="A11585"/>
      <c r="B11585"/>
    </row>
    <row r="11586" spans="1:2" x14ac:dyDescent="0.25">
      <c r="A11586"/>
      <c r="B11586"/>
    </row>
    <row r="11587" spans="1:2" x14ac:dyDescent="0.25">
      <c r="A11587"/>
      <c r="B11587"/>
    </row>
    <row r="11588" spans="1:2" x14ac:dyDescent="0.25">
      <c r="A11588"/>
      <c r="B11588"/>
    </row>
    <row r="11589" spans="1:2" x14ac:dyDescent="0.25">
      <c r="A11589"/>
      <c r="B11589"/>
    </row>
    <row r="11590" spans="1:2" x14ac:dyDescent="0.25">
      <c r="A11590"/>
      <c r="B11590"/>
    </row>
    <row r="11591" spans="1:2" x14ac:dyDescent="0.25">
      <c r="A11591"/>
      <c r="B11591"/>
    </row>
    <row r="11592" spans="1:2" x14ac:dyDescent="0.25">
      <c r="A11592"/>
      <c r="B11592"/>
    </row>
    <row r="11593" spans="1:2" x14ac:dyDescent="0.25">
      <c r="A11593"/>
      <c r="B11593"/>
    </row>
    <row r="11594" spans="1:2" x14ac:dyDescent="0.25">
      <c r="A11594"/>
      <c r="B11594"/>
    </row>
    <row r="11595" spans="1:2" x14ac:dyDescent="0.25">
      <c r="A11595"/>
      <c r="B11595"/>
    </row>
    <row r="11596" spans="1:2" x14ac:dyDescent="0.25">
      <c r="A11596"/>
      <c r="B11596"/>
    </row>
    <row r="11597" spans="1:2" x14ac:dyDescent="0.25">
      <c r="A11597"/>
      <c r="B11597"/>
    </row>
    <row r="11598" spans="1:2" x14ac:dyDescent="0.25">
      <c r="A11598"/>
      <c r="B11598"/>
    </row>
    <row r="11599" spans="1:2" x14ac:dyDescent="0.25">
      <c r="A11599"/>
      <c r="B11599"/>
    </row>
    <row r="11600" spans="1:2" x14ac:dyDescent="0.25">
      <c r="A11600"/>
      <c r="B11600"/>
    </row>
    <row r="11601" spans="1:2" x14ac:dyDescent="0.25">
      <c r="A11601"/>
      <c r="B11601"/>
    </row>
    <row r="11602" spans="1:2" x14ac:dyDescent="0.25">
      <c r="A11602"/>
      <c r="B11602"/>
    </row>
    <row r="11603" spans="1:2" x14ac:dyDescent="0.25">
      <c r="A11603"/>
      <c r="B11603"/>
    </row>
    <row r="11604" spans="1:2" x14ac:dyDescent="0.25">
      <c r="A11604"/>
      <c r="B11604"/>
    </row>
    <row r="11605" spans="1:2" x14ac:dyDescent="0.25">
      <c r="A11605"/>
      <c r="B11605"/>
    </row>
    <row r="11606" spans="1:2" x14ac:dyDescent="0.25">
      <c r="A11606"/>
      <c r="B11606"/>
    </row>
    <row r="11607" spans="1:2" x14ac:dyDescent="0.25">
      <c r="A11607"/>
      <c r="B11607"/>
    </row>
    <row r="11608" spans="1:2" x14ac:dyDescent="0.25">
      <c r="A11608"/>
      <c r="B11608"/>
    </row>
    <row r="11609" spans="1:2" x14ac:dyDescent="0.25">
      <c r="A11609"/>
      <c r="B11609"/>
    </row>
    <row r="11610" spans="1:2" x14ac:dyDescent="0.25">
      <c r="A11610"/>
      <c r="B11610"/>
    </row>
    <row r="11611" spans="1:2" x14ac:dyDescent="0.25">
      <c r="A11611"/>
      <c r="B11611"/>
    </row>
    <row r="11612" spans="1:2" x14ac:dyDescent="0.25">
      <c r="A11612"/>
      <c r="B11612"/>
    </row>
    <row r="11613" spans="1:2" x14ac:dyDescent="0.25">
      <c r="A11613"/>
      <c r="B11613"/>
    </row>
    <row r="11614" spans="1:2" x14ac:dyDescent="0.25">
      <c r="A11614"/>
      <c r="B11614"/>
    </row>
    <row r="11615" spans="1:2" x14ac:dyDescent="0.25">
      <c r="A11615"/>
      <c r="B11615"/>
    </row>
    <row r="11616" spans="1:2" x14ac:dyDescent="0.25">
      <c r="A11616"/>
      <c r="B11616"/>
    </row>
    <row r="11617" spans="1:2" x14ac:dyDescent="0.25">
      <c r="A11617"/>
      <c r="B11617"/>
    </row>
    <row r="11618" spans="1:2" x14ac:dyDescent="0.25">
      <c r="A11618"/>
      <c r="B11618"/>
    </row>
    <row r="11619" spans="1:2" x14ac:dyDescent="0.25">
      <c r="A11619"/>
      <c r="B11619"/>
    </row>
    <row r="11620" spans="1:2" x14ac:dyDescent="0.25">
      <c r="A11620"/>
      <c r="B11620"/>
    </row>
    <row r="11621" spans="1:2" x14ac:dyDescent="0.25">
      <c r="A11621"/>
      <c r="B11621"/>
    </row>
    <row r="11622" spans="1:2" x14ac:dyDescent="0.25">
      <c r="A11622"/>
      <c r="B11622"/>
    </row>
    <row r="11623" spans="1:2" x14ac:dyDescent="0.25">
      <c r="A11623"/>
      <c r="B11623"/>
    </row>
    <row r="11624" spans="1:2" x14ac:dyDescent="0.25">
      <c r="A11624"/>
      <c r="B11624"/>
    </row>
    <row r="11625" spans="1:2" x14ac:dyDescent="0.25">
      <c r="A11625"/>
      <c r="B11625"/>
    </row>
    <row r="11626" spans="1:2" x14ac:dyDescent="0.25">
      <c r="A11626"/>
      <c r="B11626"/>
    </row>
    <row r="11627" spans="1:2" x14ac:dyDescent="0.25">
      <c r="A11627"/>
      <c r="B11627"/>
    </row>
    <row r="11628" spans="1:2" x14ac:dyDescent="0.25">
      <c r="A11628"/>
      <c r="B11628"/>
    </row>
    <row r="11629" spans="1:2" x14ac:dyDescent="0.25">
      <c r="A11629"/>
      <c r="B11629"/>
    </row>
    <row r="11630" spans="1:2" x14ac:dyDescent="0.25">
      <c r="A11630"/>
      <c r="B11630"/>
    </row>
    <row r="11631" spans="1:2" x14ac:dyDescent="0.25">
      <c r="A11631"/>
      <c r="B11631"/>
    </row>
    <row r="11632" spans="1:2" x14ac:dyDescent="0.25">
      <c r="A11632"/>
      <c r="B11632"/>
    </row>
    <row r="11633" spans="1:2" x14ac:dyDescent="0.25">
      <c r="A11633"/>
      <c r="B11633"/>
    </row>
    <row r="11634" spans="1:2" x14ac:dyDescent="0.25">
      <c r="A11634"/>
      <c r="B11634"/>
    </row>
    <row r="11635" spans="1:2" x14ac:dyDescent="0.25">
      <c r="A11635"/>
      <c r="B11635"/>
    </row>
    <row r="11636" spans="1:2" x14ac:dyDescent="0.25">
      <c r="A11636"/>
      <c r="B11636"/>
    </row>
    <row r="11637" spans="1:2" x14ac:dyDescent="0.25">
      <c r="A11637"/>
      <c r="B11637"/>
    </row>
    <row r="11638" spans="1:2" x14ac:dyDescent="0.25">
      <c r="A11638"/>
      <c r="B11638"/>
    </row>
    <row r="11639" spans="1:2" x14ac:dyDescent="0.25">
      <c r="A11639"/>
      <c r="B11639"/>
    </row>
    <row r="11640" spans="1:2" x14ac:dyDescent="0.25">
      <c r="A11640"/>
      <c r="B11640"/>
    </row>
    <row r="11641" spans="1:2" x14ac:dyDescent="0.25">
      <c r="A11641"/>
      <c r="B11641"/>
    </row>
    <row r="11642" spans="1:2" x14ac:dyDescent="0.25">
      <c r="A11642"/>
      <c r="B11642"/>
    </row>
    <row r="11643" spans="1:2" x14ac:dyDescent="0.25">
      <c r="A11643"/>
      <c r="B11643"/>
    </row>
    <row r="11644" spans="1:2" x14ac:dyDescent="0.25">
      <c r="A11644"/>
      <c r="B11644"/>
    </row>
    <row r="11645" spans="1:2" x14ac:dyDescent="0.25">
      <c r="A11645"/>
      <c r="B11645"/>
    </row>
    <row r="11646" spans="1:2" x14ac:dyDescent="0.25">
      <c r="A11646"/>
      <c r="B11646"/>
    </row>
    <row r="11647" spans="1:2" x14ac:dyDescent="0.25">
      <c r="A11647"/>
      <c r="B11647"/>
    </row>
    <row r="11648" spans="1:2" x14ac:dyDescent="0.25">
      <c r="A11648"/>
      <c r="B11648"/>
    </row>
    <row r="11649" spans="1:2" x14ac:dyDescent="0.25">
      <c r="A11649"/>
      <c r="B11649"/>
    </row>
    <row r="11650" spans="1:2" x14ac:dyDescent="0.25">
      <c r="A11650"/>
      <c r="B11650"/>
    </row>
    <row r="11651" spans="1:2" x14ac:dyDescent="0.25">
      <c r="A11651"/>
      <c r="B11651"/>
    </row>
    <row r="11652" spans="1:2" x14ac:dyDescent="0.25">
      <c r="A11652"/>
      <c r="B11652"/>
    </row>
    <row r="11653" spans="1:2" x14ac:dyDescent="0.25">
      <c r="A11653"/>
      <c r="B11653"/>
    </row>
    <row r="11654" spans="1:2" x14ac:dyDescent="0.25">
      <c r="A11654"/>
      <c r="B11654"/>
    </row>
    <row r="11655" spans="1:2" x14ac:dyDescent="0.25">
      <c r="A11655"/>
      <c r="B11655"/>
    </row>
    <row r="11656" spans="1:2" x14ac:dyDescent="0.25">
      <c r="A11656"/>
      <c r="B11656"/>
    </row>
    <row r="11657" spans="1:2" x14ac:dyDescent="0.25">
      <c r="A11657"/>
      <c r="B11657"/>
    </row>
    <row r="11658" spans="1:2" x14ac:dyDescent="0.25">
      <c r="A11658"/>
      <c r="B11658"/>
    </row>
    <row r="11659" spans="1:2" x14ac:dyDescent="0.25">
      <c r="A11659"/>
      <c r="B11659"/>
    </row>
    <row r="11660" spans="1:2" x14ac:dyDescent="0.25">
      <c r="A11660"/>
      <c r="B11660"/>
    </row>
    <row r="11661" spans="1:2" x14ac:dyDescent="0.25">
      <c r="A11661"/>
      <c r="B11661"/>
    </row>
    <row r="11662" spans="1:2" x14ac:dyDescent="0.25">
      <c r="A11662"/>
      <c r="B11662"/>
    </row>
    <row r="11663" spans="1:2" x14ac:dyDescent="0.25">
      <c r="A11663"/>
      <c r="B11663"/>
    </row>
    <row r="11664" spans="1:2" x14ac:dyDescent="0.25">
      <c r="A11664"/>
      <c r="B11664"/>
    </row>
    <row r="11665" spans="1:2" x14ac:dyDescent="0.25">
      <c r="A11665"/>
      <c r="B11665"/>
    </row>
    <row r="11666" spans="1:2" x14ac:dyDescent="0.25">
      <c r="A11666"/>
      <c r="B11666"/>
    </row>
    <row r="11667" spans="1:2" x14ac:dyDescent="0.25">
      <c r="A11667"/>
      <c r="B11667"/>
    </row>
    <row r="11668" spans="1:2" x14ac:dyDescent="0.25">
      <c r="A11668"/>
      <c r="B11668"/>
    </row>
    <row r="11669" spans="1:2" x14ac:dyDescent="0.25">
      <c r="A11669"/>
      <c r="B11669"/>
    </row>
    <row r="11670" spans="1:2" x14ac:dyDescent="0.25">
      <c r="A11670"/>
      <c r="B11670"/>
    </row>
    <row r="11671" spans="1:2" x14ac:dyDescent="0.25">
      <c r="A11671"/>
      <c r="B11671"/>
    </row>
    <row r="11672" spans="1:2" x14ac:dyDescent="0.25">
      <c r="A11672"/>
      <c r="B11672"/>
    </row>
    <row r="11673" spans="1:2" x14ac:dyDescent="0.25">
      <c r="A11673"/>
      <c r="B11673"/>
    </row>
    <row r="11674" spans="1:2" x14ac:dyDescent="0.25">
      <c r="A11674"/>
      <c r="B11674"/>
    </row>
    <row r="11675" spans="1:2" x14ac:dyDescent="0.25">
      <c r="A11675"/>
      <c r="B11675"/>
    </row>
    <row r="11676" spans="1:2" x14ac:dyDescent="0.25">
      <c r="A11676"/>
      <c r="B11676"/>
    </row>
    <row r="11677" spans="1:2" x14ac:dyDescent="0.25">
      <c r="A11677"/>
      <c r="B11677"/>
    </row>
    <row r="11678" spans="1:2" x14ac:dyDescent="0.25">
      <c r="A11678"/>
      <c r="B11678"/>
    </row>
    <row r="11679" spans="1:2" x14ac:dyDescent="0.25">
      <c r="A11679"/>
      <c r="B11679"/>
    </row>
    <row r="11680" spans="1:2" x14ac:dyDescent="0.25">
      <c r="A11680"/>
      <c r="B11680"/>
    </row>
    <row r="11681" spans="1:2" x14ac:dyDescent="0.25">
      <c r="A11681"/>
      <c r="B11681"/>
    </row>
    <row r="11682" spans="1:2" x14ac:dyDescent="0.25">
      <c r="A11682"/>
      <c r="B11682"/>
    </row>
    <row r="11683" spans="1:2" x14ac:dyDescent="0.25">
      <c r="A11683"/>
      <c r="B11683"/>
    </row>
    <row r="11684" spans="1:2" x14ac:dyDescent="0.25">
      <c r="A11684"/>
      <c r="B11684"/>
    </row>
    <row r="11685" spans="1:2" x14ac:dyDescent="0.25">
      <c r="A11685"/>
      <c r="B11685"/>
    </row>
    <row r="11686" spans="1:2" x14ac:dyDescent="0.25">
      <c r="A11686"/>
      <c r="B11686"/>
    </row>
    <row r="11687" spans="1:2" x14ac:dyDescent="0.25">
      <c r="A11687"/>
      <c r="B11687"/>
    </row>
    <row r="11688" spans="1:2" x14ac:dyDescent="0.25">
      <c r="A11688"/>
      <c r="B11688"/>
    </row>
    <row r="11689" spans="1:2" x14ac:dyDescent="0.25">
      <c r="A11689"/>
      <c r="B11689"/>
    </row>
    <row r="11690" spans="1:2" x14ac:dyDescent="0.25">
      <c r="A11690"/>
      <c r="B11690"/>
    </row>
    <row r="11691" spans="1:2" x14ac:dyDescent="0.25">
      <c r="A11691"/>
      <c r="B11691"/>
    </row>
    <row r="11692" spans="1:2" x14ac:dyDescent="0.25">
      <c r="A11692"/>
      <c r="B11692"/>
    </row>
    <row r="11693" spans="1:2" x14ac:dyDescent="0.25">
      <c r="A11693"/>
      <c r="B11693"/>
    </row>
    <row r="11694" spans="1:2" x14ac:dyDescent="0.25">
      <c r="A11694"/>
      <c r="B11694"/>
    </row>
    <row r="11695" spans="1:2" x14ac:dyDescent="0.25">
      <c r="A11695"/>
      <c r="B11695"/>
    </row>
    <row r="11696" spans="1:2" x14ac:dyDescent="0.25">
      <c r="A11696"/>
      <c r="B11696"/>
    </row>
    <row r="11697" spans="1:2" x14ac:dyDescent="0.25">
      <c r="A11697"/>
      <c r="B11697"/>
    </row>
    <row r="11698" spans="1:2" x14ac:dyDescent="0.25">
      <c r="A11698"/>
      <c r="B11698"/>
    </row>
    <row r="11699" spans="1:2" x14ac:dyDescent="0.25">
      <c r="A11699"/>
      <c r="B11699"/>
    </row>
    <row r="11700" spans="1:2" x14ac:dyDescent="0.25">
      <c r="A11700"/>
      <c r="B11700"/>
    </row>
    <row r="11701" spans="1:2" x14ac:dyDescent="0.25">
      <c r="A11701"/>
      <c r="B11701"/>
    </row>
    <row r="11702" spans="1:2" x14ac:dyDescent="0.25">
      <c r="A11702"/>
      <c r="B11702"/>
    </row>
    <row r="11703" spans="1:2" x14ac:dyDescent="0.25">
      <c r="A11703"/>
      <c r="B11703"/>
    </row>
    <row r="11704" spans="1:2" x14ac:dyDescent="0.25">
      <c r="A11704"/>
      <c r="B11704"/>
    </row>
    <row r="11705" spans="1:2" x14ac:dyDescent="0.25">
      <c r="A11705"/>
      <c r="B11705"/>
    </row>
    <row r="11706" spans="1:2" x14ac:dyDescent="0.25">
      <c r="A11706"/>
      <c r="B11706"/>
    </row>
    <row r="11707" spans="1:2" x14ac:dyDescent="0.25">
      <c r="A11707"/>
      <c r="B11707"/>
    </row>
    <row r="11708" spans="1:2" x14ac:dyDescent="0.25">
      <c r="A11708"/>
      <c r="B11708"/>
    </row>
    <row r="11709" spans="1:2" x14ac:dyDescent="0.25">
      <c r="A11709"/>
      <c r="B11709"/>
    </row>
    <row r="11710" spans="1:2" x14ac:dyDescent="0.25">
      <c r="A11710"/>
      <c r="B11710"/>
    </row>
    <row r="11711" spans="1:2" x14ac:dyDescent="0.25">
      <c r="A11711"/>
      <c r="B11711"/>
    </row>
    <row r="11712" spans="1:2" x14ac:dyDescent="0.25">
      <c r="A11712"/>
      <c r="B11712"/>
    </row>
    <row r="11713" spans="1:2" x14ac:dyDescent="0.25">
      <c r="A11713"/>
      <c r="B11713"/>
    </row>
    <row r="11714" spans="1:2" x14ac:dyDescent="0.25">
      <c r="A11714"/>
      <c r="B11714"/>
    </row>
    <row r="11715" spans="1:2" x14ac:dyDescent="0.25">
      <c r="A11715"/>
      <c r="B11715"/>
    </row>
    <row r="11716" spans="1:2" x14ac:dyDescent="0.25">
      <c r="A11716"/>
      <c r="B11716"/>
    </row>
    <row r="11717" spans="1:2" x14ac:dyDescent="0.25">
      <c r="A11717"/>
      <c r="B11717"/>
    </row>
    <row r="11718" spans="1:2" x14ac:dyDescent="0.25">
      <c r="A11718"/>
      <c r="B11718"/>
    </row>
    <row r="11719" spans="1:2" x14ac:dyDescent="0.25">
      <c r="A11719"/>
      <c r="B11719"/>
    </row>
    <row r="11720" spans="1:2" x14ac:dyDescent="0.25">
      <c r="A11720"/>
      <c r="B11720"/>
    </row>
    <row r="11721" spans="1:2" x14ac:dyDescent="0.25">
      <c r="A11721"/>
      <c r="B11721"/>
    </row>
    <row r="11722" spans="1:2" x14ac:dyDescent="0.25">
      <c r="A11722"/>
      <c r="B11722"/>
    </row>
    <row r="11723" spans="1:2" x14ac:dyDescent="0.25">
      <c r="A11723"/>
      <c r="B11723"/>
    </row>
    <row r="11724" spans="1:2" x14ac:dyDescent="0.25">
      <c r="A11724"/>
      <c r="B11724"/>
    </row>
    <row r="11725" spans="1:2" x14ac:dyDescent="0.25">
      <c r="A11725"/>
      <c r="B11725"/>
    </row>
    <row r="11726" spans="1:2" x14ac:dyDescent="0.25">
      <c r="A11726"/>
      <c r="B11726"/>
    </row>
    <row r="11727" spans="1:2" x14ac:dyDescent="0.25">
      <c r="A11727"/>
      <c r="B11727"/>
    </row>
    <row r="11728" spans="1:2" x14ac:dyDescent="0.25">
      <c r="A11728"/>
      <c r="B11728"/>
    </row>
    <row r="11729" spans="1:2" x14ac:dyDescent="0.25">
      <c r="A11729"/>
      <c r="B11729"/>
    </row>
    <row r="11730" spans="1:2" x14ac:dyDescent="0.25">
      <c r="A11730"/>
      <c r="B11730"/>
    </row>
    <row r="11731" spans="1:2" x14ac:dyDescent="0.25">
      <c r="A11731"/>
      <c r="B11731"/>
    </row>
    <row r="11732" spans="1:2" x14ac:dyDescent="0.25">
      <c r="A11732"/>
      <c r="B11732"/>
    </row>
    <row r="11733" spans="1:2" x14ac:dyDescent="0.25">
      <c r="A11733"/>
      <c r="B11733"/>
    </row>
    <row r="11734" spans="1:2" x14ac:dyDescent="0.25">
      <c r="A11734"/>
      <c r="B11734"/>
    </row>
    <row r="11735" spans="1:2" x14ac:dyDescent="0.25">
      <c r="A11735"/>
      <c r="B11735"/>
    </row>
    <row r="11736" spans="1:2" x14ac:dyDescent="0.25">
      <c r="A11736"/>
      <c r="B11736"/>
    </row>
    <row r="11737" spans="1:2" x14ac:dyDescent="0.25">
      <c r="A11737"/>
      <c r="B11737"/>
    </row>
    <row r="11738" spans="1:2" x14ac:dyDescent="0.25">
      <c r="A11738"/>
      <c r="B11738"/>
    </row>
    <row r="11739" spans="1:2" x14ac:dyDescent="0.25">
      <c r="A11739"/>
      <c r="B11739"/>
    </row>
    <row r="11740" spans="1:2" x14ac:dyDescent="0.25">
      <c r="A11740"/>
      <c r="B11740"/>
    </row>
    <row r="11741" spans="1:2" x14ac:dyDescent="0.25">
      <c r="A11741"/>
      <c r="B11741"/>
    </row>
    <row r="11742" spans="1:2" x14ac:dyDescent="0.25">
      <c r="A11742"/>
      <c r="B11742"/>
    </row>
    <row r="11743" spans="1:2" x14ac:dyDescent="0.25">
      <c r="A11743"/>
      <c r="B11743"/>
    </row>
    <row r="11744" spans="1:2" x14ac:dyDescent="0.25">
      <c r="A11744"/>
      <c r="B11744"/>
    </row>
    <row r="11745" spans="1:2" x14ac:dyDescent="0.25">
      <c r="A11745"/>
      <c r="B11745"/>
    </row>
    <row r="11746" spans="1:2" x14ac:dyDescent="0.25">
      <c r="A11746"/>
      <c r="B11746"/>
    </row>
    <row r="11747" spans="1:2" x14ac:dyDescent="0.25">
      <c r="A11747"/>
      <c r="B11747"/>
    </row>
    <row r="11748" spans="1:2" x14ac:dyDescent="0.25">
      <c r="A11748"/>
      <c r="B11748"/>
    </row>
    <row r="11749" spans="1:2" x14ac:dyDescent="0.25">
      <c r="A11749"/>
      <c r="B11749"/>
    </row>
    <row r="11750" spans="1:2" x14ac:dyDescent="0.25">
      <c r="A11750"/>
      <c r="B11750"/>
    </row>
    <row r="11751" spans="1:2" x14ac:dyDescent="0.25">
      <c r="A11751"/>
      <c r="B11751"/>
    </row>
    <row r="11752" spans="1:2" x14ac:dyDescent="0.25">
      <c r="A11752"/>
      <c r="B11752"/>
    </row>
    <row r="11753" spans="1:2" x14ac:dyDescent="0.25">
      <c r="A11753"/>
      <c r="B11753"/>
    </row>
    <row r="11754" spans="1:2" x14ac:dyDescent="0.25">
      <c r="A11754"/>
      <c r="B11754"/>
    </row>
    <row r="11755" spans="1:2" x14ac:dyDescent="0.25">
      <c r="A11755"/>
      <c r="B11755"/>
    </row>
    <row r="11756" spans="1:2" x14ac:dyDescent="0.25">
      <c r="A11756"/>
      <c r="B11756"/>
    </row>
    <row r="11757" spans="1:2" x14ac:dyDescent="0.25">
      <c r="A11757"/>
      <c r="B11757"/>
    </row>
    <row r="11758" spans="1:2" x14ac:dyDescent="0.25">
      <c r="A11758"/>
      <c r="B11758"/>
    </row>
    <row r="11759" spans="1:2" x14ac:dyDescent="0.25">
      <c r="A11759"/>
      <c r="B11759"/>
    </row>
    <row r="11760" spans="1:2" x14ac:dyDescent="0.25">
      <c r="A11760"/>
      <c r="B11760"/>
    </row>
    <row r="11761" spans="1:2" x14ac:dyDescent="0.25">
      <c r="A11761"/>
      <c r="B11761"/>
    </row>
    <row r="11762" spans="1:2" x14ac:dyDescent="0.25">
      <c r="A11762"/>
      <c r="B11762"/>
    </row>
    <row r="11763" spans="1:2" x14ac:dyDescent="0.25">
      <c r="A11763"/>
      <c r="B11763"/>
    </row>
    <row r="11764" spans="1:2" x14ac:dyDescent="0.25">
      <c r="A11764"/>
      <c r="B11764"/>
    </row>
    <row r="11765" spans="1:2" x14ac:dyDescent="0.25">
      <c r="A11765"/>
      <c r="B11765"/>
    </row>
    <row r="11766" spans="1:2" x14ac:dyDescent="0.25">
      <c r="A11766"/>
      <c r="B11766"/>
    </row>
    <row r="11767" spans="1:2" x14ac:dyDescent="0.25">
      <c r="A11767"/>
      <c r="B11767"/>
    </row>
    <row r="11768" spans="1:2" x14ac:dyDescent="0.25">
      <c r="A11768"/>
      <c r="B11768"/>
    </row>
    <row r="11769" spans="1:2" x14ac:dyDescent="0.25">
      <c r="A11769"/>
      <c r="B11769"/>
    </row>
    <row r="11770" spans="1:2" x14ac:dyDescent="0.25">
      <c r="A11770"/>
      <c r="B11770"/>
    </row>
    <row r="11771" spans="1:2" x14ac:dyDescent="0.25">
      <c r="A11771"/>
      <c r="B11771"/>
    </row>
    <row r="11772" spans="1:2" x14ac:dyDescent="0.25">
      <c r="A11772"/>
      <c r="B11772"/>
    </row>
    <row r="11773" spans="1:2" x14ac:dyDescent="0.25">
      <c r="A11773"/>
      <c r="B11773"/>
    </row>
    <row r="11774" spans="1:2" x14ac:dyDescent="0.25">
      <c r="A11774"/>
      <c r="B11774"/>
    </row>
    <row r="11775" spans="1:2" x14ac:dyDescent="0.25">
      <c r="A11775"/>
      <c r="B11775"/>
    </row>
    <row r="11776" spans="1:2" x14ac:dyDescent="0.25">
      <c r="A11776"/>
      <c r="B11776"/>
    </row>
    <row r="11777" spans="1:2" x14ac:dyDescent="0.25">
      <c r="A11777"/>
      <c r="B11777"/>
    </row>
    <row r="11778" spans="1:2" x14ac:dyDescent="0.25">
      <c r="A11778"/>
      <c r="B11778"/>
    </row>
    <row r="11779" spans="1:2" x14ac:dyDescent="0.25">
      <c r="A11779"/>
      <c r="B11779"/>
    </row>
    <row r="11780" spans="1:2" x14ac:dyDescent="0.25">
      <c r="A11780"/>
      <c r="B11780"/>
    </row>
    <row r="11781" spans="1:2" x14ac:dyDescent="0.25">
      <c r="A11781"/>
      <c r="B11781"/>
    </row>
    <row r="11782" spans="1:2" x14ac:dyDescent="0.25">
      <c r="A11782"/>
      <c r="B11782"/>
    </row>
    <row r="11783" spans="1:2" x14ac:dyDescent="0.25">
      <c r="A11783"/>
      <c r="B11783"/>
    </row>
    <row r="11784" spans="1:2" x14ac:dyDescent="0.25">
      <c r="A11784"/>
      <c r="B11784"/>
    </row>
    <row r="11785" spans="1:2" x14ac:dyDescent="0.25">
      <c r="A11785"/>
      <c r="B11785"/>
    </row>
    <row r="11786" spans="1:2" x14ac:dyDescent="0.25">
      <c r="A11786"/>
      <c r="B11786"/>
    </row>
    <row r="11787" spans="1:2" x14ac:dyDescent="0.25">
      <c r="A11787"/>
      <c r="B11787"/>
    </row>
    <row r="11788" spans="1:2" x14ac:dyDescent="0.25">
      <c r="A11788"/>
      <c r="B11788"/>
    </row>
    <row r="11789" spans="1:2" x14ac:dyDescent="0.25">
      <c r="A11789"/>
      <c r="B11789"/>
    </row>
    <row r="11790" spans="1:2" x14ac:dyDescent="0.25">
      <c r="A11790"/>
      <c r="B11790"/>
    </row>
    <row r="11791" spans="1:2" x14ac:dyDescent="0.25">
      <c r="A11791"/>
      <c r="B11791"/>
    </row>
    <row r="11792" spans="1:2" x14ac:dyDescent="0.25">
      <c r="A11792"/>
      <c r="B11792"/>
    </row>
    <row r="11793" spans="1:2" x14ac:dyDescent="0.25">
      <c r="A11793"/>
      <c r="B11793"/>
    </row>
    <row r="11794" spans="1:2" x14ac:dyDescent="0.25">
      <c r="A11794"/>
      <c r="B11794"/>
    </row>
    <row r="11795" spans="1:2" x14ac:dyDescent="0.25">
      <c r="A11795"/>
      <c r="B11795"/>
    </row>
    <row r="11796" spans="1:2" x14ac:dyDescent="0.25">
      <c r="A11796"/>
      <c r="B11796"/>
    </row>
    <row r="11797" spans="1:2" x14ac:dyDescent="0.25">
      <c r="A11797"/>
      <c r="B11797"/>
    </row>
    <row r="11798" spans="1:2" x14ac:dyDescent="0.25">
      <c r="A11798"/>
      <c r="B11798"/>
    </row>
    <row r="11799" spans="1:2" x14ac:dyDescent="0.25">
      <c r="A11799"/>
      <c r="B11799"/>
    </row>
    <row r="11800" spans="1:2" x14ac:dyDescent="0.25">
      <c r="A11800"/>
      <c r="B11800"/>
    </row>
    <row r="11801" spans="1:2" x14ac:dyDescent="0.25">
      <c r="A11801"/>
      <c r="B11801"/>
    </row>
    <row r="11802" spans="1:2" x14ac:dyDescent="0.25">
      <c r="A11802"/>
      <c r="B11802"/>
    </row>
    <row r="11803" spans="1:2" x14ac:dyDescent="0.25">
      <c r="A11803"/>
      <c r="B11803"/>
    </row>
    <row r="11804" spans="1:2" x14ac:dyDescent="0.25">
      <c r="A11804"/>
      <c r="B11804"/>
    </row>
    <row r="11805" spans="1:2" x14ac:dyDescent="0.25">
      <c r="A11805"/>
      <c r="B11805"/>
    </row>
    <row r="11806" spans="1:2" x14ac:dyDescent="0.25">
      <c r="A11806"/>
      <c r="B11806"/>
    </row>
    <row r="11807" spans="1:2" x14ac:dyDescent="0.25">
      <c r="A11807"/>
      <c r="B11807"/>
    </row>
    <row r="11808" spans="1:2" x14ac:dyDescent="0.25">
      <c r="A11808"/>
      <c r="B11808"/>
    </row>
    <row r="11809" spans="1:2" x14ac:dyDescent="0.25">
      <c r="A11809"/>
      <c r="B11809"/>
    </row>
    <row r="11810" spans="1:2" x14ac:dyDescent="0.25">
      <c r="A11810"/>
      <c r="B11810"/>
    </row>
    <row r="11811" spans="1:2" x14ac:dyDescent="0.25">
      <c r="A11811"/>
      <c r="B11811"/>
    </row>
    <row r="11812" spans="1:2" x14ac:dyDescent="0.25">
      <c r="A11812"/>
      <c r="B11812"/>
    </row>
    <row r="11813" spans="1:2" x14ac:dyDescent="0.25">
      <c r="A11813"/>
      <c r="B11813"/>
    </row>
    <row r="11814" spans="1:2" x14ac:dyDescent="0.25">
      <c r="A11814"/>
      <c r="B11814"/>
    </row>
    <row r="11815" spans="1:2" x14ac:dyDescent="0.25">
      <c r="A11815"/>
      <c r="B11815"/>
    </row>
    <row r="11816" spans="1:2" x14ac:dyDescent="0.25">
      <c r="A11816"/>
      <c r="B11816"/>
    </row>
    <row r="11817" spans="1:2" x14ac:dyDescent="0.25">
      <c r="A11817"/>
      <c r="B11817"/>
    </row>
    <row r="11818" spans="1:2" x14ac:dyDescent="0.25">
      <c r="A11818"/>
      <c r="B11818"/>
    </row>
    <row r="11819" spans="1:2" x14ac:dyDescent="0.25">
      <c r="A11819"/>
      <c r="B11819"/>
    </row>
    <row r="11820" spans="1:2" x14ac:dyDescent="0.25">
      <c r="A11820"/>
      <c r="B11820"/>
    </row>
    <row r="11821" spans="1:2" x14ac:dyDescent="0.25">
      <c r="A11821"/>
      <c r="B11821"/>
    </row>
    <row r="11822" spans="1:2" x14ac:dyDescent="0.25">
      <c r="A11822"/>
      <c r="B11822"/>
    </row>
    <row r="11823" spans="1:2" x14ac:dyDescent="0.25">
      <c r="A11823"/>
      <c r="B11823"/>
    </row>
    <row r="11824" spans="1:2" x14ac:dyDescent="0.25">
      <c r="A11824"/>
      <c r="B11824"/>
    </row>
    <row r="11825" spans="1:2" x14ac:dyDescent="0.25">
      <c r="A11825"/>
      <c r="B11825"/>
    </row>
    <row r="11826" spans="1:2" x14ac:dyDescent="0.25">
      <c r="A11826"/>
      <c r="B11826"/>
    </row>
    <row r="11827" spans="1:2" x14ac:dyDescent="0.25">
      <c r="A11827"/>
      <c r="B11827"/>
    </row>
    <row r="11828" spans="1:2" x14ac:dyDescent="0.25">
      <c r="A11828"/>
      <c r="B11828"/>
    </row>
    <row r="11829" spans="1:2" x14ac:dyDescent="0.25">
      <c r="A11829"/>
      <c r="B11829"/>
    </row>
    <row r="11830" spans="1:2" x14ac:dyDescent="0.25">
      <c r="A11830"/>
      <c r="B11830"/>
    </row>
    <row r="11831" spans="1:2" x14ac:dyDescent="0.25">
      <c r="A11831"/>
      <c r="B11831"/>
    </row>
    <row r="11832" spans="1:2" x14ac:dyDescent="0.25">
      <c r="A11832"/>
      <c r="B11832"/>
    </row>
    <row r="11833" spans="1:2" x14ac:dyDescent="0.25">
      <c r="A11833"/>
      <c r="B11833"/>
    </row>
    <row r="11834" spans="1:2" x14ac:dyDescent="0.25">
      <c r="A11834"/>
      <c r="B11834"/>
    </row>
    <row r="11835" spans="1:2" x14ac:dyDescent="0.25">
      <c r="A11835"/>
      <c r="B11835"/>
    </row>
    <row r="11836" spans="1:2" x14ac:dyDescent="0.25">
      <c r="A11836"/>
      <c r="B11836"/>
    </row>
    <row r="11837" spans="1:2" x14ac:dyDescent="0.25">
      <c r="A11837"/>
      <c r="B11837"/>
    </row>
    <row r="11838" spans="1:2" x14ac:dyDescent="0.25">
      <c r="A11838"/>
      <c r="B11838"/>
    </row>
    <row r="11839" spans="1:2" x14ac:dyDescent="0.25">
      <c r="A11839"/>
      <c r="B11839"/>
    </row>
    <row r="11840" spans="1:2" x14ac:dyDescent="0.25">
      <c r="A11840"/>
      <c r="B11840"/>
    </row>
    <row r="11841" spans="1:2" x14ac:dyDescent="0.25">
      <c r="A11841"/>
      <c r="B11841"/>
    </row>
    <row r="11842" spans="1:2" x14ac:dyDescent="0.25">
      <c r="A11842"/>
      <c r="B11842"/>
    </row>
    <row r="11843" spans="1:2" x14ac:dyDescent="0.25">
      <c r="A11843"/>
      <c r="B11843"/>
    </row>
    <row r="11844" spans="1:2" x14ac:dyDescent="0.25">
      <c r="A11844"/>
      <c r="B11844"/>
    </row>
    <row r="11845" spans="1:2" x14ac:dyDescent="0.25">
      <c r="A11845"/>
      <c r="B11845"/>
    </row>
    <row r="11846" spans="1:2" x14ac:dyDescent="0.25">
      <c r="A11846"/>
      <c r="B11846"/>
    </row>
    <row r="11847" spans="1:2" x14ac:dyDescent="0.25">
      <c r="A11847"/>
      <c r="B11847"/>
    </row>
    <row r="11848" spans="1:2" x14ac:dyDescent="0.25">
      <c r="A11848"/>
      <c r="B11848"/>
    </row>
    <row r="11849" spans="1:2" x14ac:dyDescent="0.25">
      <c r="A11849"/>
      <c r="B11849"/>
    </row>
    <row r="11850" spans="1:2" x14ac:dyDescent="0.25">
      <c r="A11850"/>
      <c r="B11850"/>
    </row>
    <row r="11851" spans="1:2" x14ac:dyDescent="0.25">
      <c r="A11851"/>
      <c r="B11851"/>
    </row>
    <row r="11852" spans="1:2" x14ac:dyDescent="0.25">
      <c r="A11852"/>
      <c r="B11852"/>
    </row>
    <row r="11853" spans="1:2" x14ac:dyDescent="0.25">
      <c r="A11853"/>
      <c r="B11853"/>
    </row>
    <row r="11854" spans="1:2" x14ac:dyDescent="0.25">
      <c r="A11854"/>
      <c r="B11854"/>
    </row>
    <row r="11855" spans="1:2" x14ac:dyDescent="0.25">
      <c r="A11855"/>
      <c r="B11855"/>
    </row>
    <row r="11856" spans="1:2" x14ac:dyDescent="0.25">
      <c r="A11856"/>
      <c r="B11856"/>
    </row>
    <row r="11857" spans="1:2" x14ac:dyDescent="0.25">
      <c r="A11857"/>
      <c r="B11857"/>
    </row>
    <row r="11858" spans="1:2" x14ac:dyDescent="0.25">
      <c r="A11858"/>
      <c r="B11858"/>
    </row>
    <row r="11859" spans="1:2" x14ac:dyDescent="0.25">
      <c r="A11859"/>
      <c r="B11859"/>
    </row>
    <row r="11860" spans="1:2" x14ac:dyDescent="0.25">
      <c r="A11860"/>
      <c r="B11860"/>
    </row>
    <row r="11861" spans="1:2" x14ac:dyDescent="0.25">
      <c r="A11861"/>
      <c r="B11861"/>
    </row>
    <row r="11862" spans="1:2" x14ac:dyDescent="0.25">
      <c r="A11862"/>
      <c r="B11862"/>
    </row>
    <row r="11863" spans="1:2" x14ac:dyDescent="0.25">
      <c r="A11863"/>
      <c r="B11863"/>
    </row>
    <row r="11864" spans="1:2" x14ac:dyDescent="0.25">
      <c r="A11864"/>
      <c r="B11864"/>
    </row>
    <row r="11865" spans="1:2" x14ac:dyDescent="0.25">
      <c r="A11865"/>
      <c r="B11865"/>
    </row>
    <row r="11866" spans="1:2" x14ac:dyDescent="0.25">
      <c r="A11866"/>
      <c r="B11866"/>
    </row>
    <row r="11867" spans="1:2" x14ac:dyDescent="0.25">
      <c r="A11867"/>
      <c r="B11867"/>
    </row>
    <row r="11868" spans="1:2" x14ac:dyDescent="0.25">
      <c r="A11868"/>
      <c r="B11868"/>
    </row>
    <row r="11869" spans="1:2" x14ac:dyDescent="0.25">
      <c r="A11869"/>
      <c r="B11869"/>
    </row>
    <row r="11870" spans="1:2" x14ac:dyDescent="0.25">
      <c r="A11870"/>
      <c r="B11870"/>
    </row>
    <row r="11871" spans="1:2" x14ac:dyDescent="0.25">
      <c r="A11871"/>
      <c r="B11871"/>
    </row>
    <row r="11872" spans="1:2" x14ac:dyDescent="0.25">
      <c r="A11872"/>
      <c r="B11872"/>
    </row>
    <row r="11873" spans="1:2" x14ac:dyDescent="0.25">
      <c r="A11873"/>
      <c r="B11873"/>
    </row>
    <row r="11874" spans="1:2" x14ac:dyDescent="0.25">
      <c r="A11874"/>
      <c r="B11874"/>
    </row>
    <row r="11875" spans="1:2" x14ac:dyDescent="0.25">
      <c r="A11875"/>
      <c r="B11875"/>
    </row>
    <row r="11876" spans="1:2" x14ac:dyDescent="0.25">
      <c r="A11876"/>
      <c r="B11876"/>
    </row>
    <row r="11877" spans="1:2" x14ac:dyDescent="0.25">
      <c r="A11877"/>
      <c r="B11877"/>
    </row>
    <row r="11878" spans="1:2" x14ac:dyDescent="0.25">
      <c r="A11878"/>
      <c r="B11878"/>
    </row>
    <row r="11879" spans="1:2" x14ac:dyDescent="0.25">
      <c r="A11879"/>
      <c r="B11879"/>
    </row>
    <row r="11880" spans="1:2" x14ac:dyDescent="0.25">
      <c r="A11880"/>
      <c r="B11880"/>
    </row>
    <row r="11881" spans="1:2" x14ac:dyDescent="0.25">
      <c r="A11881"/>
      <c r="B11881"/>
    </row>
    <row r="11882" spans="1:2" x14ac:dyDescent="0.25">
      <c r="A11882"/>
      <c r="B11882"/>
    </row>
    <row r="11883" spans="1:2" x14ac:dyDescent="0.25">
      <c r="A11883"/>
      <c r="B11883"/>
    </row>
    <row r="11884" spans="1:2" x14ac:dyDescent="0.25">
      <c r="A11884"/>
      <c r="B11884"/>
    </row>
    <row r="11885" spans="1:2" x14ac:dyDescent="0.25">
      <c r="A11885"/>
      <c r="B11885"/>
    </row>
    <row r="11886" spans="1:2" x14ac:dyDescent="0.25">
      <c r="A11886"/>
      <c r="B11886"/>
    </row>
    <row r="11887" spans="1:2" x14ac:dyDescent="0.25">
      <c r="A11887"/>
      <c r="B11887"/>
    </row>
    <row r="11888" spans="1:2" x14ac:dyDescent="0.25">
      <c r="A11888"/>
      <c r="B11888"/>
    </row>
    <row r="11889" spans="1:2" x14ac:dyDescent="0.25">
      <c r="A11889"/>
      <c r="B11889"/>
    </row>
    <row r="11890" spans="1:2" x14ac:dyDescent="0.25">
      <c r="A11890"/>
      <c r="B11890"/>
    </row>
    <row r="11891" spans="1:2" x14ac:dyDescent="0.25">
      <c r="A11891"/>
      <c r="B11891"/>
    </row>
    <row r="11892" spans="1:2" x14ac:dyDescent="0.25">
      <c r="A11892"/>
      <c r="B11892"/>
    </row>
    <row r="11893" spans="1:2" x14ac:dyDescent="0.25">
      <c r="A11893"/>
      <c r="B11893"/>
    </row>
    <row r="11894" spans="1:2" x14ac:dyDescent="0.25">
      <c r="A11894"/>
      <c r="B11894"/>
    </row>
    <row r="11895" spans="1:2" x14ac:dyDescent="0.25">
      <c r="A11895"/>
      <c r="B11895"/>
    </row>
    <row r="11896" spans="1:2" x14ac:dyDescent="0.25">
      <c r="A11896"/>
      <c r="B11896"/>
    </row>
    <row r="11897" spans="1:2" x14ac:dyDescent="0.25">
      <c r="A11897"/>
      <c r="B11897"/>
    </row>
    <row r="11898" spans="1:2" x14ac:dyDescent="0.25">
      <c r="A11898"/>
      <c r="B11898"/>
    </row>
    <row r="11899" spans="1:2" x14ac:dyDescent="0.25">
      <c r="A11899"/>
      <c r="B11899"/>
    </row>
    <row r="11900" spans="1:2" x14ac:dyDescent="0.25">
      <c r="A11900"/>
      <c r="B11900"/>
    </row>
    <row r="11901" spans="1:2" x14ac:dyDescent="0.25">
      <c r="A11901"/>
      <c r="B11901"/>
    </row>
    <row r="11902" spans="1:2" x14ac:dyDescent="0.25">
      <c r="A11902"/>
      <c r="B11902"/>
    </row>
    <row r="11903" spans="1:2" x14ac:dyDescent="0.25">
      <c r="A11903"/>
      <c r="B11903"/>
    </row>
    <row r="11904" spans="1:2" x14ac:dyDescent="0.25">
      <c r="A11904"/>
      <c r="B11904"/>
    </row>
    <row r="11905" spans="1:2" x14ac:dyDescent="0.25">
      <c r="A11905"/>
      <c r="B11905"/>
    </row>
    <row r="11906" spans="1:2" x14ac:dyDescent="0.25">
      <c r="A11906"/>
      <c r="B11906"/>
    </row>
    <row r="11907" spans="1:2" x14ac:dyDescent="0.25">
      <c r="A11907"/>
      <c r="B11907"/>
    </row>
    <row r="11908" spans="1:2" x14ac:dyDescent="0.25">
      <c r="A11908"/>
      <c r="B11908"/>
    </row>
    <row r="11909" spans="1:2" x14ac:dyDescent="0.25">
      <c r="A11909"/>
      <c r="B11909"/>
    </row>
    <row r="11910" spans="1:2" x14ac:dyDescent="0.25">
      <c r="A11910"/>
      <c r="B11910"/>
    </row>
    <row r="11911" spans="1:2" x14ac:dyDescent="0.25">
      <c r="A11911"/>
      <c r="B11911"/>
    </row>
    <row r="11912" spans="1:2" x14ac:dyDescent="0.25">
      <c r="A11912"/>
      <c r="B11912"/>
    </row>
    <row r="11913" spans="1:2" x14ac:dyDescent="0.25">
      <c r="A11913"/>
      <c r="B11913"/>
    </row>
    <row r="11914" spans="1:2" x14ac:dyDescent="0.25">
      <c r="A11914"/>
      <c r="B11914"/>
    </row>
    <row r="11915" spans="1:2" x14ac:dyDescent="0.25">
      <c r="A11915"/>
      <c r="B11915"/>
    </row>
    <row r="11916" spans="1:2" x14ac:dyDescent="0.25">
      <c r="A11916"/>
      <c r="B11916"/>
    </row>
    <row r="11917" spans="1:2" x14ac:dyDescent="0.25">
      <c r="A11917"/>
      <c r="B11917"/>
    </row>
    <row r="11918" spans="1:2" x14ac:dyDescent="0.25">
      <c r="A11918"/>
      <c r="B11918"/>
    </row>
    <row r="11919" spans="1:2" x14ac:dyDescent="0.25">
      <c r="A11919"/>
      <c r="B11919"/>
    </row>
    <row r="11920" spans="1:2" x14ac:dyDescent="0.25">
      <c r="A11920"/>
      <c r="B11920"/>
    </row>
    <row r="11921" spans="1:2" x14ac:dyDescent="0.25">
      <c r="A11921"/>
      <c r="B11921"/>
    </row>
    <row r="11922" spans="1:2" x14ac:dyDescent="0.25">
      <c r="A11922"/>
      <c r="B11922"/>
    </row>
    <row r="11923" spans="1:2" x14ac:dyDescent="0.25">
      <c r="A11923"/>
      <c r="B11923"/>
    </row>
    <row r="11924" spans="1:2" x14ac:dyDescent="0.25">
      <c r="A11924"/>
      <c r="B11924"/>
    </row>
    <row r="11925" spans="1:2" x14ac:dyDescent="0.25">
      <c r="A11925"/>
      <c r="B11925"/>
    </row>
    <row r="11926" spans="1:2" x14ac:dyDescent="0.25">
      <c r="A11926"/>
      <c r="B11926"/>
    </row>
    <row r="11927" spans="1:2" x14ac:dyDescent="0.25">
      <c r="A11927"/>
      <c r="B11927"/>
    </row>
    <row r="11928" spans="1:2" x14ac:dyDescent="0.25">
      <c r="A11928"/>
      <c r="B11928"/>
    </row>
    <row r="11929" spans="1:2" x14ac:dyDescent="0.25">
      <c r="A11929"/>
      <c r="B11929"/>
    </row>
    <row r="11930" spans="1:2" x14ac:dyDescent="0.25">
      <c r="A11930"/>
      <c r="B11930"/>
    </row>
    <row r="11931" spans="1:2" x14ac:dyDescent="0.25">
      <c r="A11931"/>
      <c r="B11931"/>
    </row>
    <row r="11932" spans="1:2" x14ac:dyDescent="0.25">
      <c r="A11932"/>
      <c r="B11932"/>
    </row>
    <row r="11933" spans="1:2" x14ac:dyDescent="0.25">
      <c r="A11933"/>
      <c r="B11933"/>
    </row>
    <row r="11934" spans="1:2" x14ac:dyDescent="0.25">
      <c r="A11934"/>
      <c r="B11934"/>
    </row>
    <row r="11935" spans="1:2" x14ac:dyDescent="0.25">
      <c r="A11935"/>
      <c r="B11935"/>
    </row>
    <row r="11936" spans="1:2" x14ac:dyDescent="0.25">
      <c r="A11936"/>
      <c r="B11936"/>
    </row>
    <row r="11937" spans="1:2" x14ac:dyDescent="0.25">
      <c r="A11937"/>
      <c r="B11937"/>
    </row>
    <row r="11938" spans="1:2" x14ac:dyDescent="0.25">
      <c r="A11938"/>
      <c r="B11938"/>
    </row>
    <row r="11939" spans="1:2" x14ac:dyDescent="0.25">
      <c r="A11939"/>
      <c r="B11939"/>
    </row>
    <row r="11940" spans="1:2" x14ac:dyDescent="0.25">
      <c r="A11940"/>
      <c r="B11940"/>
    </row>
    <row r="11941" spans="1:2" x14ac:dyDescent="0.25">
      <c r="A11941"/>
      <c r="B11941"/>
    </row>
    <row r="11942" spans="1:2" x14ac:dyDescent="0.25">
      <c r="A11942"/>
      <c r="B11942"/>
    </row>
    <row r="11943" spans="1:2" x14ac:dyDescent="0.25">
      <c r="A11943"/>
      <c r="B11943"/>
    </row>
    <row r="11944" spans="1:2" x14ac:dyDescent="0.25">
      <c r="A11944"/>
      <c r="B11944"/>
    </row>
    <row r="11945" spans="1:2" x14ac:dyDescent="0.25">
      <c r="A11945"/>
      <c r="B11945"/>
    </row>
    <row r="11946" spans="1:2" x14ac:dyDescent="0.25">
      <c r="A11946"/>
      <c r="B11946"/>
    </row>
    <row r="11947" spans="1:2" x14ac:dyDescent="0.25">
      <c r="A11947"/>
      <c r="B11947"/>
    </row>
    <row r="11948" spans="1:2" x14ac:dyDescent="0.25">
      <c r="A11948"/>
      <c r="B11948"/>
    </row>
    <row r="11949" spans="1:2" x14ac:dyDescent="0.25">
      <c r="A11949"/>
      <c r="B11949"/>
    </row>
    <row r="11950" spans="1:2" x14ac:dyDescent="0.25">
      <c r="A11950"/>
      <c r="B11950"/>
    </row>
    <row r="11951" spans="1:2" x14ac:dyDescent="0.25">
      <c r="A11951"/>
      <c r="B11951"/>
    </row>
    <row r="11952" spans="1:2" x14ac:dyDescent="0.25">
      <c r="A11952"/>
      <c r="B11952"/>
    </row>
    <row r="11953" spans="1:2" x14ac:dyDescent="0.25">
      <c r="A11953"/>
      <c r="B11953"/>
    </row>
    <row r="11954" spans="1:2" x14ac:dyDescent="0.25">
      <c r="A11954"/>
      <c r="B11954"/>
    </row>
    <row r="11955" spans="1:2" x14ac:dyDescent="0.25">
      <c r="A11955"/>
      <c r="B11955"/>
    </row>
    <row r="11956" spans="1:2" x14ac:dyDescent="0.25">
      <c r="A11956"/>
      <c r="B11956"/>
    </row>
    <row r="11957" spans="1:2" x14ac:dyDescent="0.25">
      <c r="A11957"/>
      <c r="B11957"/>
    </row>
    <row r="11958" spans="1:2" x14ac:dyDescent="0.25">
      <c r="A11958"/>
      <c r="B11958"/>
    </row>
    <row r="11959" spans="1:2" x14ac:dyDescent="0.25">
      <c r="A11959"/>
      <c r="B11959"/>
    </row>
    <row r="11960" spans="1:2" x14ac:dyDescent="0.25">
      <c r="A11960"/>
      <c r="B11960"/>
    </row>
    <row r="11961" spans="1:2" x14ac:dyDescent="0.25">
      <c r="A11961"/>
      <c r="B11961"/>
    </row>
    <row r="11962" spans="1:2" x14ac:dyDescent="0.25">
      <c r="A11962"/>
      <c r="B11962"/>
    </row>
    <row r="11963" spans="1:2" x14ac:dyDescent="0.25">
      <c r="A11963"/>
      <c r="B11963"/>
    </row>
    <row r="11964" spans="1:2" x14ac:dyDescent="0.25">
      <c r="A11964"/>
      <c r="B11964"/>
    </row>
    <row r="11965" spans="1:2" x14ac:dyDescent="0.25">
      <c r="A11965"/>
      <c r="B11965"/>
    </row>
    <row r="11966" spans="1:2" x14ac:dyDescent="0.25">
      <c r="A11966"/>
      <c r="B11966"/>
    </row>
    <row r="11967" spans="1:2" x14ac:dyDescent="0.25">
      <c r="A11967"/>
      <c r="B11967"/>
    </row>
    <row r="11968" spans="1:2" x14ac:dyDescent="0.25">
      <c r="A11968"/>
      <c r="B11968"/>
    </row>
    <row r="11969" spans="1:2" x14ac:dyDescent="0.25">
      <c r="A11969"/>
      <c r="B11969"/>
    </row>
    <row r="11970" spans="1:2" x14ac:dyDescent="0.25">
      <c r="A11970"/>
      <c r="B11970"/>
    </row>
    <row r="11971" spans="1:2" x14ac:dyDescent="0.25">
      <c r="A11971"/>
      <c r="B11971"/>
    </row>
    <row r="11972" spans="1:2" x14ac:dyDescent="0.25">
      <c r="A11972"/>
      <c r="B11972"/>
    </row>
    <row r="11973" spans="1:2" x14ac:dyDescent="0.25">
      <c r="A11973"/>
      <c r="B11973"/>
    </row>
    <row r="11974" spans="1:2" x14ac:dyDescent="0.25">
      <c r="A11974"/>
      <c r="B11974"/>
    </row>
    <row r="11975" spans="1:2" x14ac:dyDescent="0.25">
      <c r="A11975"/>
      <c r="B11975"/>
    </row>
    <row r="11976" spans="1:2" x14ac:dyDescent="0.25">
      <c r="A11976"/>
      <c r="B11976"/>
    </row>
    <row r="11977" spans="1:2" x14ac:dyDescent="0.25">
      <c r="A11977"/>
      <c r="B11977"/>
    </row>
    <row r="11978" spans="1:2" x14ac:dyDescent="0.25">
      <c r="A11978"/>
      <c r="B11978"/>
    </row>
    <row r="11979" spans="1:2" x14ac:dyDescent="0.25">
      <c r="A11979"/>
      <c r="B11979"/>
    </row>
    <row r="11980" spans="1:2" x14ac:dyDescent="0.25">
      <c r="A11980"/>
      <c r="B11980"/>
    </row>
    <row r="11981" spans="1:2" x14ac:dyDescent="0.25">
      <c r="A11981"/>
      <c r="B11981"/>
    </row>
    <row r="11982" spans="1:2" x14ac:dyDescent="0.25">
      <c r="A11982"/>
      <c r="B11982"/>
    </row>
    <row r="11983" spans="1:2" x14ac:dyDescent="0.25">
      <c r="A11983"/>
      <c r="B11983"/>
    </row>
    <row r="11984" spans="1:2" x14ac:dyDescent="0.25">
      <c r="A11984"/>
      <c r="B11984"/>
    </row>
    <row r="11985" spans="1:2" x14ac:dyDescent="0.25">
      <c r="A11985"/>
      <c r="B11985"/>
    </row>
    <row r="11986" spans="1:2" x14ac:dyDescent="0.25">
      <c r="A11986"/>
      <c r="B11986"/>
    </row>
    <row r="11987" spans="1:2" x14ac:dyDescent="0.25">
      <c r="A11987"/>
      <c r="B11987"/>
    </row>
    <row r="11988" spans="1:2" x14ac:dyDescent="0.25">
      <c r="A11988"/>
      <c r="B11988"/>
    </row>
    <row r="11989" spans="1:2" x14ac:dyDescent="0.25">
      <c r="A11989"/>
      <c r="B11989"/>
    </row>
    <row r="11990" spans="1:2" x14ac:dyDescent="0.25">
      <c r="A11990"/>
      <c r="B11990"/>
    </row>
    <row r="11991" spans="1:2" x14ac:dyDescent="0.25">
      <c r="A11991"/>
      <c r="B11991"/>
    </row>
    <row r="11992" spans="1:2" x14ac:dyDescent="0.25">
      <c r="A11992"/>
      <c r="B11992"/>
    </row>
    <row r="11993" spans="1:2" x14ac:dyDescent="0.25">
      <c r="A11993"/>
      <c r="B11993"/>
    </row>
    <row r="11994" spans="1:2" x14ac:dyDescent="0.25">
      <c r="A11994"/>
      <c r="B11994"/>
    </row>
    <row r="11995" spans="1:2" x14ac:dyDescent="0.25">
      <c r="A11995"/>
      <c r="B11995"/>
    </row>
    <row r="11996" spans="1:2" x14ac:dyDescent="0.25">
      <c r="A11996"/>
      <c r="B11996"/>
    </row>
    <row r="11997" spans="1:2" x14ac:dyDescent="0.25">
      <c r="A11997"/>
      <c r="B11997"/>
    </row>
    <row r="11998" spans="1:2" x14ac:dyDescent="0.25">
      <c r="A11998"/>
      <c r="B11998"/>
    </row>
    <row r="11999" spans="1:2" x14ac:dyDescent="0.25">
      <c r="A11999"/>
      <c r="B11999"/>
    </row>
    <row r="12000" spans="1:2" x14ac:dyDescent="0.25">
      <c r="A12000"/>
      <c r="B12000"/>
    </row>
    <row r="12001" spans="1:2" x14ac:dyDescent="0.25">
      <c r="A12001"/>
      <c r="B12001"/>
    </row>
    <row r="12002" spans="1:2" x14ac:dyDescent="0.25">
      <c r="A12002"/>
      <c r="B12002"/>
    </row>
    <row r="12003" spans="1:2" x14ac:dyDescent="0.25">
      <c r="A12003"/>
      <c r="B12003"/>
    </row>
    <row r="12004" spans="1:2" x14ac:dyDescent="0.25">
      <c r="A12004"/>
      <c r="B12004"/>
    </row>
    <row r="12005" spans="1:2" x14ac:dyDescent="0.25">
      <c r="A12005"/>
      <c r="B12005"/>
    </row>
    <row r="12006" spans="1:2" x14ac:dyDescent="0.25">
      <c r="A12006"/>
      <c r="B12006"/>
    </row>
    <row r="12007" spans="1:2" x14ac:dyDescent="0.25">
      <c r="A12007"/>
      <c r="B12007"/>
    </row>
    <row r="12008" spans="1:2" x14ac:dyDescent="0.25">
      <c r="A12008"/>
      <c r="B12008"/>
    </row>
    <row r="12009" spans="1:2" x14ac:dyDescent="0.25">
      <c r="A12009"/>
      <c r="B12009"/>
    </row>
    <row r="12010" spans="1:2" x14ac:dyDescent="0.25">
      <c r="A12010"/>
      <c r="B12010"/>
    </row>
    <row r="12011" spans="1:2" x14ac:dyDescent="0.25">
      <c r="A12011"/>
      <c r="B12011"/>
    </row>
    <row r="12012" spans="1:2" x14ac:dyDescent="0.25">
      <c r="A12012"/>
      <c r="B12012"/>
    </row>
    <row r="12013" spans="1:2" x14ac:dyDescent="0.25">
      <c r="A12013"/>
      <c r="B12013"/>
    </row>
    <row r="12014" spans="1:2" x14ac:dyDescent="0.25">
      <c r="A12014"/>
      <c r="B12014"/>
    </row>
    <row r="12015" spans="1:2" x14ac:dyDescent="0.25">
      <c r="A12015"/>
      <c r="B12015"/>
    </row>
    <row r="12016" spans="1:2" x14ac:dyDescent="0.25">
      <c r="A12016"/>
      <c r="B12016"/>
    </row>
    <row r="12017" spans="1:2" x14ac:dyDescent="0.25">
      <c r="A12017"/>
      <c r="B12017"/>
    </row>
    <row r="12018" spans="1:2" x14ac:dyDescent="0.25">
      <c r="A12018"/>
      <c r="B12018"/>
    </row>
    <row r="12019" spans="1:2" x14ac:dyDescent="0.25">
      <c r="A12019"/>
      <c r="B12019"/>
    </row>
    <row r="12020" spans="1:2" x14ac:dyDescent="0.25">
      <c r="A12020"/>
      <c r="B12020"/>
    </row>
    <row r="12021" spans="1:2" x14ac:dyDescent="0.25">
      <c r="A12021"/>
      <c r="B12021"/>
    </row>
    <row r="12022" spans="1:2" x14ac:dyDescent="0.25">
      <c r="A12022"/>
      <c r="B12022"/>
    </row>
    <row r="12023" spans="1:2" x14ac:dyDescent="0.25">
      <c r="A12023"/>
      <c r="B12023"/>
    </row>
    <row r="12024" spans="1:2" x14ac:dyDescent="0.25">
      <c r="A12024"/>
      <c r="B12024"/>
    </row>
    <row r="12025" spans="1:2" x14ac:dyDescent="0.25">
      <c r="A12025"/>
      <c r="B12025"/>
    </row>
    <row r="12026" spans="1:2" x14ac:dyDescent="0.25">
      <c r="A12026"/>
      <c r="B12026"/>
    </row>
    <row r="12027" spans="1:2" x14ac:dyDescent="0.25">
      <c r="A12027"/>
      <c r="B12027"/>
    </row>
    <row r="12028" spans="1:2" x14ac:dyDescent="0.25">
      <c r="A12028"/>
      <c r="B12028"/>
    </row>
    <row r="12029" spans="1:2" x14ac:dyDescent="0.25">
      <c r="A12029"/>
      <c r="B12029"/>
    </row>
    <row r="12030" spans="1:2" x14ac:dyDescent="0.25">
      <c r="A12030"/>
      <c r="B12030"/>
    </row>
    <row r="12031" spans="1:2" x14ac:dyDescent="0.25">
      <c r="A12031"/>
      <c r="B12031"/>
    </row>
    <row r="12032" spans="1:2" x14ac:dyDescent="0.25">
      <c r="A12032"/>
      <c r="B12032"/>
    </row>
    <row r="12033" spans="1:2" x14ac:dyDescent="0.25">
      <c r="A12033"/>
      <c r="B12033"/>
    </row>
    <row r="12034" spans="1:2" x14ac:dyDescent="0.25">
      <c r="A12034"/>
      <c r="B12034"/>
    </row>
    <row r="12035" spans="1:2" x14ac:dyDescent="0.25">
      <c r="A12035"/>
      <c r="B12035"/>
    </row>
    <row r="12036" spans="1:2" x14ac:dyDescent="0.25">
      <c r="A12036"/>
      <c r="B12036"/>
    </row>
    <row r="12037" spans="1:2" x14ac:dyDescent="0.25">
      <c r="A12037"/>
      <c r="B12037"/>
    </row>
    <row r="12038" spans="1:2" x14ac:dyDescent="0.25">
      <c r="A12038"/>
      <c r="B12038"/>
    </row>
    <row r="12039" spans="1:2" x14ac:dyDescent="0.25">
      <c r="A12039"/>
      <c r="B12039"/>
    </row>
    <row r="12040" spans="1:2" x14ac:dyDescent="0.25">
      <c r="A12040"/>
      <c r="B12040"/>
    </row>
    <row r="12041" spans="1:2" x14ac:dyDescent="0.25">
      <c r="A12041"/>
      <c r="B12041"/>
    </row>
    <row r="12042" spans="1:2" x14ac:dyDescent="0.25">
      <c r="A12042"/>
      <c r="B12042"/>
    </row>
    <row r="12043" spans="1:2" x14ac:dyDescent="0.25">
      <c r="A12043"/>
      <c r="B12043"/>
    </row>
    <row r="12044" spans="1:2" x14ac:dyDescent="0.25">
      <c r="A12044"/>
      <c r="B12044"/>
    </row>
    <row r="12045" spans="1:2" x14ac:dyDescent="0.25">
      <c r="A12045"/>
      <c r="B12045"/>
    </row>
    <row r="12046" spans="1:2" x14ac:dyDescent="0.25">
      <c r="A12046"/>
      <c r="B12046"/>
    </row>
    <row r="12047" spans="1:2" x14ac:dyDescent="0.25">
      <c r="A12047"/>
      <c r="B12047"/>
    </row>
    <row r="12048" spans="1:2" x14ac:dyDescent="0.25">
      <c r="A12048"/>
      <c r="B12048"/>
    </row>
    <row r="12049" spans="1:2" x14ac:dyDescent="0.25">
      <c r="A12049"/>
      <c r="B12049"/>
    </row>
    <row r="12050" spans="1:2" x14ac:dyDescent="0.25">
      <c r="A12050"/>
      <c r="B12050"/>
    </row>
    <row r="12051" spans="1:2" x14ac:dyDescent="0.25">
      <c r="A12051"/>
      <c r="B12051"/>
    </row>
    <row r="12052" spans="1:2" x14ac:dyDescent="0.25">
      <c r="A12052"/>
      <c r="B12052"/>
    </row>
    <row r="12053" spans="1:2" x14ac:dyDescent="0.25">
      <c r="A12053"/>
      <c r="B12053"/>
    </row>
    <row r="12054" spans="1:2" x14ac:dyDescent="0.25">
      <c r="A12054"/>
      <c r="B12054"/>
    </row>
    <row r="12055" spans="1:2" x14ac:dyDescent="0.25">
      <c r="A12055"/>
      <c r="B12055"/>
    </row>
    <row r="12056" spans="1:2" x14ac:dyDescent="0.25">
      <c r="A12056"/>
      <c r="B12056"/>
    </row>
    <row r="12057" spans="1:2" x14ac:dyDescent="0.25">
      <c r="A12057"/>
      <c r="B12057"/>
    </row>
    <row r="12058" spans="1:2" x14ac:dyDescent="0.25">
      <c r="A12058"/>
      <c r="B12058"/>
    </row>
    <row r="12059" spans="1:2" x14ac:dyDescent="0.25">
      <c r="A12059"/>
      <c r="B12059"/>
    </row>
    <row r="12060" spans="1:2" x14ac:dyDescent="0.25">
      <c r="A12060"/>
      <c r="B12060"/>
    </row>
    <row r="12061" spans="1:2" x14ac:dyDescent="0.25">
      <c r="A12061"/>
      <c r="B12061"/>
    </row>
    <row r="12062" spans="1:2" x14ac:dyDescent="0.25">
      <c r="A12062"/>
      <c r="B12062"/>
    </row>
    <row r="12063" spans="1:2" x14ac:dyDescent="0.25">
      <c r="A12063"/>
      <c r="B12063"/>
    </row>
    <row r="12064" spans="1:2" x14ac:dyDescent="0.25">
      <c r="A12064"/>
      <c r="B12064"/>
    </row>
    <row r="12065" spans="1:2" x14ac:dyDescent="0.25">
      <c r="A12065"/>
      <c r="B12065"/>
    </row>
    <row r="12066" spans="1:2" x14ac:dyDescent="0.25">
      <c r="A12066"/>
      <c r="B12066"/>
    </row>
    <row r="12067" spans="1:2" x14ac:dyDescent="0.25">
      <c r="A12067"/>
      <c r="B12067"/>
    </row>
    <row r="12068" spans="1:2" x14ac:dyDescent="0.25">
      <c r="A12068"/>
      <c r="B12068"/>
    </row>
    <row r="12069" spans="1:2" x14ac:dyDescent="0.25">
      <c r="A12069"/>
      <c r="B12069"/>
    </row>
    <row r="12070" spans="1:2" x14ac:dyDescent="0.25">
      <c r="A12070"/>
      <c r="B12070"/>
    </row>
    <row r="12071" spans="1:2" x14ac:dyDescent="0.25">
      <c r="A12071"/>
      <c r="B12071"/>
    </row>
    <row r="12072" spans="1:2" x14ac:dyDescent="0.25">
      <c r="A12072"/>
      <c r="B12072"/>
    </row>
    <row r="12073" spans="1:2" x14ac:dyDescent="0.25">
      <c r="A12073"/>
      <c r="B12073"/>
    </row>
    <row r="12074" spans="1:2" x14ac:dyDescent="0.25">
      <c r="A12074"/>
      <c r="B12074"/>
    </row>
    <row r="12075" spans="1:2" x14ac:dyDescent="0.25">
      <c r="A12075"/>
      <c r="B12075"/>
    </row>
    <row r="12076" spans="1:2" x14ac:dyDescent="0.25">
      <c r="A12076"/>
      <c r="B12076"/>
    </row>
    <row r="12077" spans="1:2" x14ac:dyDescent="0.25">
      <c r="A12077"/>
      <c r="B12077"/>
    </row>
    <row r="12078" spans="1:2" x14ac:dyDescent="0.25">
      <c r="A12078"/>
      <c r="B12078"/>
    </row>
    <row r="12079" spans="1:2" x14ac:dyDescent="0.25">
      <c r="A12079"/>
      <c r="B12079"/>
    </row>
    <row r="12080" spans="1:2" x14ac:dyDescent="0.25">
      <c r="A12080"/>
      <c r="B12080"/>
    </row>
    <row r="12081" spans="1:2" x14ac:dyDescent="0.25">
      <c r="A12081"/>
      <c r="B12081"/>
    </row>
    <row r="12082" spans="1:2" x14ac:dyDescent="0.25">
      <c r="A12082"/>
      <c r="B12082"/>
    </row>
    <row r="12083" spans="1:2" x14ac:dyDescent="0.25">
      <c r="A12083"/>
      <c r="B12083"/>
    </row>
    <row r="12084" spans="1:2" x14ac:dyDescent="0.25">
      <c r="A12084"/>
      <c r="B12084"/>
    </row>
    <row r="12085" spans="1:2" x14ac:dyDescent="0.25">
      <c r="A12085"/>
      <c r="B12085"/>
    </row>
    <row r="12086" spans="1:2" x14ac:dyDescent="0.25">
      <c r="A12086"/>
      <c r="B12086"/>
    </row>
    <row r="12087" spans="1:2" x14ac:dyDescent="0.25">
      <c r="A12087"/>
      <c r="B12087"/>
    </row>
    <row r="12088" spans="1:2" x14ac:dyDescent="0.25">
      <c r="A12088"/>
      <c r="B12088"/>
    </row>
    <row r="12089" spans="1:2" x14ac:dyDescent="0.25">
      <c r="A12089"/>
      <c r="B12089"/>
    </row>
    <row r="12090" spans="1:2" x14ac:dyDescent="0.25">
      <c r="A12090"/>
      <c r="B12090"/>
    </row>
    <row r="12091" spans="1:2" x14ac:dyDescent="0.25">
      <c r="A12091"/>
      <c r="B12091"/>
    </row>
    <row r="12092" spans="1:2" x14ac:dyDescent="0.25">
      <c r="A12092"/>
      <c r="B12092"/>
    </row>
    <row r="12093" spans="1:2" x14ac:dyDescent="0.25">
      <c r="A12093"/>
      <c r="B12093"/>
    </row>
    <row r="12094" spans="1:2" x14ac:dyDescent="0.25">
      <c r="A12094"/>
      <c r="B12094"/>
    </row>
    <row r="12095" spans="1:2" x14ac:dyDescent="0.25">
      <c r="A12095"/>
      <c r="B12095"/>
    </row>
    <row r="12096" spans="1:2" x14ac:dyDescent="0.25">
      <c r="A12096"/>
      <c r="B12096"/>
    </row>
    <row r="12097" spans="1:2" x14ac:dyDescent="0.25">
      <c r="A12097"/>
      <c r="B12097"/>
    </row>
    <row r="12098" spans="1:2" x14ac:dyDescent="0.25">
      <c r="A12098"/>
      <c r="B12098"/>
    </row>
    <row r="12099" spans="1:2" x14ac:dyDescent="0.25">
      <c r="A12099"/>
      <c r="B12099"/>
    </row>
    <row r="12100" spans="1:2" x14ac:dyDescent="0.25">
      <c r="A12100"/>
      <c r="B12100"/>
    </row>
    <row r="12101" spans="1:2" x14ac:dyDescent="0.25">
      <c r="A12101"/>
      <c r="B12101"/>
    </row>
    <row r="12102" spans="1:2" x14ac:dyDescent="0.25">
      <c r="A12102"/>
      <c r="B12102"/>
    </row>
    <row r="12103" spans="1:2" x14ac:dyDescent="0.25">
      <c r="A12103"/>
      <c r="B12103"/>
    </row>
    <row r="12104" spans="1:2" x14ac:dyDescent="0.25">
      <c r="A12104"/>
      <c r="B12104"/>
    </row>
    <row r="12105" spans="1:2" x14ac:dyDescent="0.25">
      <c r="A12105"/>
      <c r="B12105"/>
    </row>
    <row r="12106" spans="1:2" x14ac:dyDescent="0.25">
      <c r="A12106"/>
      <c r="B12106"/>
    </row>
    <row r="12107" spans="1:2" x14ac:dyDescent="0.25">
      <c r="A12107"/>
      <c r="B12107"/>
    </row>
    <row r="12108" spans="1:2" x14ac:dyDescent="0.25">
      <c r="A12108"/>
      <c r="B12108"/>
    </row>
    <row r="12109" spans="1:2" x14ac:dyDescent="0.25">
      <c r="A12109"/>
      <c r="B12109"/>
    </row>
    <row r="12110" spans="1:2" x14ac:dyDescent="0.25">
      <c r="A12110"/>
      <c r="B12110"/>
    </row>
    <row r="12111" spans="1:2" x14ac:dyDescent="0.25">
      <c r="A12111"/>
      <c r="B12111"/>
    </row>
    <row r="12112" spans="1:2" x14ac:dyDescent="0.25">
      <c r="A12112"/>
      <c r="B12112"/>
    </row>
    <row r="12113" spans="1:2" x14ac:dyDescent="0.25">
      <c r="A12113"/>
      <c r="B12113"/>
    </row>
    <row r="12114" spans="1:2" x14ac:dyDescent="0.25">
      <c r="A12114"/>
      <c r="B12114"/>
    </row>
    <row r="12115" spans="1:2" x14ac:dyDescent="0.25">
      <c r="A12115"/>
      <c r="B12115"/>
    </row>
    <row r="12116" spans="1:2" x14ac:dyDescent="0.25">
      <c r="A12116"/>
      <c r="B12116"/>
    </row>
    <row r="12117" spans="1:2" x14ac:dyDescent="0.25">
      <c r="A12117"/>
      <c r="B12117"/>
    </row>
    <row r="12118" spans="1:2" x14ac:dyDescent="0.25">
      <c r="A12118"/>
      <c r="B12118"/>
    </row>
    <row r="12119" spans="1:2" x14ac:dyDescent="0.25">
      <c r="A12119"/>
      <c r="B12119"/>
    </row>
    <row r="12120" spans="1:2" x14ac:dyDescent="0.25">
      <c r="A12120"/>
      <c r="B12120"/>
    </row>
    <row r="12121" spans="1:2" x14ac:dyDescent="0.25">
      <c r="A12121"/>
      <c r="B12121"/>
    </row>
    <row r="12122" spans="1:2" x14ac:dyDescent="0.25">
      <c r="A12122"/>
      <c r="B12122"/>
    </row>
    <row r="12123" spans="1:2" x14ac:dyDescent="0.25">
      <c r="A12123"/>
      <c r="B12123"/>
    </row>
    <row r="12124" spans="1:2" x14ac:dyDescent="0.25">
      <c r="A12124"/>
      <c r="B12124"/>
    </row>
    <row r="12125" spans="1:2" x14ac:dyDescent="0.25">
      <c r="A12125"/>
      <c r="B12125"/>
    </row>
    <row r="12126" spans="1:2" x14ac:dyDescent="0.25">
      <c r="A12126"/>
      <c r="B12126"/>
    </row>
    <row r="12127" spans="1:2" x14ac:dyDescent="0.25">
      <c r="A12127"/>
      <c r="B12127"/>
    </row>
    <row r="12128" spans="1:2" x14ac:dyDescent="0.25">
      <c r="A12128"/>
      <c r="B12128"/>
    </row>
    <row r="12129" spans="1:2" x14ac:dyDescent="0.25">
      <c r="A12129"/>
      <c r="B12129"/>
    </row>
    <row r="12130" spans="1:2" x14ac:dyDescent="0.25">
      <c r="A12130"/>
      <c r="B12130"/>
    </row>
    <row r="12131" spans="1:2" x14ac:dyDescent="0.25">
      <c r="A12131"/>
      <c r="B12131"/>
    </row>
    <row r="12132" spans="1:2" x14ac:dyDescent="0.25">
      <c r="A12132"/>
      <c r="B12132"/>
    </row>
    <row r="12133" spans="1:2" x14ac:dyDescent="0.25">
      <c r="A12133"/>
      <c r="B12133"/>
    </row>
    <row r="12134" spans="1:2" x14ac:dyDescent="0.25">
      <c r="A12134"/>
      <c r="B12134"/>
    </row>
    <row r="12135" spans="1:2" x14ac:dyDescent="0.25">
      <c r="A12135"/>
      <c r="B12135"/>
    </row>
    <row r="12136" spans="1:2" x14ac:dyDescent="0.25">
      <c r="A12136"/>
      <c r="B12136"/>
    </row>
    <row r="12137" spans="1:2" x14ac:dyDescent="0.25">
      <c r="A12137"/>
      <c r="B12137"/>
    </row>
    <row r="12138" spans="1:2" x14ac:dyDescent="0.25">
      <c r="A12138"/>
      <c r="B12138"/>
    </row>
    <row r="12139" spans="1:2" x14ac:dyDescent="0.25">
      <c r="A12139"/>
      <c r="B12139"/>
    </row>
    <row r="12140" spans="1:2" x14ac:dyDescent="0.25">
      <c r="A12140"/>
      <c r="B12140"/>
    </row>
    <row r="12141" spans="1:2" x14ac:dyDescent="0.25">
      <c r="A12141"/>
      <c r="B12141"/>
    </row>
    <row r="12142" spans="1:2" x14ac:dyDescent="0.25">
      <c r="A12142"/>
      <c r="B12142"/>
    </row>
    <row r="12143" spans="1:2" x14ac:dyDescent="0.25">
      <c r="A12143"/>
      <c r="B12143"/>
    </row>
    <row r="12144" spans="1:2" x14ac:dyDescent="0.25">
      <c r="A12144"/>
      <c r="B12144"/>
    </row>
    <row r="12145" spans="1:2" x14ac:dyDescent="0.25">
      <c r="A12145"/>
      <c r="B12145"/>
    </row>
    <row r="12146" spans="1:2" x14ac:dyDescent="0.25">
      <c r="A12146"/>
      <c r="B12146"/>
    </row>
    <row r="12147" spans="1:2" x14ac:dyDescent="0.25">
      <c r="A12147"/>
      <c r="B12147"/>
    </row>
    <row r="12148" spans="1:2" x14ac:dyDescent="0.25">
      <c r="A12148"/>
      <c r="B12148"/>
    </row>
    <row r="12149" spans="1:2" x14ac:dyDescent="0.25">
      <c r="A12149"/>
      <c r="B12149"/>
    </row>
    <row r="12150" spans="1:2" x14ac:dyDescent="0.25">
      <c r="A12150"/>
      <c r="B12150"/>
    </row>
    <row r="12151" spans="1:2" x14ac:dyDescent="0.25">
      <c r="A12151"/>
      <c r="B12151"/>
    </row>
    <row r="12152" spans="1:2" x14ac:dyDescent="0.25">
      <c r="A12152"/>
      <c r="B12152"/>
    </row>
    <row r="12153" spans="1:2" x14ac:dyDescent="0.25">
      <c r="A12153"/>
      <c r="B12153"/>
    </row>
    <row r="12154" spans="1:2" x14ac:dyDescent="0.25">
      <c r="A12154"/>
      <c r="B12154"/>
    </row>
    <row r="12155" spans="1:2" x14ac:dyDescent="0.25">
      <c r="A12155"/>
      <c r="B12155"/>
    </row>
    <row r="12156" spans="1:2" x14ac:dyDescent="0.25">
      <c r="A12156"/>
      <c r="B12156"/>
    </row>
    <row r="12157" spans="1:2" x14ac:dyDescent="0.25">
      <c r="A12157"/>
      <c r="B12157"/>
    </row>
    <row r="12158" spans="1:2" x14ac:dyDescent="0.25">
      <c r="A12158"/>
      <c r="B12158"/>
    </row>
    <row r="12159" spans="1:2" x14ac:dyDescent="0.25">
      <c r="A12159"/>
      <c r="B12159"/>
    </row>
    <row r="12160" spans="1:2" x14ac:dyDescent="0.25">
      <c r="A12160"/>
      <c r="B12160"/>
    </row>
    <row r="12161" spans="1:2" x14ac:dyDescent="0.25">
      <c r="A12161"/>
      <c r="B12161"/>
    </row>
    <row r="12162" spans="1:2" x14ac:dyDescent="0.25">
      <c r="A12162"/>
      <c r="B12162"/>
    </row>
    <row r="12163" spans="1:2" x14ac:dyDescent="0.25">
      <c r="A12163"/>
      <c r="B12163"/>
    </row>
    <row r="12164" spans="1:2" x14ac:dyDescent="0.25">
      <c r="A12164"/>
      <c r="B12164"/>
    </row>
    <row r="12165" spans="1:2" x14ac:dyDescent="0.25">
      <c r="A12165"/>
      <c r="B12165"/>
    </row>
    <row r="12166" spans="1:2" x14ac:dyDescent="0.25">
      <c r="A12166"/>
      <c r="B12166"/>
    </row>
    <row r="12167" spans="1:2" x14ac:dyDescent="0.25">
      <c r="A12167"/>
      <c r="B12167"/>
    </row>
    <row r="12168" spans="1:2" x14ac:dyDescent="0.25">
      <c r="A12168"/>
      <c r="B12168"/>
    </row>
    <row r="12169" spans="1:2" x14ac:dyDescent="0.25">
      <c r="A12169"/>
      <c r="B12169"/>
    </row>
    <row r="12170" spans="1:2" x14ac:dyDescent="0.25">
      <c r="A12170"/>
      <c r="B12170"/>
    </row>
    <row r="12171" spans="1:2" x14ac:dyDescent="0.25">
      <c r="A12171"/>
      <c r="B12171"/>
    </row>
    <row r="12172" spans="1:2" x14ac:dyDescent="0.25">
      <c r="A12172"/>
      <c r="B12172"/>
    </row>
    <row r="12173" spans="1:2" x14ac:dyDescent="0.25">
      <c r="A12173"/>
      <c r="B12173"/>
    </row>
    <row r="12174" spans="1:2" x14ac:dyDescent="0.25">
      <c r="A12174"/>
      <c r="B12174"/>
    </row>
    <row r="12175" spans="1:2" x14ac:dyDescent="0.25">
      <c r="A12175"/>
      <c r="B12175"/>
    </row>
    <row r="12176" spans="1:2" x14ac:dyDescent="0.25">
      <c r="A12176"/>
      <c r="B12176"/>
    </row>
    <row r="12177" spans="1:2" x14ac:dyDescent="0.25">
      <c r="A12177"/>
      <c r="B12177"/>
    </row>
    <row r="12178" spans="1:2" x14ac:dyDescent="0.25">
      <c r="A12178"/>
      <c r="B12178"/>
    </row>
    <row r="12179" spans="1:2" x14ac:dyDescent="0.25">
      <c r="A12179"/>
      <c r="B12179"/>
    </row>
    <row r="12180" spans="1:2" x14ac:dyDescent="0.25">
      <c r="A12180"/>
      <c r="B12180"/>
    </row>
    <row r="12181" spans="1:2" x14ac:dyDescent="0.25">
      <c r="A12181"/>
      <c r="B12181"/>
    </row>
    <row r="12182" spans="1:2" x14ac:dyDescent="0.25">
      <c r="A12182"/>
      <c r="B12182"/>
    </row>
    <row r="12183" spans="1:2" x14ac:dyDescent="0.25">
      <c r="A12183"/>
      <c r="B12183"/>
    </row>
    <row r="12184" spans="1:2" x14ac:dyDescent="0.25">
      <c r="A12184"/>
      <c r="B12184"/>
    </row>
    <row r="12185" spans="1:2" x14ac:dyDescent="0.25">
      <c r="A12185"/>
      <c r="B12185"/>
    </row>
    <row r="12186" spans="1:2" x14ac:dyDescent="0.25">
      <c r="A12186"/>
      <c r="B12186"/>
    </row>
    <row r="12187" spans="1:2" x14ac:dyDescent="0.25">
      <c r="A12187"/>
      <c r="B12187"/>
    </row>
    <row r="12188" spans="1:2" x14ac:dyDescent="0.25">
      <c r="A12188"/>
      <c r="B12188"/>
    </row>
    <row r="12189" spans="1:2" x14ac:dyDescent="0.25">
      <c r="A12189"/>
      <c r="B12189"/>
    </row>
    <row r="12190" spans="1:2" x14ac:dyDescent="0.25">
      <c r="A12190"/>
      <c r="B12190"/>
    </row>
    <row r="12191" spans="1:2" x14ac:dyDescent="0.25">
      <c r="A12191"/>
      <c r="B12191"/>
    </row>
    <row r="12192" spans="1:2" x14ac:dyDescent="0.25">
      <c r="A12192"/>
      <c r="B12192"/>
    </row>
    <row r="12193" spans="1:2" x14ac:dyDescent="0.25">
      <c r="A12193"/>
      <c r="B12193"/>
    </row>
    <row r="12194" spans="1:2" x14ac:dyDescent="0.25">
      <c r="A12194"/>
      <c r="B12194"/>
    </row>
    <row r="12195" spans="1:2" x14ac:dyDescent="0.25">
      <c r="A12195"/>
      <c r="B12195"/>
    </row>
    <row r="12196" spans="1:2" x14ac:dyDescent="0.25">
      <c r="A12196"/>
      <c r="B12196"/>
    </row>
    <row r="12197" spans="1:2" x14ac:dyDescent="0.25">
      <c r="A12197"/>
      <c r="B12197"/>
    </row>
    <row r="12198" spans="1:2" x14ac:dyDescent="0.25">
      <c r="A12198"/>
      <c r="B12198"/>
    </row>
    <row r="12199" spans="1:2" x14ac:dyDescent="0.25">
      <c r="A12199"/>
      <c r="B12199"/>
    </row>
    <row r="12200" spans="1:2" x14ac:dyDescent="0.25">
      <c r="A12200"/>
      <c r="B12200"/>
    </row>
    <row r="12201" spans="1:2" x14ac:dyDescent="0.25">
      <c r="A12201"/>
      <c r="B12201"/>
    </row>
    <row r="12202" spans="1:2" x14ac:dyDescent="0.25">
      <c r="A12202"/>
      <c r="B12202"/>
    </row>
    <row r="12203" spans="1:2" x14ac:dyDescent="0.25">
      <c r="A12203"/>
      <c r="B12203"/>
    </row>
    <row r="12204" spans="1:2" x14ac:dyDescent="0.25">
      <c r="A12204"/>
      <c r="B12204"/>
    </row>
    <row r="12205" spans="1:2" x14ac:dyDescent="0.25">
      <c r="A12205"/>
      <c r="B12205"/>
    </row>
    <row r="12206" spans="1:2" x14ac:dyDescent="0.25">
      <c r="A12206"/>
      <c r="B12206"/>
    </row>
    <row r="12207" spans="1:2" x14ac:dyDescent="0.25">
      <c r="A12207"/>
      <c r="B12207"/>
    </row>
    <row r="12208" spans="1:2" x14ac:dyDescent="0.25">
      <c r="A12208"/>
      <c r="B12208"/>
    </row>
    <row r="12209" spans="1:2" x14ac:dyDescent="0.25">
      <c r="A12209"/>
      <c r="B12209"/>
    </row>
    <row r="12210" spans="1:2" x14ac:dyDescent="0.25">
      <c r="A12210"/>
      <c r="B12210"/>
    </row>
    <row r="12211" spans="1:2" x14ac:dyDescent="0.25">
      <c r="A12211"/>
      <c r="B12211"/>
    </row>
    <row r="12212" spans="1:2" x14ac:dyDescent="0.25">
      <c r="A12212"/>
      <c r="B12212"/>
    </row>
    <row r="12213" spans="1:2" x14ac:dyDescent="0.25">
      <c r="A12213"/>
      <c r="B12213"/>
    </row>
    <row r="12214" spans="1:2" x14ac:dyDescent="0.25">
      <c r="A12214"/>
      <c r="B12214"/>
    </row>
    <row r="12215" spans="1:2" x14ac:dyDescent="0.25">
      <c r="A12215"/>
      <c r="B12215"/>
    </row>
    <row r="12216" spans="1:2" x14ac:dyDescent="0.25">
      <c r="A12216"/>
      <c r="B12216"/>
    </row>
    <row r="12217" spans="1:2" x14ac:dyDescent="0.25">
      <c r="A12217"/>
      <c r="B12217"/>
    </row>
    <row r="12218" spans="1:2" x14ac:dyDescent="0.25">
      <c r="A12218"/>
      <c r="B12218"/>
    </row>
    <row r="12219" spans="1:2" x14ac:dyDescent="0.25">
      <c r="A12219"/>
      <c r="B12219"/>
    </row>
    <row r="12220" spans="1:2" x14ac:dyDescent="0.25">
      <c r="A12220"/>
      <c r="B12220"/>
    </row>
    <row r="12221" spans="1:2" x14ac:dyDescent="0.25">
      <c r="A12221"/>
      <c r="B12221"/>
    </row>
    <row r="12222" spans="1:2" x14ac:dyDescent="0.25">
      <c r="A12222"/>
      <c r="B12222"/>
    </row>
    <row r="12223" spans="1:2" x14ac:dyDescent="0.25">
      <c r="A12223"/>
      <c r="B12223"/>
    </row>
    <row r="12224" spans="1:2" x14ac:dyDescent="0.25">
      <c r="A12224"/>
      <c r="B12224"/>
    </row>
    <row r="12225" spans="1:2" x14ac:dyDescent="0.25">
      <c r="A12225"/>
      <c r="B12225"/>
    </row>
    <row r="12226" spans="1:2" x14ac:dyDescent="0.25">
      <c r="A12226"/>
      <c r="B12226"/>
    </row>
    <row r="12227" spans="1:2" x14ac:dyDescent="0.25">
      <c r="A12227"/>
      <c r="B12227"/>
    </row>
    <row r="12228" spans="1:2" x14ac:dyDescent="0.25">
      <c r="A12228"/>
      <c r="B12228"/>
    </row>
    <row r="12229" spans="1:2" x14ac:dyDescent="0.25">
      <c r="A12229"/>
      <c r="B12229"/>
    </row>
    <row r="12230" spans="1:2" x14ac:dyDescent="0.25">
      <c r="A12230"/>
      <c r="B12230"/>
    </row>
    <row r="12231" spans="1:2" x14ac:dyDescent="0.25">
      <c r="A12231"/>
      <c r="B12231"/>
    </row>
    <row r="12232" spans="1:2" x14ac:dyDescent="0.25">
      <c r="A12232"/>
      <c r="B12232"/>
    </row>
    <row r="12233" spans="1:2" x14ac:dyDescent="0.25">
      <c r="A12233"/>
      <c r="B12233"/>
    </row>
    <row r="12234" spans="1:2" x14ac:dyDescent="0.25">
      <c r="A12234"/>
      <c r="B12234"/>
    </row>
    <row r="12235" spans="1:2" x14ac:dyDescent="0.25">
      <c r="A12235"/>
      <c r="B12235"/>
    </row>
    <row r="12236" spans="1:2" x14ac:dyDescent="0.25">
      <c r="A12236"/>
      <c r="B12236"/>
    </row>
    <row r="12237" spans="1:2" x14ac:dyDescent="0.25">
      <c r="A12237"/>
      <c r="B12237"/>
    </row>
    <row r="12238" spans="1:2" x14ac:dyDescent="0.25">
      <c r="A12238"/>
      <c r="B12238"/>
    </row>
    <row r="12239" spans="1:2" x14ac:dyDescent="0.25">
      <c r="A12239"/>
      <c r="B12239"/>
    </row>
    <row r="12240" spans="1:2" x14ac:dyDescent="0.25">
      <c r="A12240"/>
      <c r="B12240"/>
    </row>
    <row r="12241" spans="1:2" x14ac:dyDescent="0.25">
      <c r="A12241"/>
      <c r="B12241"/>
    </row>
    <row r="12242" spans="1:2" x14ac:dyDescent="0.25">
      <c r="A12242"/>
      <c r="B12242"/>
    </row>
    <row r="12243" spans="1:2" x14ac:dyDescent="0.25">
      <c r="A12243"/>
      <c r="B12243"/>
    </row>
    <row r="12244" spans="1:2" x14ac:dyDescent="0.25">
      <c r="A12244"/>
      <c r="B12244"/>
    </row>
    <row r="12245" spans="1:2" x14ac:dyDescent="0.25">
      <c r="A12245"/>
      <c r="B12245"/>
    </row>
    <row r="12246" spans="1:2" x14ac:dyDescent="0.25">
      <c r="A12246"/>
      <c r="B12246"/>
    </row>
    <row r="12247" spans="1:2" x14ac:dyDescent="0.25">
      <c r="A12247"/>
      <c r="B12247"/>
    </row>
    <row r="12248" spans="1:2" x14ac:dyDescent="0.25">
      <c r="A12248"/>
      <c r="B12248"/>
    </row>
    <row r="12249" spans="1:2" x14ac:dyDescent="0.25">
      <c r="A12249"/>
      <c r="B12249"/>
    </row>
    <row r="12250" spans="1:2" x14ac:dyDescent="0.25">
      <c r="A12250"/>
      <c r="B12250"/>
    </row>
    <row r="12251" spans="1:2" x14ac:dyDescent="0.25">
      <c r="A12251"/>
      <c r="B12251"/>
    </row>
    <row r="12252" spans="1:2" x14ac:dyDescent="0.25">
      <c r="A12252"/>
      <c r="B12252"/>
    </row>
    <row r="12253" spans="1:2" x14ac:dyDescent="0.25">
      <c r="A12253"/>
      <c r="B12253"/>
    </row>
    <row r="12254" spans="1:2" x14ac:dyDescent="0.25">
      <c r="A12254"/>
      <c r="B12254"/>
    </row>
    <row r="12255" spans="1:2" x14ac:dyDescent="0.25">
      <c r="A12255"/>
      <c r="B12255"/>
    </row>
    <row r="12256" spans="1:2" x14ac:dyDescent="0.25">
      <c r="A12256"/>
      <c r="B12256"/>
    </row>
    <row r="12257" spans="1:2" x14ac:dyDescent="0.25">
      <c r="A12257"/>
      <c r="B12257"/>
    </row>
    <row r="12258" spans="1:2" x14ac:dyDescent="0.25">
      <c r="A12258"/>
      <c r="B12258"/>
    </row>
    <row r="12259" spans="1:2" x14ac:dyDescent="0.25">
      <c r="A12259"/>
      <c r="B12259"/>
    </row>
    <row r="12260" spans="1:2" x14ac:dyDescent="0.25">
      <c r="A12260"/>
      <c r="B12260"/>
    </row>
    <row r="12261" spans="1:2" x14ac:dyDescent="0.25">
      <c r="A12261"/>
      <c r="B12261"/>
    </row>
    <row r="12262" spans="1:2" x14ac:dyDescent="0.25">
      <c r="A12262"/>
      <c r="B12262"/>
    </row>
    <row r="12263" spans="1:2" x14ac:dyDescent="0.25">
      <c r="A12263"/>
      <c r="B12263"/>
    </row>
    <row r="12264" spans="1:2" x14ac:dyDescent="0.25">
      <c r="A12264"/>
      <c r="B12264"/>
    </row>
    <row r="12265" spans="1:2" x14ac:dyDescent="0.25">
      <c r="A12265"/>
      <c r="B12265"/>
    </row>
    <row r="12266" spans="1:2" x14ac:dyDescent="0.25">
      <c r="A12266"/>
      <c r="B12266"/>
    </row>
    <row r="12267" spans="1:2" x14ac:dyDescent="0.25">
      <c r="A12267"/>
      <c r="B12267"/>
    </row>
    <row r="12268" spans="1:2" x14ac:dyDescent="0.25">
      <c r="A12268"/>
      <c r="B12268"/>
    </row>
    <row r="12269" spans="1:2" x14ac:dyDescent="0.25">
      <c r="A12269"/>
      <c r="B12269"/>
    </row>
    <row r="12270" spans="1:2" x14ac:dyDescent="0.25">
      <c r="A12270"/>
      <c r="B12270"/>
    </row>
    <row r="12271" spans="1:2" x14ac:dyDescent="0.25">
      <c r="A12271"/>
      <c r="B12271"/>
    </row>
    <row r="12272" spans="1:2" x14ac:dyDescent="0.25">
      <c r="A12272"/>
      <c r="B12272"/>
    </row>
    <row r="12273" spans="1:2" x14ac:dyDescent="0.25">
      <c r="A12273"/>
      <c r="B12273"/>
    </row>
    <row r="12274" spans="1:2" x14ac:dyDescent="0.25">
      <c r="A12274"/>
      <c r="B12274"/>
    </row>
    <row r="12275" spans="1:2" x14ac:dyDescent="0.25">
      <c r="A12275"/>
      <c r="B12275"/>
    </row>
    <row r="12276" spans="1:2" x14ac:dyDescent="0.25">
      <c r="A12276"/>
      <c r="B12276"/>
    </row>
    <row r="12277" spans="1:2" x14ac:dyDescent="0.25">
      <c r="A12277"/>
      <c r="B12277"/>
    </row>
    <row r="12278" spans="1:2" x14ac:dyDescent="0.25">
      <c r="A12278"/>
      <c r="B12278"/>
    </row>
    <row r="12279" spans="1:2" x14ac:dyDescent="0.25">
      <c r="A12279"/>
      <c r="B12279"/>
    </row>
    <row r="12280" spans="1:2" x14ac:dyDescent="0.25">
      <c r="A12280"/>
      <c r="B12280"/>
    </row>
    <row r="12281" spans="1:2" x14ac:dyDescent="0.25">
      <c r="A12281"/>
      <c r="B12281"/>
    </row>
    <row r="12282" spans="1:2" x14ac:dyDescent="0.25">
      <c r="A12282"/>
      <c r="B12282"/>
    </row>
    <row r="12283" spans="1:2" x14ac:dyDescent="0.25">
      <c r="A12283"/>
      <c r="B12283"/>
    </row>
    <row r="12284" spans="1:2" x14ac:dyDescent="0.25">
      <c r="A12284"/>
      <c r="B12284"/>
    </row>
    <row r="12285" spans="1:2" x14ac:dyDescent="0.25">
      <c r="A12285"/>
      <c r="B12285"/>
    </row>
    <row r="12286" spans="1:2" x14ac:dyDescent="0.25">
      <c r="A12286"/>
      <c r="B12286"/>
    </row>
    <row r="12287" spans="1:2" x14ac:dyDescent="0.25">
      <c r="A12287"/>
      <c r="B12287"/>
    </row>
    <row r="12288" spans="1:2" x14ac:dyDescent="0.25">
      <c r="A12288"/>
      <c r="B12288"/>
    </row>
    <row r="12289" spans="1:2" x14ac:dyDescent="0.25">
      <c r="A12289"/>
      <c r="B12289"/>
    </row>
    <row r="12290" spans="1:2" x14ac:dyDescent="0.25">
      <c r="A12290"/>
      <c r="B12290"/>
    </row>
    <row r="12291" spans="1:2" x14ac:dyDescent="0.25">
      <c r="A12291"/>
      <c r="B12291"/>
    </row>
    <row r="12292" spans="1:2" x14ac:dyDescent="0.25">
      <c r="A12292"/>
      <c r="B12292"/>
    </row>
    <row r="12293" spans="1:2" x14ac:dyDescent="0.25">
      <c r="A12293"/>
      <c r="B12293"/>
    </row>
    <row r="12294" spans="1:2" x14ac:dyDescent="0.25">
      <c r="A12294"/>
      <c r="B12294"/>
    </row>
    <row r="12295" spans="1:2" x14ac:dyDescent="0.25">
      <c r="A12295"/>
      <c r="B12295"/>
    </row>
    <row r="12296" spans="1:2" x14ac:dyDescent="0.25">
      <c r="A12296"/>
      <c r="B12296"/>
    </row>
    <row r="12297" spans="1:2" x14ac:dyDescent="0.25">
      <c r="A12297"/>
      <c r="B12297"/>
    </row>
    <row r="12298" spans="1:2" x14ac:dyDescent="0.25">
      <c r="A12298"/>
      <c r="B12298"/>
    </row>
    <row r="12299" spans="1:2" x14ac:dyDescent="0.25">
      <c r="A12299"/>
      <c r="B12299"/>
    </row>
    <row r="12300" spans="1:2" x14ac:dyDescent="0.25">
      <c r="A12300"/>
      <c r="B12300"/>
    </row>
    <row r="12301" spans="1:2" x14ac:dyDescent="0.25">
      <c r="A12301"/>
      <c r="B12301"/>
    </row>
    <row r="12302" spans="1:2" x14ac:dyDescent="0.25">
      <c r="A12302"/>
      <c r="B12302"/>
    </row>
    <row r="12303" spans="1:2" x14ac:dyDescent="0.25">
      <c r="A12303"/>
      <c r="B12303"/>
    </row>
    <row r="12304" spans="1:2" x14ac:dyDescent="0.25">
      <c r="A12304"/>
      <c r="B12304"/>
    </row>
    <row r="12305" spans="1:2" x14ac:dyDescent="0.25">
      <c r="A12305"/>
      <c r="B12305"/>
    </row>
    <row r="12306" spans="1:2" x14ac:dyDescent="0.25">
      <c r="A12306"/>
      <c r="B12306"/>
    </row>
    <row r="12307" spans="1:2" x14ac:dyDescent="0.25">
      <c r="A12307"/>
      <c r="B12307"/>
    </row>
    <row r="12308" spans="1:2" x14ac:dyDescent="0.25">
      <c r="A12308"/>
      <c r="B12308"/>
    </row>
    <row r="12309" spans="1:2" x14ac:dyDescent="0.25">
      <c r="A12309"/>
      <c r="B12309"/>
    </row>
    <row r="12310" spans="1:2" x14ac:dyDescent="0.25">
      <c r="A12310"/>
      <c r="B12310"/>
    </row>
    <row r="12311" spans="1:2" x14ac:dyDescent="0.25">
      <c r="A12311"/>
      <c r="B12311"/>
    </row>
    <row r="12312" spans="1:2" x14ac:dyDescent="0.25">
      <c r="A12312"/>
      <c r="B12312"/>
    </row>
    <row r="12313" spans="1:2" x14ac:dyDescent="0.25">
      <c r="A12313"/>
      <c r="B12313"/>
    </row>
    <row r="12314" spans="1:2" x14ac:dyDescent="0.25">
      <c r="A12314"/>
      <c r="B12314"/>
    </row>
    <row r="12315" spans="1:2" x14ac:dyDescent="0.25">
      <c r="A12315"/>
      <c r="B12315"/>
    </row>
    <row r="12316" spans="1:2" x14ac:dyDescent="0.25">
      <c r="A12316"/>
      <c r="B12316"/>
    </row>
    <row r="12317" spans="1:2" x14ac:dyDescent="0.25">
      <c r="A12317"/>
      <c r="B12317"/>
    </row>
    <row r="12318" spans="1:2" x14ac:dyDescent="0.25">
      <c r="A12318"/>
      <c r="B12318"/>
    </row>
    <row r="12319" spans="1:2" x14ac:dyDescent="0.25">
      <c r="A12319"/>
      <c r="B12319"/>
    </row>
    <row r="12320" spans="1:2" x14ac:dyDescent="0.25">
      <c r="A12320"/>
      <c r="B12320"/>
    </row>
    <row r="12321" spans="1:2" x14ac:dyDescent="0.25">
      <c r="A12321"/>
      <c r="B12321"/>
    </row>
    <row r="12322" spans="1:2" x14ac:dyDescent="0.25">
      <c r="A12322"/>
      <c r="B12322"/>
    </row>
    <row r="12323" spans="1:2" x14ac:dyDescent="0.25">
      <c r="A12323"/>
      <c r="B12323"/>
    </row>
    <row r="12324" spans="1:2" x14ac:dyDescent="0.25">
      <c r="A12324"/>
      <c r="B12324"/>
    </row>
    <row r="12325" spans="1:2" x14ac:dyDescent="0.25">
      <c r="A12325"/>
      <c r="B12325"/>
    </row>
    <row r="12326" spans="1:2" x14ac:dyDescent="0.25">
      <c r="A12326"/>
      <c r="B12326"/>
    </row>
    <row r="12327" spans="1:2" x14ac:dyDescent="0.25">
      <c r="A12327"/>
      <c r="B12327"/>
    </row>
    <row r="12328" spans="1:2" x14ac:dyDescent="0.25">
      <c r="A12328"/>
      <c r="B12328"/>
    </row>
    <row r="12329" spans="1:2" x14ac:dyDescent="0.25">
      <c r="A12329"/>
      <c r="B12329"/>
    </row>
    <row r="12330" spans="1:2" x14ac:dyDescent="0.25">
      <c r="A12330"/>
      <c r="B12330"/>
    </row>
    <row r="12331" spans="1:2" x14ac:dyDescent="0.25">
      <c r="A12331"/>
      <c r="B12331"/>
    </row>
    <row r="12332" spans="1:2" x14ac:dyDescent="0.25">
      <c r="A12332"/>
      <c r="B12332"/>
    </row>
    <row r="12333" spans="1:2" x14ac:dyDescent="0.25">
      <c r="A12333"/>
      <c r="B12333"/>
    </row>
    <row r="12334" spans="1:2" x14ac:dyDescent="0.25">
      <c r="A12334"/>
      <c r="B12334"/>
    </row>
    <row r="12335" spans="1:2" x14ac:dyDescent="0.25">
      <c r="A12335"/>
      <c r="B12335"/>
    </row>
    <row r="12336" spans="1:2" x14ac:dyDescent="0.25">
      <c r="A12336"/>
      <c r="B12336"/>
    </row>
    <row r="12337" spans="1:2" x14ac:dyDescent="0.25">
      <c r="A12337"/>
      <c r="B12337"/>
    </row>
    <row r="12338" spans="1:2" x14ac:dyDescent="0.25">
      <c r="A12338"/>
      <c r="B12338"/>
    </row>
    <row r="12339" spans="1:2" x14ac:dyDescent="0.25">
      <c r="A12339"/>
      <c r="B12339"/>
    </row>
    <row r="12340" spans="1:2" x14ac:dyDescent="0.25">
      <c r="A12340"/>
      <c r="B12340"/>
    </row>
    <row r="12341" spans="1:2" x14ac:dyDescent="0.25">
      <c r="A12341"/>
      <c r="B12341"/>
    </row>
    <row r="12342" spans="1:2" x14ac:dyDescent="0.25">
      <c r="A12342"/>
      <c r="B12342"/>
    </row>
    <row r="12343" spans="1:2" x14ac:dyDescent="0.25">
      <c r="A12343"/>
      <c r="B12343"/>
    </row>
    <row r="12344" spans="1:2" x14ac:dyDescent="0.25">
      <c r="A12344"/>
      <c r="B12344"/>
    </row>
    <row r="12345" spans="1:2" x14ac:dyDescent="0.25">
      <c r="A12345"/>
      <c r="B12345"/>
    </row>
    <row r="12346" spans="1:2" x14ac:dyDescent="0.25">
      <c r="A12346"/>
      <c r="B12346"/>
    </row>
    <row r="12347" spans="1:2" x14ac:dyDescent="0.25">
      <c r="A12347"/>
      <c r="B12347"/>
    </row>
    <row r="12348" spans="1:2" x14ac:dyDescent="0.25">
      <c r="A12348"/>
      <c r="B12348"/>
    </row>
    <row r="12349" spans="1:2" x14ac:dyDescent="0.25">
      <c r="A12349"/>
      <c r="B12349"/>
    </row>
    <row r="12350" spans="1:2" x14ac:dyDescent="0.25">
      <c r="A12350"/>
      <c r="B12350"/>
    </row>
    <row r="12351" spans="1:2" x14ac:dyDescent="0.25">
      <c r="A12351"/>
      <c r="B12351"/>
    </row>
    <row r="12352" spans="1:2" x14ac:dyDescent="0.25">
      <c r="A12352"/>
      <c r="B12352"/>
    </row>
    <row r="12353" spans="1:2" x14ac:dyDescent="0.25">
      <c r="A12353"/>
      <c r="B12353"/>
    </row>
    <row r="12354" spans="1:2" x14ac:dyDescent="0.25">
      <c r="A12354"/>
      <c r="B12354"/>
    </row>
    <row r="12355" spans="1:2" x14ac:dyDescent="0.25">
      <c r="A12355"/>
      <c r="B12355"/>
    </row>
    <row r="12356" spans="1:2" x14ac:dyDescent="0.25">
      <c r="A12356"/>
      <c r="B12356"/>
    </row>
    <row r="12357" spans="1:2" x14ac:dyDescent="0.25">
      <c r="A12357"/>
      <c r="B12357"/>
    </row>
    <row r="12358" spans="1:2" x14ac:dyDescent="0.25">
      <c r="A12358"/>
      <c r="B12358"/>
    </row>
    <row r="12359" spans="1:2" x14ac:dyDescent="0.25">
      <c r="A12359"/>
      <c r="B12359"/>
    </row>
    <row r="12360" spans="1:2" x14ac:dyDescent="0.25">
      <c r="A12360"/>
      <c r="B12360"/>
    </row>
    <row r="12361" spans="1:2" x14ac:dyDescent="0.25">
      <c r="A12361"/>
      <c r="B12361"/>
    </row>
    <row r="12362" spans="1:2" x14ac:dyDescent="0.25">
      <c r="A12362"/>
      <c r="B12362"/>
    </row>
    <row r="12363" spans="1:2" x14ac:dyDescent="0.25">
      <c r="A12363"/>
      <c r="B12363"/>
    </row>
    <row r="12364" spans="1:2" x14ac:dyDescent="0.25">
      <c r="A12364"/>
      <c r="B12364"/>
    </row>
    <row r="12365" spans="1:2" x14ac:dyDescent="0.25">
      <c r="A12365"/>
      <c r="B12365"/>
    </row>
    <row r="12366" spans="1:2" x14ac:dyDescent="0.25">
      <c r="A12366"/>
      <c r="B12366"/>
    </row>
    <row r="12367" spans="1:2" x14ac:dyDescent="0.25">
      <c r="A12367"/>
      <c r="B12367"/>
    </row>
    <row r="12368" spans="1:2" x14ac:dyDescent="0.25">
      <c r="A12368"/>
      <c r="B12368"/>
    </row>
    <row r="12369" spans="1:2" x14ac:dyDescent="0.25">
      <c r="A12369"/>
      <c r="B12369"/>
    </row>
    <row r="12370" spans="1:2" x14ac:dyDescent="0.25">
      <c r="A12370"/>
      <c r="B12370"/>
    </row>
    <row r="12371" spans="1:2" x14ac:dyDescent="0.25">
      <c r="A12371"/>
      <c r="B12371"/>
    </row>
    <row r="12372" spans="1:2" x14ac:dyDescent="0.25">
      <c r="A12372"/>
      <c r="B12372"/>
    </row>
    <row r="12373" spans="1:2" x14ac:dyDescent="0.25">
      <c r="A12373"/>
      <c r="B12373"/>
    </row>
    <row r="12374" spans="1:2" x14ac:dyDescent="0.25">
      <c r="A12374"/>
      <c r="B12374"/>
    </row>
    <row r="12375" spans="1:2" x14ac:dyDescent="0.25">
      <c r="A12375"/>
      <c r="B12375"/>
    </row>
    <row r="12376" spans="1:2" x14ac:dyDescent="0.25">
      <c r="A12376"/>
      <c r="B12376"/>
    </row>
    <row r="12377" spans="1:2" x14ac:dyDescent="0.25">
      <c r="A12377"/>
      <c r="B12377"/>
    </row>
    <row r="12378" spans="1:2" x14ac:dyDescent="0.25">
      <c r="A12378"/>
      <c r="B12378"/>
    </row>
    <row r="12379" spans="1:2" x14ac:dyDescent="0.25">
      <c r="A12379"/>
      <c r="B12379"/>
    </row>
    <row r="12380" spans="1:2" x14ac:dyDescent="0.25">
      <c r="A12380"/>
      <c r="B12380"/>
    </row>
    <row r="12381" spans="1:2" x14ac:dyDescent="0.25">
      <c r="A12381"/>
      <c r="B12381"/>
    </row>
    <row r="12382" spans="1:2" x14ac:dyDescent="0.25">
      <c r="A12382"/>
      <c r="B12382"/>
    </row>
    <row r="12383" spans="1:2" x14ac:dyDescent="0.25">
      <c r="A12383"/>
      <c r="B12383"/>
    </row>
    <row r="12384" spans="1:2" x14ac:dyDescent="0.25">
      <c r="A12384"/>
      <c r="B12384"/>
    </row>
    <row r="12385" spans="1:2" x14ac:dyDescent="0.25">
      <c r="A12385"/>
      <c r="B12385"/>
    </row>
    <row r="12386" spans="1:2" x14ac:dyDescent="0.25">
      <c r="A12386"/>
      <c r="B12386"/>
    </row>
    <row r="12387" spans="1:2" x14ac:dyDescent="0.25">
      <c r="A12387"/>
      <c r="B12387"/>
    </row>
    <row r="12388" spans="1:2" x14ac:dyDescent="0.25">
      <c r="A12388"/>
      <c r="B12388"/>
    </row>
    <row r="12389" spans="1:2" x14ac:dyDescent="0.25">
      <c r="A12389"/>
      <c r="B12389"/>
    </row>
    <row r="12390" spans="1:2" x14ac:dyDescent="0.25">
      <c r="A12390"/>
      <c r="B12390"/>
    </row>
    <row r="12391" spans="1:2" x14ac:dyDescent="0.25">
      <c r="A12391"/>
      <c r="B12391"/>
    </row>
    <row r="12392" spans="1:2" x14ac:dyDescent="0.25">
      <c r="A12392"/>
      <c r="B12392"/>
    </row>
    <row r="12393" spans="1:2" x14ac:dyDescent="0.25">
      <c r="A12393"/>
      <c r="B12393"/>
    </row>
    <row r="12394" spans="1:2" x14ac:dyDescent="0.25">
      <c r="A12394"/>
      <c r="B12394"/>
    </row>
    <row r="12395" spans="1:2" x14ac:dyDescent="0.25">
      <c r="A12395"/>
      <c r="B12395"/>
    </row>
    <row r="12396" spans="1:2" x14ac:dyDescent="0.25">
      <c r="A12396"/>
      <c r="B12396"/>
    </row>
    <row r="12397" spans="1:2" x14ac:dyDescent="0.25">
      <c r="A12397"/>
      <c r="B12397"/>
    </row>
    <row r="12398" spans="1:2" x14ac:dyDescent="0.25">
      <c r="A12398"/>
      <c r="B12398"/>
    </row>
    <row r="12399" spans="1:2" x14ac:dyDescent="0.25">
      <c r="A12399"/>
      <c r="B12399"/>
    </row>
    <row r="12400" spans="1:2" x14ac:dyDescent="0.25">
      <c r="A12400"/>
      <c r="B12400"/>
    </row>
    <row r="12401" spans="1:2" x14ac:dyDescent="0.25">
      <c r="A12401"/>
      <c r="B12401"/>
    </row>
    <row r="12402" spans="1:2" x14ac:dyDescent="0.25">
      <c r="A12402"/>
      <c r="B12402"/>
    </row>
    <row r="12403" spans="1:2" x14ac:dyDescent="0.25">
      <c r="A12403"/>
      <c r="B12403"/>
    </row>
    <row r="12404" spans="1:2" x14ac:dyDescent="0.25">
      <c r="A12404"/>
      <c r="B12404"/>
    </row>
    <row r="12405" spans="1:2" x14ac:dyDescent="0.25">
      <c r="A12405"/>
      <c r="B12405"/>
    </row>
    <row r="12406" spans="1:2" x14ac:dyDescent="0.25">
      <c r="A12406"/>
      <c r="B12406"/>
    </row>
    <row r="12407" spans="1:2" x14ac:dyDescent="0.25">
      <c r="A12407"/>
      <c r="B12407"/>
    </row>
    <row r="12408" spans="1:2" x14ac:dyDescent="0.25">
      <c r="A12408"/>
      <c r="B12408"/>
    </row>
    <row r="12409" spans="1:2" x14ac:dyDescent="0.25">
      <c r="A12409"/>
      <c r="B12409"/>
    </row>
    <row r="12410" spans="1:2" x14ac:dyDescent="0.25">
      <c r="A12410"/>
      <c r="B12410"/>
    </row>
    <row r="12411" spans="1:2" x14ac:dyDescent="0.25">
      <c r="A12411"/>
      <c r="B12411"/>
    </row>
    <row r="12412" spans="1:2" x14ac:dyDescent="0.25">
      <c r="A12412"/>
      <c r="B12412"/>
    </row>
    <row r="12413" spans="1:2" x14ac:dyDescent="0.25">
      <c r="A12413"/>
      <c r="B12413"/>
    </row>
    <row r="12414" spans="1:2" x14ac:dyDescent="0.25">
      <c r="A12414"/>
      <c r="B12414"/>
    </row>
    <row r="12415" spans="1:2" x14ac:dyDescent="0.25">
      <c r="A12415"/>
      <c r="B12415"/>
    </row>
    <row r="12416" spans="1:2" x14ac:dyDescent="0.25">
      <c r="A12416"/>
      <c r="B12416"/>
    </row>
    <row r="12417" spans="1:2" x14ac:dyDescent="0.25">
      <c r="A12417"/>
      <c r="B12417"/>
    </row>
    <row r="12418" spans="1:2" x14ac:dyDescent="0.25">
      <c r="A12418"/>
      <c r="B12418"/>
    </row>
    <row r="12419" spans="1:2" x14ac:dyDescent="0.25">
      <c r="A12419"/>
      <c r="B12419"/>
    </row>
    <row r="12420" spans="1:2" x14ac:dyDescent="0.25">
      <c r="A12420"/>
      <c r="B12420"/>
    </row>
    <row r="12421" spans="1:2" x14ac:dyDescent="0.25">
      <c r="A12421"/>
      <c r="B12421"/>
    </row>
    <row r="12422" spans="1:2" x14ac:dyDescent="0.25">
      <c r="A12422"/>
      <c r="B12422"/>
    </row>
    <row r="12423" spans="1:2" x14ac:dyDescent="0.25">
      <c r="A12423"/>
      <c r="B12423"/>
    </row>
    <row r="12424" spans="1:2" x14ac:dyDescent="0.25">
      <c r="A12424"/>
      <c r="B12424"/>
    </row>
    <row r="12425" spans="1:2" x14ac:dyDescent="0.25">
      <c r="A12425"/>
      <c r="B12425"/>
    </row>
    <row r="12426" spans="1:2" x14ac:dyDescent="0.25">
      <c r="A12426"/>
      <c r="B12426"/>
    </row>
    <row r="12427" spans="1:2" x14ac:dyDescent="0.25">
      <c r="A12427"/>
      <c r="B12427"/>
    </row>
    <row r="12428" spans="1:2" x14ac:dyDescent="0.25">
      <c r="A12428"/>
      <c r="B12428"/>
    </row>
    <row r="12429" spans="1:2" x14ac:dyDescent="0.25">
      <c r="A12429"/>
      <c r="B12429"/>
    </row>
    <row r="12430" spans="1:2" x14ac:dyDescent="0.25">
      <c r="A12430"/>
      <c r="B12430"/>
    </row>
    <row r="12431" spans="1:2" x14ac:dyDescent="0.25">
      <c r="A12431"/>
      <c r="B12431"/>
    </row>
    <row r="12432" spans="1:2" x14ac:dyDescent="0.25">
      <c r="A12432"/>
      <c r="B12432"/>
    </row>
    <row r="12433" spans="1:2" x14ac:dyDescent="0.25">
      <c r="A12433"/>
      <c r="B12433"/>
    </row>
    <row r="12434" spans="1:2" x14ac:dyDescent="0.25">
      <c r="A12434"/>
      <c r="B12434"/>
    </row>
    <row r="12435" spans="1:2" x14ac:dyDescent="0.25">
      <c r="A12435"/>
      <c r="B12435"/>
    </row>
    <row r="12436" spans="1:2" x14ac:dyDescent="0.25">
      <c r="A12436"/>
      <c r="B12436"/>
    </row>
    <row r="12437" spans="1:2" x14ac:dyDescent="0.25">
      <c r="A12437"/>
      <c r="B12437"/>
    </row>
    <row r="12438" spans="1:2" x14ac:dyDescent="0.25">
      <c r="A12438"/>
      <c r="B12438"/>
    </row>
    <row r="12439" spans="1:2" x14ac:dyDescent="0.25">
      <c r="A12439"/>
      <c r="B12439"/>
    </row>
    <row r="12440" spans="1:2" x14ac:dyDescent="0.25">
      <c r="A12440"/>
      <c r="B12440"/>
    </row>
    <row r="12441" spans="1:2" x14ac:dyDescent="0.25">
      <c r="A12441"/>
      <c r="B12441"/>
    </row>
    <row r="12442" spans="1:2" x14ac:dyDescent="0.25">
      <c r="A12442"/>
      <c r="B12442"/>
    </row>
    <row r="12443" spans="1:2" x14ac:dyDescent="0.25">
      <c r="A12443"/>
      <c r="B12443"/>
    </row>
    <row r="12444" spans="1:2" x14ac:dyDescent="0.25">
      <c r="A12444"/>
      <c r="B12444"/>
    </row>
    <row r="12445" spans="1:2" x14ac:dyDescent="0.25">
      <c r="A12445"/>
      <c r="B12445"/>
    </row>
    <row r="12446" spans="1:2" x14ac:dyDescent="0.25">
      <c r="A12446"/>
      <c r="B12446"/>
    </row>
    <row r="12447" spans="1:2" x14ac:dyDescent="0.25">
      <c r="A12447"/>
      <c r="B12447"/>
    </row>
    <row r="12448" spans="1:2" x14ac:dyDescent="0.25">
      <c r="A12448"/>
      <c r="B12448"/>
    </row>
    <row r="12449" spans="1:2" x14ac:dyDescent="0.25">
      <c r="A12449"/>
      <c r="B12449"/>
    </row>
    <row r="12450" spans="1:2" x14ac:dyDescent="0.25">
      <c r="A12450"/>
      <c r="B12450"/>
    </row>
    <row r="12451" spans="1:2" x14ac:dyDescent="0.25">
      <c r="A12451"/>
      <c r="B12451"/>
    </row>
    <row r="12452" spans="1:2" x14ac:dyDescent="0.25">
      <c r="A12452"/>
      <c r="B12452"/>
    </row>
    <row r="12453" spans="1:2" x14ac:dyDescent="0.25">
      <c r="A12453"/>
      <c r="B12453"/>
    </row>
    <row r="12454" spans="1:2" x14ac:dyDescent="0.25">
      <c r="A12454"/>
      <c r="B12454"/>
    </row>
    <row r="12455" spans="1:2" x14ac:dyDescent="0.25">
      <c r="A12455"/>
      <c r="B12455"/>
    </row>
    <row r="12456" spans="1:2" x14ac:dyDescent="0.25">
      <c r="A12456"/>
      <c r="B12456"/>
    </row>
    <row r="12457" spans="1:2" x14ac:dyDescent="0.25">
      <c r="A12457"/>
      <c r="B12457"/>
    </row>
    <row r="12458" spans="1:2" x14ac:dyDescent="0.25">
      <c r="A12458"/>
      <c r="B12458"/>
    </row>
    <row r="12459" spans="1:2" x14ac:dyDescent="0.25">
      <c r="A12459"/>
      <c r="B12459"/>
    </row>
    <row r="12460" spans="1:2" x14ac:dyDescent="0.25">
      <c r="A12460"/>
      <c r="B12460"/>
    </row>
    <row r="12461" spans="1:2" x14ac:dyDescent="0.25">
      <c r="A12461"/>
      <c r="B12461"/>
    </row>
    <row r="12462" spans="1:2" x14ac:dyDescent="0.25">
      <c r="A12462"/>
      <c r="B12462"/>
    </row>
    <row r="12463" spans="1:2" x14ac:dyDescent="0.25">
      <c r="A12463"/>
      <c r="B12463"/>
    </row>
    <row r="12464" spans="1:2" x14ac:dyDescent="0.25">
      <c r="A12464"/>
      <c r="B12464"/>
    </row>
    <row r="12465" spans="1:2" x14ac:dyDescent="0.25">
      <c r="A12465"/>
      <c r="B12465"/>
    </row>
    <row r="12466" spans="1:2" x14ac:dyDescent="0.25">
      <c r="A12466"/>
      <c r="B12466"/>
    </row>
    <row r="12467" spans="1:2" x14ac:dyDescent="0.25">
      <c r="A12467"/>
      <c r="B12467"/>
    </row>
    <row r="12468" spans="1:2" x14ac:dyDescent="0.25">
      <c r="A12468"/>
      <c r="B12468"/>
    </row>
    <row r="12469" spans="1:2" x14ac:dyDescent="0.25">
      <c r="A12469"/>
      <c r="B12469"/>
    </row>
    <row r="12470" spans="1:2" x14ac:dyDescent="0.25">
      <c r="A12470"/>
      <c r="B12470"/>
    </row>
    <row r="12471" spans="1:2" x14ac:dyDescent="0.25">
      <c r="A12471"/>
      <c r="B12471"/>
    </row>
    <row r="12472" spans="1:2" x14ac:dyDescent="0.25">
      <c r="A12472"/>
      <c r="B12472"/>
    </row>
    <row r="12473" spans="1:2" x14ac:dyDescent="0.25">
      <c r="A12473"/>
      <c r="B12473"/>
    </row>
    <row r="12474" spans="1:2" x14ac:dyDescent="0.25">
      <c r="A12474"/>
      <c r="B12474"/>
    </row>
    <row r="12475" spans="1:2" x14ac:dyDescent="0.25">
      <c r="A12475"/>
      <c r="B12475"/>
    </row>
    <row r="12476" spans="1:2" x14ac:dyDescent="0.25">
      <c r="A12476"/>
      <c r="B12476"/>
    </row>
    <row r="12477" spans="1:2" x14ac:dyDescent="0.25">
      <c r="A12477"/>
      <c r="B12477"/>
    </row>
    <row r="12478" spans="1:2" x14ac:dyDescent="0.25">
      <c r="A12478"/>
      <c r="B12478"/>
    </row>
    <row r="12479" spans="1:2" x14ac:dyDescent="0.25">
      <c r="A12479"/>
      <c r="B12479"/>
    </row>
    <row r="12480" spans="1:2" x14ac:dyDescent="0.25">
      <c r="A12480"/>
      <c r="B12480"/>
    </row>
    <row r="12481" spans="1:2" x14ac:dyDescent="0.25">
      <c r="A12481"/>
      <c r="B12481"/>
    </row>
    <row r="12482" spans="1:2" x14ac:dyDescent="0.25">
      <c r="A12482"/>
      <c r="B12482"/>
    </row>
    <row r="12483" spans="1:2" x14ac:dyDescent="0.25">
      <c r="A12483"/>
      <c r="B12483"/>
    </row>
    <row r="12484" spans="1:2" x14ac:dyDescent="0.25">
      <c r="A12484"/>
      <c r="B12484"/>
    </row>
    <row r="12485" spans="1:2" x14ac:dyDescent="0.25">
      <c r="A12485"/>
      <c r="B12485"/>
    </row>
    <row r="12486" spans="1:2" x14ac:dyDescent="0.25">
      <c r="A12486"/>
      <c r="B12486"/>
    </row>
    <row r="12487" spans="1:2" x14ac:dyDescent="0.25">
      <c r="A12487"/>
      <c r="B12487"/>
    </row>
    <row r="12488" spans="1:2" x14ac:dyDescent="0.25">
      <c r="A12488"/>
      <c r="B12488"/>
    </row>
    <row r="12489" spans="1:2" x14ac:dyDescent="0.25">
      <c r="A12489"/>
      <c r="B12489"/>
    </row>
    <row r="12490" spans="1:2" x14ac:dyDescent="0.25">
      <c r="A12490"/>
      <c r="B12490"/>
    </row>
    <row r="12491" spans="1:2" x14ac:dyDescent="0.25">
      <c r="A12491"/>
      <c r="B12491"/>
    </row>
    <row r="12492" spans="1:2" x14ac:dyDescent="0.25">
      <c r="A12492"/>
      <c r="B12492"/>
    </row>
    <row r="12493" spans="1:2" x14ac:dyDescent="0.25">
      <c r="A12493"/>
      <c r="B12493"/>
    </row>
    <row r="12494" spans="1:2" x14ac:dyDescent="0.25">
      <c r="A12494"/>
      <c r="B12494"/>
    </row>
    <row r="12495" spans="1:2" x14ac:dyDescent="0.25">
      <c r="A12495"/>
      <c r="B12495"/>
    </row>
    <row r="12496" spans="1:2" x14ac:dyDescent="0.25">
      <c r="A12496"/>
      <c r="B12496"/>
    </row>
    <row r="12497" spans="1:2" x14ac:dyDescent="0.25">
      <c r="A12497"/>
      <c r="B12497"/>
    </row>
    <row r="12498" spans="1:2" x14ac:dyDescent="0.25">
      <c r="A12498"/>
      <c r="B12498"/>
    </row>
    <row r="12499" spans="1:2" x14ac:dyDescent="0.25">
      <c r="A12499"/>
      <c r="B12499"/>
    </row>
    <row r="12500" spans="1:2" x14ac:dyDescent="0.25">
      <c r="A12500"/>
      <c r="B12500"/>
    </row>
    <row r="12501" spans="1:2" x14ac:dyDescent="0.25">
      <c r="A12501"/>
      <c r="B12501"/>
    </row>
    <row r="12502" spans="1:2" x14ac:dyDescent="0.25">
      <c r="A12502"/>
      <c r="B12502"/>
    </row>
    <row r="12503" spans="1:2" x14ac:dyDescent="0.25">
      <c r="A12503"/>
      <c r="B12503"/>
    </row>
    <row r="12504" spans="1:2" x14ac:dyDescent="0.25">
      <c r="A12504"/>
      <c r="B12504"/>
    </row>
    <row r="12505" spans="1:2" x14ac:dyDescent="0.25">
      <c r="A12505"/>
      <c r="B12505"/>
    </row>
    <row r="12506" spans="1:2" x14ac:dyDescent="0.25">
      <c r="A12506"/>
      <c r="B12506"/>
    </row>
    <row r="12507" spans="1:2" x14ac:dyDescent="0.25">
      <c r="A12507"/>
      <c r="B12507"/>
    </row>
    <row r="12508" spans="1:2" x14ac:dyDescent="0.25">
      <c r="A12508"/>
      <c r="B12508"/>
    </row>
    <row r="12509" spans="1:2" x14ac:dyDescent="0.25">
      <c r="A12509"/>
      <c r="B12509"/>
    </row>
    <row r="12510" spans="1:2" x14ac:dyDescent="0.25">
      <c r="A12510"/>
      <c r="B12510"/>
    </row>
    <row r="12511" spans="1:2" x14ac:dyDescent="0.25">
      <c r="A12511"/>
      <c r="B12511"/>
    </row>
    <row r="12512" spans="1:2" x14ac:dyDescent="0.25">
      <c r="A12512"/>
      <c r="B12512"/>
    </row>
    <row r="12513" spans="1:2" x14ac:dyDescent="0.25">
      <c r="A12513"/>
      <c r="B12513"/>
    </row>
    <row r="12514" spans="1:2" x14ac:dyDescent="0.25">
      <c r="A12514"/>
      <c r="B12514"/>
    </row>
    <row r="12515" spans="1:2" x14ac:dyDescent="0.25">
      <c r="A12515"/>
      <c r="B12515"/>
    </row>
    <row r="12516" spans="1:2" x14ac:dyDescent="0.25">
      <c r="A12516"/>
      <c r="B12516"/>
    </row>
    <row r="12517" spans="1:2" x14ac:dyDescent="0.25">
      <c r="A12517"/>
      <c r="B12517"/>
    </row>
    <row r="12518" spans="1:2" x14ac:dyDescent="0.25">
      <c r="A12518"/>
      <c r="B12518"/>
    </row>
    <row r="12519" spans="1:2" x14ac:dyDescent="0.25">
      <c r="A12519"/>
      <c r="B12519"/>
    </row>
    <row r="12520" spans="1:2" x14ac:dyDescent="0.25">
      <c r="A12520"/>
      <c r="B12520"/>
    </row>
    <row r="12521" spans="1:2" x14ac:dyDescent="0.25">
      <c r="A12521"/>
      <c r="B12521"/>
    </row>
    <row r="12522" spans="1:2" x14ac:dyDescent="0.25">
      <c r="A12522"/>
      <c r="B12522"/>
    </row>
    <row r="12523" spans="1:2" x14ac:dyDescent="0.25">
      <c r="A12523"/>
      <c r="B12523"/>
    </row>
    <row r="12524" spans="1:2" x14ac:dyDescent="0.25">
      <c r="A12524"/>
      <c r="B12524"/>
    </row>
    <row r="12525" spans="1:2" x14ac:dyDescent="0.25">
      <c r="A12525"/>
      <c r="B12525"/>
    </row>
    <row r="12526" spans="1:2" x14ac:dyDescent="0.25">
      <c r="A12526"/>
      <c r="B12526"/>
    </row>
    <row r="12527" spans="1:2" x14ac:dyDescent="0.25">
      <c r="A12527"/>
      <c r="B12527"/>
    </row>
    <row r="12528" spans="1:2" x14ac:dyDescent="0.25">
      <c r="A12528"/>
      <c r="B12528"/>
    </row>
    <row r="12529" spans="1:2" x14ac:dyDescent="0.25">
      <c r="A12529"/>
      <c r="B12529"/>
    </row>
    <row r="12530" spans="1:2" x14ac:dyDescent="0.25">
      <c r="A12530"/>
      <c r="B12530"/>
    </row>
    <row r="12531" spans="1:2" x14ac:dyDescent="0.25">
      <c r="A12531"/>
      <c r="B12531"/>
    </row>
    <row r="12532" spans="1:2" x14ac:dyDescent="0.25">
      <c r="A12532"/>
      <c r="B12532"/>
    </row>
    <row r="12533" spans="1:2" x14ac:dyDescent="0.25">
      <c r="A12533"/>
      <c r="B12533"/>
    </row>
    <row r="12534" spans="1:2" x14ac:dyDescent="0.25">
      <c r="A12534"/>
      <c r="B12534"/>
    </row>
    <row r="12535" spans="1:2" x14ac:dyDescent="0.25">
      <c r="A12535"/>
      <c r="B12535"/>
    </row>
    <row r="12536" spans="1:2" x14ac:dyDescent="0.25">
      <c r="A12536"/>
      <c r="B12536"/>
    </row>
    <row r="12537" spans="1:2" x14ac:dyDescent="0.25">
      <c r="A12537"/>
      <c r="B12537"/>
    </row>
    <row r="12538" spans="1:2" x14ac:dyDescent="0.25">
      <c r="A12538"/>
      <c r="B12538"/>
    </row>
    <row r="12539" spans="1:2" x14ac:dyDescent="0.25">
      <c r="A12539"/>
      <c r="B12539"/>
    </row>
    <row r="12540" spans="1:2" x14ac:dyDescent="0.25">
      <c r="A12540"/>
      <c r="B12540"/>
    </row>
    <row r="12541" spans="1:2" x14ac:dyDescent="0.25">
      <c r="A12541"/>
      <c r="B12541"/>
    </row>
    <row r="12542" spans="1:2" x14ac:dyDescent="0.25">
      <c r="A12542"/>
      <c r="B12542"/>
    </row>
    <row r="12543" spans="1:2" x14ac:dyDescent="0.25">
      <c r="A12543"/>
      <c r="B12543"/>
    </row>
    <row r="12544" spans="1:2" x14ac:dyDescent="0.25">
      <c r="A12544"/>
      <c r="B12544"/>
    </row>
    <row r="12545" spans="1:2" x14ac:dyDescent="0.25">
      <c r="A12545"/>
      <c r="B12545"/>
    </row>
    <row r="12546" spans="1:2" x14ac:dyDescent="0.25">
      <c r="A12546"/>
      <c r="B12546"/>
    </row>
    <row r="12547" spans="1:2" x14ac:dyDescent="0.25">
      <c r="A12547"/>
      <c r="B12547"/>
    </row>
    <row r="12548" spans="1:2" x14ac:dyDescent="0.25">
      <c r="A12548"/>
      <c r="B12548"/>
    </row>
    <row r="12549" spans="1:2" x14ac:dyDescent="0.25">
      <c r="A12549"/>
      <c r="B12549"/>
    </row>
    <row r="12550" spans="1:2" x14ac:dyDescent="0.25">
      <c r="A12550"/>
      <c r="B12550"/>
    </row>
    <row r="12551" spans="1:2" x14ac:dyDescent="0.25">
      <c r="A12551"/>
      <c r="B12551"/>
    </row>
    <row r="12552" spans="1:2" x14ac:dyDescent="0.25">
      <c r="A12552"/>
      <c r="B12552"/>
    </row>
    <row r="12553" spans="1:2" x14ac:dyDescent="0.25">
      <c r="A12553"/>
      <c r="B12553"/>
    </row>
    <row r="12554" spans="1:2" x14ac:dyDescent="0.25">
      <c r="A12554"/>
      <c r="B12554"/>
    </row>
    <row r="12555" spans="1:2" x14ac:dyDescent="0.25">
      <c r="A12555"/>
      <c r="B12555"/>
    </row>
    <row r="12556" spans="1:2" x14ac:dyDescent="0.25">
      <c r="A12556"/>
      <c r="B12556"/>
    </row>
    <row r="12557" spans="1:2" x14ac:dyDescent="0.25">
      <c r="A12557"/>
      <c r="B12557"/>
    </row>
    <row r="12558" spans="1:2" x14ac:dyDescent="0.25">
      <c r="A12558"/>
      <c r="B12558"/>
    </row>
    <row r="12559" spans="1:2" x14ac:dyDescent="0.25">
      <c r="A12559"/>
      <c r="B12559"/>
    </row>
    <row r="12560" spans="1:2" x14ac:dyDescent="0.25">
      <c r="A12560"/>
      <c r="B12560"/>
    </row>
    <row r="12561" spans="1:2" x14ac:dyDescent="0.25">
      <c r="A12561"/>
      <c r="B12561"/>
    </row>
    <row r="12562" spans="1:2" x14ac:dyDescent="0.25">
      <c r="A12562"/>
      <c r="B12562"/>
    </row>
    <row r="12563" spans="1:2" x14ac:dyDescent="0.25">
      <c r="A12563"/>
      <c r="B12563"/>
    </row>
    <row r="12564" spans="1:2" x14ac:dyDescent="0.25">
      <c r="A12564"/>
      <c r="B12564"/>
    </row>
    <row r="12565" spans="1:2" x14ac:dyDescent="0.25">
      <c r="A12565"/>
      <c r="B12565"/>
    </row>
    <row r="12566" spans="1:2" x14ac:dyDescent="0.25">
      <c r="A12566"/>
      <c r="B12566"/>
    </row>
    <row r="12567" spans="1:2" x14ac:dyDescent="0.25">
      <c r="A12567"/>
      <c r="B12567"/>
    </row>
    <row r="12568" spans="1:2" x14ac:dyDescent="0.25">
      <c r="A12568"/>
      <c r="B12568"/>
    </row>
    <row r="12569" spans="1:2" x14ac:dyDescent="0.25">
      <c r="A12569"/>
      <c r="B12569"/>
    </row>
    <row r="12570" spans="1:2" x14ac:dyDescent="0.25">
      <c r="A12570"/>
      <c r="B12570"/>
    </row>
    <row r="12571" spans="1:2" x14ac:dyDescent="0.25">
      <c r="A12571"/>
      <c r="B12571"/>
    </row>
    <row r="12572" spans="1:2" x14ac:dyDescent="0.25">
      <c r="A12572"/>
      <c r="B12572"/>
    </row>
    <row r="12573" spans="1:2" x14ac:dyDescent="0.25">
      <c r="A12573"/>
      <c r="B12573"/>
    </row>
    <row r="12574" spans="1:2" x14ac:dyDescent="0.25">
      <c r="A12574"/>
      <c r="B12574"/>
    </row>
    <row r="12575" spans="1:2" x14ac:dyDescent="0.25">
      <c r="A12575"/>
      <c r="B12575"/>
    </row>
    <row r="12576" spans="1:2" x14ac:dyDescent="0.25">
      <c r="A12576"/>
      <c r="B12576"/>
    </row>
    <row r="12577" spans="1:2" x14ac:dyDescent="0.25">
      <c r="A12577"/>
      <c r="B12577"/>
    </row>
    <row r="12578" spans="1:2" x14ac:dyDescent="0.25">
      <c r="A12578"/>
      <c r="B12578"/>
    </row>
    <row r="12579" spans="1:2" x14ac:dyDescent="0.25">
      <c r="A12579"/>
      <c r="B12579"/>
    </row>
    <row r="12580" spans="1:2" x14ac:dyDescent="0.25">
      <c r="A12580"/>
      <c r="B12580"/>
    </row>
    <row r="12581" spans="1:2" x14ac:dyDescent="0.25">
      <c r="A12581"/>
      <c r="B12581"/>
    </row>
    <row r="12582" spans="1:2" x14ac:dyDescent="0.25">
      <c r="A12582"/>
      <c r="B12582"/>
    </row>
    <row r="12583" spans="1:2" x14ac:dyDescent="0.25">
      <c r="A12583"/>
      <c r="B12583"/>
    </row>
    <row r="12584" spans="1:2" x14ac:dyDescent="0.25">
      <c r="A12584"/>
      <c r="B12584"/>
    </row>
    <row r="12585" spans="1:2" x14ac:dyDescent="0.25">
      <c r="A12585"/>
      <c r="B12585"/>
    </row>
    <row r="12586" spans="1:2" x14ac:dyDescent="0.25">
      <c r="A12586"/>
      <c r="B12586"/>
    </row>
    <row r="12587" spans="1:2" x14ac:dyDescent="0.25">
      <c r="A12587"/>
      <c r="B12587"/>
    </row>
    <row r="12588" spans="1:2" x14ac:dyDescent="0.25">
      <c r="A12588"/>
      <c r="B12588"/>
    </row>
    <row r="12589" spans="1:2" x14ac:dyDescent="0.25">
      <c r="A12589"/>
      <c r="B12589"/>
    </row>
    <row r="12590" spans="1:2" x14ac:dyDescent="0.25">
      <c r="A12590"/>
      <c r="B12590"/>
    </row>
    <row r="12591" spans="1:2" x14ac:dyDescent="0.25">
      <c r="A12591"/>
      <c r="B12591"/>
    </row>
    <row r="12592" spans="1:2" x14ac:dyDescent="0.25">
      <c r="A12592"/>
      <c r="B12592"/>
    </row>
    <row r="12593" spans="1:2" x14ac:dyDescent="0.25">
      <c r="A12593"/>
      <c r="B12593"/>
    </row>
    <row r="12594" spans="1:2" x14ac:dyDescent="0.25">
      <c r="A12594"/>
      <c r="B12594"/>
    </row>
    <row r="12595" spans="1:2" x14ac:dyDescent="0.25">
      <c r="A12595"/>
      <c r="B12595"/>
    </row>
    <row r="12596" spans="1:2" x14ac:dyDescent="0.25">
      <c r="A12596"/>
      <c r="B12596"/>
    </row>
    <row r="12597" spans="1:2" x14ac:dyDescent="0.25">
      <c r="A12597"/>
      <c r="B12597"/>
    </row>
    <row r="12598" spans="1:2" x14ac:dyDescent="0.25">
      <c r="A12598"/>
      <c r="B12598"/>
    </row>
    <row r="12599" spans="1:2" x14ac:dyDescent="0.25">
      <c r="A12599"/>
      <c r="B12599"/>
    </row>
    <row r="12600" spans="1:2" x14ac:dyDescent="0.25">
      <c r="A12600"/>
      <c r="B12600"/>
    </row>
    <row r="12601" spans="1:2" x14ac:dyDescent="0.25">
      <c r="A12601"/>
      <c r="B12601"/>
    </row>
    <row r="12602" spans="1:2" x14ac:dyDescent="0.25">
      <c r="A12602"/>
      <c r="B12602"/>
    </row>
    <row r="12603" spans="1:2" x14ac:dyDescent="0.25">
      <c r="A12603"/>
      <c r="B12603"/>
    </row>
    <row r="12604" spans="1:2" x14ac:dyDescent="0.25">
      <c r="A12604"/>
      <c r="B12604"/>
    </row>
    <row r="12605" spans="1:2" x14ac:dyDescent="0.25">
      <c r="A12605"/>
      <c r="B12605"/>
    </row>
    <row r="12606" spans="1:2" x14ac:dyDescent="0.25">
      <c r="A12606"/>
      <c r="B12606"/>
    </row>
    <row r="12607" spans="1:2" x14ac:dyDescent="0.25">
      <c r="A12607"/>
      <c r="B12607"/>
    </row>
    <row r="12608" spans="1:2" x14ac:dyDescent="0.25">
      <c r="A12608"/>
      <c r="B12608"/>
    </row>
    <row r="12609" spans="1:2" x14ac:dyDescent="0.25">
      <c r="A12609"/>
      <c r="B12609"/>
    </row>
    <row r="12610" spans="1:2" x14ac:dyDescent="0.25">
      <c r="A12610"/>
      <c r="B12610"/>
    </row>
    <row r="12611" spans="1:2" x14ac:dyDescent="0.25">
      <c r="A12611"/>
      <c r="B12611"/>
    </row>
    <row r="12612" spans="1:2" x14ac:dyDescent="0.25">
      <c r="A12612"/>
      <c r="B12612"/>
    </row>
    <row r="12613" spans="1:2" x14ac:dyDescent="0.25">
      <c r="A12613"/>
      <c r="B12613"/>
    </row>
    <row r="12614" spans="1:2" x14ac:dyDescent="0.25">
      <c r="A12614"/>
      <c r="B12614"/>
    </row>
    <row r="12615" spans="1:2" x14ac:dyDescent="0.25">
      <c r="A12615"/>
      <c r="B12615"/>
    </row>
    <row r="12616" spans="1:2" x14ac:dyDescent="0.25">
      <c r="A12616"/>
      <c r="B12616"/>
    </row>
    <row r="12617" spans="1:2" x14ac:dyDescent="0.25">
      <c r="A12617"/>
      <c r="B12617"/>
    </row>
    <row r="12618" spans="1:2" x14ac:dyDescent="0.25">
      <c r="A12618"/>
      <c r="B12618"/>
    </row>
    <row r="12619" spans="1:2" x14ac:dyDescent="0.25">
      <c r="A12619"/>
      <c r="B12619"/>
    </row>
    <row r="12620" spans="1:2" x14ac:dyDescent="0.25">
      <c r="A12620"/>
      <c r="B12620"/>
    </row>
    <row r="12621" spans="1:2" x14ac:dyDescent="0.25">
      <c r="A12621"/>
      <c r="B12621"/>
    </row>
    <row r="12622" spans="1:2" x14ac:dyDescent="0.25">
      <c r="A12622"/>
      <c r="B12622"/>
    </row>
    <row r="12623" spans="1:2" x14ac:dyDescent="0.25">
      <c r="A12623"/>
      <c r="B12623"/>
    </row>
    <row r="12624" spans="1:2" x14ac:dyDescent="0.25">
      <c r="A12624"/>
      <c r="B12624"/>
    </row>
    <row r="12625" spans="1:2" x14ac:dyDescent="0.25">
      <c r="A12625"/>
      <c r="B12625"/>
    </row>
    <row r="12626" spans="1:2" x14ac:dyDescent="0.25">
      <c r="A12626"/>
      <c r="B12626"/>
    </row>
    <row r="12627" spans="1:2" x14ac:dyDescent="0.25">
      <c r="A12627"/>
      <c r="B12627"/>
    </row>
    <row r="12628" spans="1:2" x14ac:dyDescent="0.25">
      <c r="A12628"/>
      <c r="B12628"/>
    </row>
    <row r="12629" spans="1:2" x14ac:dyDescent="0.25">
      <c r="A12629"/>
      <c r="B12629"/>
    </row>
    <row r="12630" spans="1:2" x14ac:dyDescent="0.25">
      <c r="A12630"/>
      <c r="B12630"/>
    </row>
    <row r="12631" spans="1:2" x14ac:dyDescent="0.25">
      <c r="A12631"/>
      <c r="B12631"/>
    </row>
    <row r="12632" spans="1:2" x14ac:dyDescent="0.25">
      <c r="A12632"/>
      <c r="B12632"/>
    </row>
    <row r="12633" spans="1:2" x14ac:dyDescent="0.25">
      <c r="A12633"/>
      <c r="B12633"/>
    </row>
    <row r="12634" spans="1:2" x14ac:dyDescent="0.25">
      <c r="A12634"/>
      <c r="B12634"/>
    </row>
    <row r="12635" spans="1:2" x14ac:dyDescent="0.25">
      <c r="A12635"/>
      <c r="B12635"/>
    </row>
    <row r="12636" spans="1:2" x14ac:dyDescent="0.25">
      <c r="A12636"/>
      <c r="B12636"/>
    </row>
    <row r="12637" spans="1:2" x14ac:dyDescent="0.25">
      <c r="A12637"/>
      <c r="B12637"/>
    </row>
    <row r="12638" spans="1:2" x14ac:dyDescent="0.25">
      <c r="A12638"/>
      <c r="B12638"/>
    </row>
    <row r="12639" spans="1:2" x14ac:dyDescent="0.25">
      <c r="A12639"/>
      <c r="B12639"/>
    </row>
    <row r="12640" spans="1:2" x14ac:dyDescent="0.25">
      <c r="A12640"/>
      <c r="B12640"/>
    </row>
    <row r="12641" spans="1:2" x14ac:dyDescent="0.25">
      <c r="A12641"/>
      <c r="B12641"/>
    </row>
    <row r="12642" spans="1:2" x14ac:dyDescent="0.25">
      <c r="A12642"/>
      <c r="B12642"/>
    </row>
    <row r="12643" spans="1:2" x14ac:dyDescent="0.25">
      <c r="A12643"/>
      <c r="B12643"/>
    </row>
    <row r="12644" spans="1:2" x14ac:dyDescent="0.25">
      <c r="A12644"/>
      <c r="B12644"/>
    </row>
    <row r="12645" spans="1:2" x14ac:dyDescent="0.25">
      <c r="A12645"/>
      <c r="B12645"/>
    </row>
    <row r="12646" spans="1:2" x14ac:dyDescent="0.25">
      <c r="A12646"/>
      <c r="B12646"/>
    </row>
    <row r="12647" spans="1:2" x14ac:dyDescent="0.25">
      <c r="A12647"/>
      <c r="B12647"/>
    </row>
    <row r="12648" spans="1:2" x14ac:dyDescent="0.25">
      <c r="A12648"/>
      <c r="B12648"/>
    </row>
    <row r="12649" spans="1:2" x14ac:dyDescent="0.25">
      <c r="A12649"/>
      <c r="B12649"/>
    </row>
    <row r="12650" spans="1:2" x14ac:dyDescent="0.25">
      <c r="A12650"/>
      <c r="B12650"/>
    </row>
    <row r="12651" spans="1:2" x14ac:dyDescent="0.25">
      <c r="A12651"/>
      <c r="B12651"/>
    </row>
    <row r="12652" spans="1:2" x14ac:dyDescent="0.25">
      <c r="A12652"/>
      <c r="B12652"/>
    </row>
    <row r="12653" spans="1:2" x14ac:dyDescent="0.25">
      <c r="A12653"/>
      <c r="B12653"/>
    </row>
    <row r="12654" spans="1:2" x14ac:dyDescent="0.25">
      <c r="A12654"/>
      <c r="B12654"/>
    </row>
    <row r="12655" spans="1:2" x14ac:dyDescent="0.25">
      <c r="A12655"/>
      <c r="B12655"/>
    </row>
    <row r="12656" spans="1:2" x14ac:dyDescent="0.25">
      <c r="A12656"/>
      <c r="B12656"/>
    </row>
    <row r="12657" spans="1:2" x14ac:dyDescent="0.25">
      <c r="A12657"/>
      <c r="B12657"/>
    </row>
    <row r="12658" spans="1:2" x14ac:dyDescent="0.25">
      <c r="A12658"/>
      <c r="B12658"/>
    </row>
    <row r="12659" spans="1:2" x14ac:dyDescent="0.25">
      <c r="A12659"/>
      <c r="B12659"/>
    </row>
    <row r="12660" spans="1:2" x14ac:dyDescent="0.25">
      <c r="A12660"/>
      <c r="B12660"/>
    </row>
    <row r="12661" spans="1:2" x14ac:dyDescent="0.25">
      <c r="A12661"/>
      <c r="B12661"/>
    </row>
    <row r="12662" spans="1:2" x14ac:dyDescent="0.25">
      <c r="A12662"/>
      <c r="B12662"/>
    </row>
    <row r="12663" spans="1:2" x14ac:dyDescent="0.25">
      <c r="A12663"/>
      <c r="B12663"/>
    </row>
    <row r="12664" spans="1:2" x14ac:dyDescent="0.25">
      <c r="A12664"/>
      <c r="B12664"/>
    </row>
    <row r="12665" spans="1:2" x14ac:dyDescent="0.25">
      <c r="A12665"/>
      <c r="B12665"/>
    </row>
    <row r="12666" spans="1:2" x14ac:dyDescent="0.25">
      <c r="A12666"/>
      <c r="B12666"/>
    </row>
    <row r="12667" spans="1:2" x14ac:dyDescent="0.25">
      <c r="A12667"/>
      <c r="B12667"/>
    </row>
    <row r="12668" spans="1:2" x14ac:dyDescent="0.25">
      <c r="A12668"/>
      <c r="B12668"/>
    </row>
    <row r="12669" spans="1:2" x14ac:dyDescent="0.25">
      <c r="A12669"/>
      <c r="B12669"/>
    </row>
    <row r="12670" spans="1:2" x14ac:dyDescent="0.25">
      <c r="A12670"/>
      <c r="B12670"/>
    </row>
    <row r="12671" spans="1:2" x14ac:dyDescent="0.25">
      <c r="A12671"/>
      <c r="B12671"/>
    </row>
    <row r="12672" spans="1:2" x14ac:dyDescent="0.25">
      <c r="A12672"/>
      <c r="B12672"/>
    </row>
    <row r="12673" spans="1:2" x14ac:dyDescent="0.25">
      <c r="A12673"/>
      <c r="B12673"/>
    </row>
    <row r="12674" spans="1:2" x14ac:dyDescent="0.25">
      <c r="A12674"/>
      <c r="B12674"/>
    </row>
    <row r="12675" spans="1:2" x14ac:dyDescent="0.25">
      <c r="A12675"/>
      <c r="B12675"/>
    </row>
    <row r="12676" spans="1:2" x14ac:dyDescent="0.25">
      <c r="A12676"/>
      <c r="B12676"/>
    </row>
    <row r="12677" spans="1:2" x14ac:dyDescent="0.25">
      <c r="A12677"/>
      <c r="B12677"/>
    </row>
    <row r="12678" spans="1:2" x14ac:dyDescent="0.25">
      <c r="A12678"/>
      <c r="B12678"/>
    </row>
    <row r="12679" spans="1:2" x14ac:dyDescent="0.25">
      <c r="A12679"/>
      <c r="B12679"/>
    </row>
    <row r="12680" spans="1:2" x14ac:dyDescent="0.25">
      <c r="A12680"/>
      <c r="B12680"/>
    </row>
    <row r="12681" spans="1:2" x14ac:dyDescent="0.25">
      <c r="A12681"/>
      <c r="B12681"/>
    </row>
    <row r="12682" spans="1:2" x14ac:dyDescent="0.25">
      <c r="A12682"/>
      <c r="B12682"/>
    </row>
    <row r="12683" spans="1:2" x14ac:dyDescent="0.25">
      <c r="A12683"/>
      <c r="B12683"/>
    </row>
    <row r="12684" spans="1:2" x14ac:dyDescent="0.25">
      <c r="A12684"/>
      <c r="B12684"/>
    </row>
    <row r="12685" spans="1:2" x14ac:dyDescent="0.25">
      <c r="A12685"/>
      <c r="B12685"/>
    </row>
    <row r="12686" spans="1:2" x14ac:dyDescent="0.25">
      <c r="A12686"/>
      <c r="B12686"/>
    </row>
    <row r="12687" spans="1:2" x14ac:dyDescent="0.25">
      <c r="A12687"/>
      <c r="B12687"/>
    </row>
    <row r="12688" spans="1:2" x14ac:dyDescent="0.25">
      <c r="A12688"/>
      <c r="B12688"/>
    </row>
    <row r="12689" spans="1:2" x14ac:dyDescent="0.25">
      <c r="A12689"/>
      <c r="B12689"/>
    </row>
    <row r="12690" spans="1:2" x14ac:dyDescent="0.25">
      <c r="A12690"/>
      <c r="B12690"/>
    </row>
    <row r="12691" spans="1:2" x14ac:dyDescent="0.25">
      <c r="A12691"/>
      <c r="B12691"/>
    </row>
    <row r="12692" spans="1:2" x14ac:dyDescent="0.25">
      <c r="A12692"/>
      <c r="B12692"/>
    </row>
    <row r="12693" spans="1:2" x14ac:dyDescent="0.25">
      <c r="A12693"/>
      <c r="B12693"/>
    </row>
    <row r="12694" spans="1:2" x14ac:dyDescent="0.25">
      <c r="A12694"/>
      <c r="B12694"/>
    </row>
    <row r="12695" spans="1:2" x14ac:dyDescent="0.25">
      <c r="A12695"/>
      <c r="B12695"/>
    </row>
    <row r="12696" spans="1:2" x14ac:dyDescent="0.25">
      <c r="A12696"/>
      <c r="B12696"/>
    </row>
    <row r="12697" spans="1:2" x14ac:dyDescent="0.25">
      <c r="A12697"/>
      <c r="B12697"/>
    </row>
    <row r="12698" spans="1:2" x14ac:dyDescent="0.25">
      <c r="A12698"/>
      <c r="B12698"/>
    </row>
    <row r="12699" spans="1:2" x14ac:dyDescent="0.25">
      <c r="A12699"/>
      <c r="B12699"/>
    </row>
    <row r="12700" spans="1:2" x14ac:dyDescent="0.25">
      <c r="A12700"/>
      <c r="B12700"/>
    </row>
    <row r="12701" spans="1:2" x14ac:dyDescent="0.25">
      <c r="A12701"/>
      <c r="B12701"/>
    </row>
    <row r="12702" spans="1:2" x14ac:dyDescent="0.25">
      <c r="A12702"/>
      <c r="B12702"/>
    </row>
    <row r="12703" spans="1:2" x14ac:dyDescent="0.25">
      <c r="A12703"/>
      <c r="B12703"/>
    </row>
    <row r="12704" spans="1:2" x14ac:dyDescent="0.25">
      <c r="A12704"/>
      <c r="B12704"/>
    </row>
    <row r="12705" spans="1:2" x14ac:dyDescent="0.25">
      <c r="A12705"/>
      <c r="B12705"/>
    </row>
    <row r="12706" spans="1:2" x14ac:dyDescent="0.25">
      <c r="A12706"/>
      <c r="B12706"/>
    </row>
    <row r="12707" spans="1:2" x14ac:dyDescent="0.25">
      <c r="A12707"/>
      <c r="B12707"/>
    </row>
    <row r="12708" spans="1:2" x14ac:dyDescent="0.25">
      <c r="A12708"/>
      <c r="B12708"/>
    </row>
    <row r="12709" spans="1:2" x14ac:dyDescent="0.25">
      <c r="A12709"/>
      <c r="B12709"/>
    </row>
    <row r="12710" spans="1:2" x14ac:dyDescent="0.25">
      <c r="A12710"/>
      <c r="B12710"/>
    </row>
    <row r="12711" spans="1:2" x14ac:dyDescent="0.25">
      <c r="A12711"/>
      <c r="B12711"/>
    </row>
    <row r="12712" spans="1:2" x14ac:dyDescent="0.25">
      <c r="A12712"/>
      <c r="B12712"/>
    </row>
    <row r="12713" spans="1:2" x14ac:dyDescent="0.25">
      <c r="A12713"/>
      <c r="B12713"/>
    </row>
    <row r="12714" spans="1:2" x14ac:dyDescent="0.25">
      <c r="A12714"/>
      <c r="B12714"/>
    </row>
    <row r="12715" spans="1:2" x14ac:dyDescent="0.25">
      <c r="A12715"/>
      <c r="B12715"/>
    </row>
    <row r="12716" spans="1:2" x14ac:dyDescent="0.25">
      <c r="A12716"/>
      <c r="B12716"/>
    </row>
    <row r="12717" spans="1:2" x14ac:dyDescent="0.25">
      <c r="A12717"/>
      <c r="B12717"/>
    </row>
    <row r="12718" spans="1:2" x14ac:dyDescent="0.25">
      <c r="A12718"/>
      <c r="B12718"/>
    </row>
    <row r="12719" spans="1:2" x14ac:dyDescent="0.25">
      <c r="A12719"/>
      <c r="B12719"/>
    </row>
    <row r="12720" spans="1:2" x14ac:dyDescent="0.25">
      <c r="A12720"/>
      <c r="B12720"/>
    </row>
    <row r="12721" spans="1:2" x14ac:dyDescent="0.25">
      <c r="A12721"/>
      <c r="B12721"/>
    </row>
    <row r="12722" spans="1:2" x14ac:dyDescent="0.25">
      <c r="A12722"/>
      <c r="B12722"/>
    </row>
    <row r="12723" spans="1:2" x14ac:dyDescent="0.25">
      <c r="A12723"/>
      <c r="B12723"/>
    </row>
    <row r="12724" spans="1:2" x14ac:dyDescent="0.25">
      <c r="A12724"/>
      <c r="B12724"/>
    </row>
    <row r="12725" spans="1:2" x14ac:dyDescent="0.25">
      <c r="A12725"/>
      <c r="B12725"/>
    </row>
    <row r="12726" spans="1:2" x14ac:dyDescent="0.25">
      <c r="A12726"/>
      <c r="B12726"/>
    </row>
    <row r="12727" spans="1:2" x14ac:dyDescent="0.25">
      <c r="A12727"/>
      <c r="B12727"/>
    </row>
    <row r="12728" spans="1:2" x14ac:dyDescent="0.25">
      <c r="A12728"/>
      <c r="B12728"/>
    </row>
    <row r="12729" spans="1:2" x14ac:dyDescent="0.25">
      <c r="A12729"/>
      <c r="B12729"/>
    </row>
    <row r="12730" spans="1:2" x14ac:dyDescent="0.25">
      <c r="A12730"/>
      <c r="B12730"/>
    </row>
    <row r="12731" spans="1:2" x14ac:dyDescent="0.25">
      <c r="A12731"/>
      <c r="B12731"/>
    </row>
    <row r="12732" spans="1:2" x14ac:dyDescent="0.25">
      <c r="A12732"/>
      <c r="B12732"/>
    </row>
    <row r="12733" spans="1:2" x14ac:dyDescent="0.25">
      <c r="A12733"/>
      <c r="B12733"/>
    </row>
    <row r="12734" spans="1:2" x14ac:dyDescent="0.25">
      <c r="A12734"/>
      <c r="B12734"/>
    </row>
    <row r="12735" spans="1:2" x14ac:dyDescent="0.25">
      <c r="A12735"/>
      <c r="B12735"/>
    </row>
    <row r="12736" spans="1:2" x14ac:dyDescent="0.25">
      <c r="A12736"/>
      <c r="B12736"/>
    </row>
    <row r="12737" spans="1:2" x14ac:dyDescent="0.25">
      <c r="A12737"/>
      <c r="B12737"/>
    </row>
    <row r="12738" spans="1:2" x14ac:dyDescent="0.25">
      <c r="A12738"/>
      <c r="B12738"/>
    </row>
    <row r="12739" spans="1:2" x14ac:dyDescent="0.25">
      <c r="A12739"/>
      <c r="B12739"/>
    </row>
    <row r="12740" spans="1:2" x14ac:dyDescent="0.25">
      <c r="A12740"/>
      <c r="B12740"/>
    </row>
    <row r="12741" spans="1:2" x14ac:dyDescent="0.25">
      <c r="A12741"/>
      <c r="B12741"/>
    </row>
    <row r="12742" spans="1:2" x14ac:dyDescent="0.25">
      <c r="A12742"/>
      <c r="B12742"/>
    </row>
    <row r="12743" spans="1:2" x14ac:dyDescent="0.25">
      <c r="A12743"/>
      <c r="B12743"/>
    </row>
    <row r="12744" spans="1:2" x14ac:dyDescent="0.25">
      <c r="A12744"/>
      <c r="B12744"/>
    </row>
    <row r="12745" spans="1:2" x14ac:dyDescent="0.25">
      <c r="A12745"/>
      <c r="B12745"/>
    </row>
    <row r="12746" spans="1:2" x14ac:dyDescent="0.25">
      <c r="A12746"/>
      <c r="B12746"/>
    </row>
    <row r="12747" spans="1:2" x14ac:dyDescent="0.25">
      <c r="A12747"/>
      <c r="B12747"/>
    </row>
    <row r="12748" spans="1:2" x14ac:dyDescent="0.25">
      <c r="A12748"/>
      <c r="B12748"/>
    </row>
    <row r="12749" spans="1:2" x14ac:dyDescent="0.25">
      <c r="A12749"/>
      <c r="B12749"/>
    </row>
    <row r="12750" spans="1:2" x14ac:dyDescent="0.25">
      <c r="A12750"/>
      <c r="B12750"/>
    </row>
    <row r="12751" spans="1:2" x14ac:dyDescent="0.25">
      <c r="A12751"/>
      <c r="B12751"/>
    </row>
    <row r="12752" spans="1:2" x14ac:dyDescent="0.25">
      <c r="A12752"/>
      <c r="B12752"/>
    </row>
    <row r="12753" spans="1:2" x14ac:dyDescent="0.25">
      <c r="A12753"/>
      <c r="B12753"/>
    </row>
    <row r="12754" spans="1:2" x14ac:dyDescent="0.25">
      <c r="A12754"/>
      <c r="B12754"/>
    </row>
    <row r="12755" spans="1:2" x14ac:dyDescent="0.25">
      <c r="A12755"/>
      <c r="B12755"/>
    </row>
    <row r="12756" spans="1:2" x14ac:dyDescent="0.25">
      <c r="A12756"/>
      <c r="B12756"/>
    </row>
    <row r="12757" spans="1:2" x14ac:dyDescent="0.25">
      <c r="A12757"/>
      <c r="B12757"/>
    </row>
    <row r="12758" spans="1:2" x14ac:dyDescent="0.25">
      <c r="A12758"/>
      <c r="B12758"/>
    </row>
    <row r="12759" spans="1:2" x14ac:dyDescent="0.25">
      <c r="A12759"/>
      <c r="B12759"/>
    </row>
    <row r="12760" spans="1:2" x14ac:dyDescent="0.25">
      <c r="A12760"/>
      <c r="B12760"/>
    </row>
    <row r="12761" spans="1:2" x14ac:dyDescent="0.25">
      <c r="A12761"/>
      <c r="B12761"/>
    </row>
    <row r="12762" spans="1:2" x14ac:dyDescent="0.25">
      <c r="A12762"/>
      <c r="B12762"/>
    </row>
    <row r="12763" spans="1:2" x14ac:dyDescent="0.25">
      <c r="A12763"/>
      <c r="B12763"/>
    </row>
    <row r="12764" spans="1:2" x14ac:dyDescent="0.25">
      <c r="A12764"/>
      <c r="B12764"/>
    </row>
    <row r="12765" spans="1:2" x14ac:dyDescent="0.25">
      <c r="A12765"/>
      <c r="B12765"/>
    </row>
    <row r="12766" spans="1:2" x14ac:dyDescent="0.25">
      <c r="A12766"/>
      <c r="B12766"/>
    </row>
    <row r="12767" spans="1:2" x14ac:dyDescent="0.25">
      <c r="A12767"/>
      <c r="B12767"/>
    </row>
    <row r="12768" spans="1:2" x14ac:dyDescent="0.25">
      <c r="A12768"/>
      <c r="B12768"/>
    </row>
    <row r="12769" spans="1:2" x14ac:dyDescent="0.25">
      <c r="A12769"/>
      <c r="B12769"/>
    </row>
    <row r="12770" spans="1:2" x14ac:dyDescent="0.25">
      <c r="A12770"/>
      <c r="B12770"/>
    </row>
    <row r="12771" spans="1:2" x14ac:dyDescent="0.25">
      <c r="A12771"/>
      <c r="B12771"/>
    </row>
    <row r="12772" spans="1:2" x14ac:dyDescent="0.25">
      <c r="A12772"/>
      <c r="B12772"/>
    </row>
    <row r="12773" spans="1:2" x14ac:dyDescent="0.25">
      <c r="A12773"/>
      <c r="B12773"/>
    </row>
    <row r="12774" spans="1:2" x14ac:dyDescent="0.25">
      <c r="A12774"/>
      <c r="B12774"/>
    </row>
    <row r="12775" spans="1:2" x14ac:dyDescent="0.25">
      <c r="A12775"/>
      <c r="B12775"/>
    </row>
    <row r="12776" spans="1:2" x14ac:dyDescent="0.25">
      <c r="A12776"/>
      <c r="B12776"/>
    </row>
    <row r="12777" spans="1:2" x14ac:dyDescent="0.25">
      <c r="A12777"/>
      <c r="B12777"/>
    </row>
    <row r="12778" spans="1:2" x14ac:dyDescent="0.25">
      <c r="A12778"/>
      <c r="B12778"/>
    </row>
    <row r="12779" spans="1:2" x14ac:dyDescent="0.25">
      <c r="A12779"/>
      <c r="B12779"/>
    </row>
    <row r="12780" spans="1:2" x14ac:dyDescent="0.25">
      <c r="A12780"/>
      <c r="B12780"/>
    </row>
    <row r="12781" spans="1:2" x14ac:dyDescent="0.25">
      <c r="A12781"/>
      <c r="B12781"/>
    </row>
    <row r="12782" spans="1:2" x14ac:dyDescent="0.25">
      <c r="A12782"/>
      <c r="B12782"/>
    </row>
    <row r="12783" spans="1:2" x14ac:dyDescent="0.25">
      <c r="A12783"/>
      <c r="B12783"/>
    </row>
    <row r="12784" spans="1:2" x14ac:dyDescent="0.25">
      <c r="A12784"/>
      <c r="B12784"/>
    </row>
    <row r="12785" spans="1:2" x14ac:dyDescent="0.25">
      <c r="A12785"/>
      <c r="B12785"/>
    </row>
    <row r="12786" spans="1:2" x14ac:dyDescent="0.25">
      <c r="A12786"/>
      <c r="B12786"/>
    </row>
    <row r="12787" spans="1:2" x14ac:dyDescent="0.25">
      <c r="A12787"/>
      <c r="B12787"/>
    </row>
    <row r="12788" spans="1:2" x14ac:dyDescent="0.25">
      <c r="A12788"/>
      <c r="B12788"/>
    </row>
    <row r="12789" spans="1:2" x14ac:dyDescent="0.25">
      <c r="A12789"/>
      <c r="B12789"/>
    </row>
    <row r="12790" spans="1:2" x14ac:dyDescent="0.25">
      <c r="A12790"/>
      <c r="B12790"/>
    </row>
    <row r="12791" spans="1:2" x14ac:dyDescent="0.25">
      <c r="A12791"/>
      <c r="B12791"/>
    </row>
    <row r="12792" spans="1:2" x14ac:dyDescent="0.25">
      <c r="A12792"/>
      <c r="B12792"/>
    </row>
    <row r="12793" spans="1:2" x14ac:dyDescent="0.25">
      <c r="A12793"/>
      <c r="B12793"/>
    </row>
    <row r="12794" spans="1:2" x14ac:dyDescent="0.25">
      <c r="A12794"/>
      <c r="B12794"/>
    </row>
    <row r="12795" spans="1:2" x14ac:dyDescent="0.25">
      <c r="A12795"/>
      <c r="B12795"/>
    </row>
    <row r="12796" spans="1:2" x14ac:dyDescent="0.25">
      <c r="A12796"/>
      <c r="B12796"/>
    </row>
    <row r="12797" spans="1:2" x14ac:dyDescent="0.25">
      <c r="A12797"/>
      <c r="B12797"/>
    </row>
    <row r="12798" spans="1:2" x14ac:dyDescent="0.25">
      <c r="A12798"/>
      <c r="B12798"/>
    </row>
    <row r="12799" spans="1:2" x14ac:dyDescent="0.25">
      <c r="A12799"/>
      <c r="B12799"/>
    </row>
    <row r="12800" spans="1:2" x14ac:dyDescent="0.25">
      <c r="A12800"/>
      <c r="B12800"/>
    </row>
    <row r="12801" spans="1:2" x14ac:dyDescent="0.25">
      <c r="A12801"/>
      <c r="B12801"/>
    </row>
    <row r="12802" spans="1:2" x14ac:dyDescent="0.25">
      <c r="A12802"/>
      <c r="B12802"/>
    </row>
    <row r="12803" spans="1:2" x14ac:dyDescent="0.25">
      <c r="A12803"/>
      <c r="B12803"/>
    </row>
    <row r="12804" spans="1:2" x14ac:dyDescent="0.25">
      <c r="A12804"/>
      <c r="B12804"/>
    </row>
    <row r="12805" spans="1:2" x14ac:dyDescent="0.25">
      <c r="A12805"/>
      <c r="B12805"/>
    </row>
    <row r="12806" spans="1:2" x14ac:dyDescent="0.25">
      <c r="A12806"/>
      <c r="B12806"/>
    </row>
    <row r="12807" spans="1:2" x14ac:dyDescent="0.25">
      <c r="A12807"/>
      <c r="B12807"/>
    </row>
    <row r="12808" spans="1:2" x14ac:dyDescent="0.25">
      <c r="A12808"/>
      <c r="B12808"/>
    </row>
    <row r="12809" spans="1:2" x14ac:dyDescent="0.25">
      <c r="A12809"/>
      <c r="B12809"/>
    </row>
    <row r="12810" spans="1:2" x14ac:dyDescent="0.25">
      <c r="A12810"/>
      <c r="B12810"/>
    </row>
    <row r="12811" spans="1:2" x14ac:dyDescent="0.25">
      <c r="A12811"/>
      <c r="B12811"/>
    </row>
    <row r="12812" spans="1:2" x14ac:dyDescent="0.25">
      <c r="A12812"/>
      <c r="B12812"/>
    </row>
    <row r="12813" spans="1:2" x14ac:dyDescent="0.25">
      <c r="A12813"/>
      <c r="B12813"/>
    </row>
    <row r="12814" spans="1:2" x14ac:dyDescent="0.25">
      <c r="A12814"/>
      <c r="B12814"/>
    </row>
    <row r="12815" spans="1:2" x14ac:dyDescent="0.25">
      <c r="A12815"/>
      <c r="B12815"/>
    </row>
    <row r="12816" spans="1:2" x14ac:dyDescent="0.25">
      <c r="A12816"/>
      <c r="B12816"/>
    </row>
    <row r="12817" spans="1:2" x14ac:dyDescent="0.25">
      <c r="A12817"/>
      <c r="B12817"/>
    </row>
    <row r="12818" spans="1:2" x14ac:dyDescent="0.25">
      <c r="A12818"/>
      <c r="B12818"/>
    </row>
    <row r="12819" spans="1:2" x14ac:dyDescent="0.25">
      <c r="A12819"/>
      <c r="B12819"/>
    </row>
    <row r="12820" spans="1:2" x14ac:dyDescent="0.25">
      <c r="A12820"/>
      <c r="B12820"/>
    </row>
    <row r="12821" spans="1:2" x14ac:dyDescent="0.25">
      <c r="A12821"/>
      <c r="B12821"/>
    </row>
    <row r="12822" spans="1:2" x14ac:dyDescent="0.25">
      <c r="A12822"/>
      <c r="B12822"/>
    </row>
    <row r="12823" spans="1:2" x14ac:dyDescent="0.25">
      <c r="A12823"/>
      <c r="B12823"/>
    </row>
    <row r="12824" spans="1:2" x14ac:dyDescent="0.25">
      <c r="A12824"/>
      <c r="B12824"/>
    </row>
    <row r="12825" spans="1:2" x14ac:dyDescent="0.25">
      <c r="A12825"/>
      <c r="B12825"/>
    </row>
    <row r="12826" spans="1:2" x14ac:dyDescent="0.25">
      <c r="A12826"/>
      <c r="B12826"/>
    </row>
    <row r="12827" spans="1:2" x14ac:dyDescent="0.25">
      <c r="A12827"/>
      <c r="B12827"/>
    </row>
    <row r="12828" spans="1:2" x14ac:dyDescent="0.25">
      <c r="A12828"/>
      <c r="B12828"/>
    </row>
    <row r="12829" spans="1:2" x14ac:dyDescent="0.25">
      <c r="A12829"/>
      <c r="B12829"/>
    </row>
    <row r="12830" spans="1:2" x14ac:dyDescent="0.25">
      <c r="A12830"/>
      <c r="B12830"/>
    </row>
    <row r="12831" spans="1:2" x14ac:dyDescent="0.25">
      <c r="A12831"/>
      <c r="B12831"/>
    </row>
    <row r="12832" spans="1:2" x14ac:dyDescent="0.25">
      <c r="A12832"/>
      <c r="B12832"/>
    </row>
    <row r="12833" spans="1:2" x14ac:dyDescent="0.25">
      <c r="A12833"/>
      <c r="B12833"/>
    </row>
    <row r="12834" spans="1:2" x14ac:dyDescent="0.25">
      <c r="A12834"/>
      <c r="B12834"/>
    </row>
    <row r="12835" spans="1:2" x14ac:dyDescent="0.25">
      <c r="A12835"/>
      <c r="B12835"/>
    </row>
    <row r="12836" spans="1:2" x14ac:dyDescent="0.25">
      <c r="A12836"/>
      <c r="B12836"/>
    </row>
    <row r="12837" spans="1:2" x14ac:dyDescent="0.25">
      <c r="A12837"/>
      <c r="B12837"/>
    </row>
    <row r="12838" spans="1:2" x14ac:dyDescent="0.25">
      <c r="A12838"/>
      <c r="B12838"/>
    </row>
    <row r="12839" spans="1:2" x14ac:dyDescent="0.25">
      <c r="A12839"/>
      <c r="B12839"/>
    </row>
    <row r="12840" spans="1:2" x14ac:dyDescent="0.25">
      <c r="A12840"/>
      <c r="B12840"/>
    </row>
    <row r="12841" spans="1:2" x14ac:dyDescent="0.25">
      <c r="A12841"/>
      <c r="B12841"/>
    </row>
    <row r="12842" spans="1:2" x14ac:dyDescent="0.25">
      <c r="A12842"/>
      <c r="B12842"/>
    </row>
    <row r="12843" spans="1:2" x14ac:dyDescent="0.25">
      <c r="A12843"/>
      <c r="B12843"/>
    </row>
    <row r="12844" spans="1:2" x14ac:dyDescent="0.25">
      <c r="A12844"/>
      <c r="B12844"/>
    </row>
    <row r="12845" spans="1:2" x14ac:dyDescent="0.25">
      <c r="A12845"/>
      <c r="B12845"/>
    </row>
    <row r="12846" spans="1:2" x14ac:dyDescent="0.25">
      <c r="A12846"/>
      <c r="B12846"/>
    </row>
    <row r="12847" spans="1:2" x14ac:dyDescent="0.25">
      <c r="A12847"/>
      <c r="B12847"/>
    </row>
    <row r="12848" spans="1:2" x14ac:dyDescent="0.25">
      <c r="A12848"/>
      <c r="B12848"/>
    </row>
    <row r="12849" spans="1:2" x14ac:dyDescent="0.25">
      <c r="A12849"/>
      <c r="B12849"/>
    </row>
    <row r="12850" spans="1:2" x14ac:dyDescent="0.25">
      <c r="A12850"/>
      <c r="B12850"/>
    </row>
    <row r="12851" spans="1:2" x14ac:dyDescent="0.25">
      <c r="A12851"/>
      <c r="B12851"/>
    </row>
    <row r="12852" spans="1:2" x14ac:dyDescent="0.25">
      <c r="A12852"/>
      <c r="B12852"/>
    </row>
    <row r="12853" spans="1:2" x14ac:dyDescent="0.25">
      <c r="A12853"/>
      <c r="B12853"/>
    </row>
    <row r="12854" spans="1:2" x14ac:dyDescent="0.25">
      <c r="A12854"/>
      <c r="B12854"/>
    </row>
    <row r="12855" spans="1:2" x14ac:dyDescent="0.25">
      <c r="A12855"/>
      <c r="B12855"/>
    </row>
    <row r="12856" spans="1:2" x14ac:dyDescent="0.25">
      <c r="A12856"/>
      <c r="B12856"/>
    </row>
    <row r="12857" spans="1:2" x14ac:dyDescent="0.25">
      <c r="A12857"/>
      <c r="B12857"/>
    </row>
    <row r="12858" spans="1:2" x14ac:dyDescent="0.25">
      <c r="A12858"/>
      <c r="B12858"/>
    </row>
    <row r="12859" spans="1:2" x14ac:dyDescent="0.25">
      <c r="A12859"/>
      <c r="B12859"/>
    </row>
    <row r="12860" spans="1:2" x14ac:dyDescent="0.25">
      <c r="A12860"/>
      <c r="B12860"/>
    </row>
    <row r="12861" spans="1:2" x14ac:dyDescent="0.25">
      <c r="A12861"/>
      <c r="B12861"/>
    </row>
    <row r="12862" spans="1:2" x14ac:dyDescent="0.25">
      <c r="A12862"/>
      <c r="B12862"/>
    </row>
    <row r="12863" spans="1:2" x14ac:dyDescent="0.25">
      <c r="A12863"/>
      <c r="B12863"/>
    </row>
    <row r="12864" spans="1:2" x14ac:dyDescent="0.25">
      <c r="A12864"/>
      <c r="B12864"/>
    </row>
    <row r="12865" spans="1:2" x14ac:dyDescent="0.25">
      <c r="A12865"/>
      <c r="B12865"/>
    </row>
    <row r="12866" spans="1:2" x14ac:dyDescent="0.25">
      <c r="A12866"/>
      <c r="B12866"/>
    </row>
    <row r="12867" spans="1:2" x14ac:dyDescent="0.25">
      <c r="A12867"/>
      <c r="B12867"/>
    </row>
    <row r="12868" spans="1:2" x14ac:dyDescent="0.25">
      <c r="A12868"/>
      <c r="B12868"/>
    </row>
    <row r="12869" spans="1:2" x14ac:dyDescent="0.25">
      <c r="A12869"/>
      <c r="B12869"/>
    </row>
    <row r="12870" spans="1:2" x14ac:dyDescent="0.25">
      <c r="A12870"/>
      <c r="B12870"/>
    </row>
    <row r="12871" spans="1:2" x14ac:dyDescent="0.25">
      <c r="A12871"/>
      <c r="B12871"/>
    </row>
    <row r="12872" spans="1:2" x14ac:dyDescent="0.25">
      <c r="A12872"/>
      <c r="B12872"/>
    </row>
    <row r="12873" spans="1:2" x14ac:dyDescent="0.25">
      <c r="A12873"/>
      <c r="B12873"/>
    </row>
    <row r="12874" spans="1:2" x14ac:dyDescent="0.25">
      <c r="A12874"/>
      <c r="B12874"/>
    </row>
    <row r="12875" spans="1:2" x14ac:dyDescent="0.25">
      <c r="A12875"/>
      <c r="B12875"/>
    </row>
    <row r="12876" spans="1:2" x14ac:dyDescent="0.25">
      <c r="A12876"/>
      <c r="B12876"/>
    </row>
    <row r="12877" spans="1:2" x14ac:dyDescent="0.25">
      <c r="A12877"/>
      <c r="B12877"/>
    </row>
    <row r="12878" spans="1:2" x14ac:dyDescent="0.25">
      <c r="A12878"/>
      <c r="B12878"/>
    </row>
    <row r="12879" spans="1:2" x14ac:dyDescent="0.25">
      <c r="A12879"/>
      <c r="B12879"/>
    </row>
    <row r="12880" spans="1:2" x14ac:dyDescent="0.25">
      <c r="A12880"/>
      <c r="B12880"/>
    </row>
    <row r="12881" spans="1:2" x14ac:dyDescent="0.25">
      <c r="A12881"/>
      <c r="B12881"/>
    </row>
    <row r="12882" spans="1:2" x14ac:dyDescent="0.25">
      <c r="A12882"/>
      <c r="B12882"/>
    </row>
    <row r="12883" spans="1:2" x14ac:dyDescent="0.25">
      <c r="A12883"/>
      <c r="B12883"/>
    </row>
    <row r="12884" spans="1:2" x14ac:dyDescent="0.25">
      <c r="A12884"/>
      <c r="B12884"/>
    </row>
    <row r="12885" spans="1:2" x14ac:dyDescent="0.25">
      <c r="A12885"/>
      <c r="B12885"/>
    </row>
    <row r="12886" spans="1:2" x14ac:dyDescent="0.25">
      <c r="A12886"/>
      <c r="B12886"/>
    </row>
    <row r="12887" spans="1:2" x14ac:dyDescent="0.25">
      <c r="A12887"/>
      <c r="B12887"/>
    </row>
    <row r="12888" spans="1:2" x14ac:dyDescent="0.25">
      <c r="A12888"/>
      <c r="B12888"/>
    </row>
    <row r="12889" spans="1:2" x14ac:dyDescent="0.25">
      <c r="A12889"/>
      <c r="B12889"/>
    </row>
    <row r="12890" spans="1:2" x14ac:dyDescent="0.25">
      <c r="A12890"/>
      <c r="B12890"/>
    </row>
    <row r="12891" spans="1:2" x14ac:dyDescent="0.25">
      <c r="A12891"/>
      <c r="B12891"/>
    </row>
    <row r="12892" spans="1:2" x14ac:dyDescent="0.25">
      <c r="A12892"/>
      <c r="B12892"/>
    </row>
    <row r="12893" spans="1:2" x14ac:dyDescent="0.25">
      <c r="A12893"/>
      <c r="B12893"/>
    </row>
    <row r="12894" spans="1:2" x14ac:dyDescent="0.25">
      <c r="A12894"/>
      <c r="B12894"/>
    </row>
    <row r="12895" spans="1:2" x14ac:dyDescent="0.25">
      <c r="A12895"/>
      <c r="B12895"/>
    </row>
    <row r="12896" spans="1:2" x14ac:dyDescent="0.25">
      <c r="A12896"/>
      <c r="B12896"/>
    </row>
    <row r="12897" spans="1:2" x14ac:dyDescent="0.25">
      <c r="A12897"/>
      <c r="B12897"/>
    </row>
    <row r="12898" spans="1:2" x14ac:dyDescent="0.25">
      <c r="A12898"/>
      <c r="B12898"/>
    </row>
    <row r="12899" spans="1:2" x14ac:dyDescent="0.25">
      <c r="A12899"/>
      <c r="B12899"/>
    </row>
    <row r="12900" spans="1:2" x14ac:dyDescent="0.25">
      <c r="A12900"/>
      <c r="B12900"/>
    </row>
    <row r="12901" spans="1:2" x14ac:dyDescent="0.25">
      <c r="A12901"/>
      <c r="B12901"/>
    </row>
    <row r="12902" spans="1:2" x14ac:dyDescent="0.25">
      <c r="A12902"/>
      <c r="B12902"/>
    </row>
    <row r="12903" spans="1:2" x14ac:dyDescent="0.25">
      <c r="A12903"/>
      <c r="B12903"/>
    </row>
    <row r="12904" spans="1:2" x14ac:dyDescent="0.25">
      <c r="A12904"/>
      <c r="B12904"/>
    </row>
    <row r="12905" spans="1:2" x14ac:dyDescent="0.25">
      <c r="A12905"/>
      <c r="B12905"/>
    </row>
    <row r="12906" spans="1:2" x14ac:dyDescent="0.25">
      <c r="A12906"/>
      <c r="B12906"/>
    </row>
    <row r="12907" spans="1:2" x14ac:dyDescent="0.25">
      <c r="A12907"/>
      <c r="B12907"/>
    </row>
    <row r="12908" spans="1:2" x14ac:dyDescent="0.25">
      <c r="A12908"/>
      <c r="B12908"/>
    </row>
    <row r="12909" spans="1:2" x14ac:dyDescent="0.25">
      <c r="A12909"/>
      <c r="B12909"/>
    </row>
    <row r="12910" spans="1:2" x14ac:dyDescent="0.25">
      <c r="A12910"/>
      <c r="B12910"/>
    </row>
    <row r="12911" spans="1:2" x14ac:dyDescent="0.25">
      <c r="A12911"/>
      <c r="B12911"/>
    </row>
    <row r="12912" spans="1:2" x14ac:dyDescent="0.25">
      <c r="A12912"/>
      <c r="B12912"/>
    </row>
    <row r="12913" spans="1:2" x14ac:dyDescent="0.25">
      <c r="A12913"/>
      <c r="B12913"/>
    </row>
    <row r="12914" spans="1:2" x14ac:dyDescent="0.25">
      <c r="A12914"/>
      <c r="B12914"/>
    </row>
    <row r="12915" spans="1:2" x14ac:dyDescent="0.25">
      <c r="A12915"/>
      <c r="B12915"/>
    </row>
    <row r="12916" spans="1:2" x14ac:dyDescent="0.25">
      <c r="A12916"/>
      <c r="B12916"/>
    </row>
    <row r="12917" spans="1:2" x14ac:dyDescent="0.25">
      <c r="A12917"/>
      <c r="B12917"/>
    </row>
    <row r="12918" spans="1:2" x14ac:dyDescent="0.25">
      <c r="A12918"/>
      <c r="B12918"/>
    </row>
    <row r="12919" spans="1:2" x14ac:dyDescent="0.25">
      <c r="A12919"/>
      <c r="B12919"/>
    </row>
    <row r="12920" spans="1:2" x14ac:dyDescent="0.25">
      <c r="A12920"/>
      <c r="B12920"/>
    </row>
    <row r="12921" spans="1:2" x14ac:dyDescent="0.25">
      <c r="A12921"/>
      <c r="B12921"/>
    </row>
    <row r="12922" spans="1:2" x14ac:dyDescent="0.25">
      <c r="A12922"/>
      <c r="B12922"/>
    </row>
    <row r="12923" spans="1:2" x14ac:dyDescent="0.25">
      <c r="A12923"/>
      <c r="B12923"/>
    </row>
    <row r="12924" spans="1:2" x14ac:dyDescent="0.25">
      <c r="A12924"/>
      <c r="B12924"/>
    </row>
    <row r="12925" spans="1:2" x14ac:dyDescent="0.25">
      <c r="A12925"/>
      <c r="B12925"/>
    </row>
    <row r="12926" spans="1:2" x14ac:dyDescent="0.25">
      <c r="A12926"/>
      <c r="B12926"/>
    </row>
    <row r="12927" spans="1:2" x14ac:dyDescent="0.25">
      <c r="A12927"/>
      <c r="B12927"/>
    </row>
    <row r="12928" spans="1:2" x14ac:dyDescent="0.25">
      <c r="A12928"/>
      <c r="B12928"/>
    </row>
    <row r="12929" spans="1:2" x14ac:dyDescent="0.25">
      <c r="A12929"/>
      <c r="B12929"/>
    </row>
    <row r="12930" spans="1:2" x14ac:dyDescent="0.25">
      <c r="A12930"/>
      <c r="B12930"/>
    </row>
    <row r="12931" spans="1:2" x14ac:dyDescent="0.25">
      <c r="A12931"/>
      <c r="B12931"/>
    </row>
    <row r="12932" spans="1:2" x14ac:dyDescent="0.25">
      <c r="A12932"/>
      <c r="B12932"/>
    </row>
    <row r="12933" spans="1:2" x14ac:dyDescent="0.25">
      <c r="A12933"/>
      <c r="B12933"/>
    </row>
    <row r="12934" spans="1:2" x14ac:dyDescent="0.25">
      <c r="A12934"/>
      <c r="B12934"/>
    </row>
    <row r="12935" spans="1:2" x14ac:dyDescent="0.25">
      <c r="A12935"/>
      <c r="B12935"/>
    </row>
    <row r="12936" spans="1:2" x14ac:dyDescent="0.25">
      <c r="A12936"/>
      <c r="B12936"/>
    </row>
    <row r="12937" spans="1:2" x14ac:dyDescent="0.25">
      <c r="A12937"/>
      <c r="B12937"/>
    </row>
    <row r="12938" spans="1:2" x14ac:dyDescent="0.25">
      <c r="A12938"/>
      <c r="B12938"/>
    </row>
    <row r="12939" spans="1:2" x14ac:dyDescent="0.25">
      <c r="A12939"/>
      <c r="B12939"/>
    </row>
    <row r="12940" spans="1:2" x14ac:dyDescent="0.25">
      <c r="A12940"/>
      <c r="B12940"/>
    </row>
    <row r="12941" spans="1:2" x14ac:dyDescent="0.25">
      <c r="A12941"/>
      <c r="B12941"/>
    </row>
    <row r="12942" spans="1:2" x14ac:dyDescent="0.25">
      <c r="A12942"/>
      <c r="B12942"/>
    </row>
    <row r="12943" spans="1:2" x14ac:dyDescent="0.25">
      <c r="A12943"/>
      <c r="B12943"/>
    </row>
    <row r="12944" spans="1:2" x14ac:dyDescent="0.25">
      <c r="A12944"/>
      <c r="B12944"/>
    </row>
    <row r="12945" spans="1:2" x14ac:dyDescent="0.25">
      <c r="A12945"/>
      <c r="B12945"/>
    </row>
    <row r="12946" spans="1:2" x14ac:dyDescent="0.25">
      <c r="A12946"/>
      <c r="B12946"/>
    </row>
    <row r="12947" spans="1:2" x14ac:dyDescent="0.25">
      <c r="A12947"/>
      <c r="B12947"/>
    </row>
    <row r="12948" spans="1:2" x14ac:dyDescent="0.25">
      <c r="A12948"/>
      <c r="B12948"/>
    </row>
    <row r="12949" spans="1:2" x14ac:dyDescent="0.25">
      <c r="A12949"/>
      <c r="B12949"/>
    </row>
    <row r="12950" spans="1:2" x14ac:dyDescent="0.25">
      <c r="A12950"/>
      <c r="B12950"/>
    </row>
    <row r="12951" spans="1:2" x14ac:dyDescent="0.25">
      <c r="A12951"/>
      <c r="B12951"/>
    </row>
    <row r="12952" spans="1:2" x14ac:dyDescent="0.25">
      <c r="A12952"/>
      <c r="B12952"/>
    </row>
    <row r="12953" spans="1:2" x14ac:dyDescent="0.25">
      <c r="A12953"/>
      <c r="B12953"/>
    </row>
    <row r="12954" spans="1:2" x14ac:dyDescent="0.25">
      <c r="A12954"/>
      <c r="B12954"/>
    </row>
    <row r="12955" spans="1:2" x14ac:dyDescent="0.25">
      <c r="A12955"/>
      <c r="B12955"/>
    </row>
    <row r="12956" spans="1:2" x14ac:dyDescent="0.25">
      <c r="A12956"/>
      <c r="B12956"/>
    </row>
    <row r="12957" spans="1:2" x14ac:dyDescent="0.25">
      <c r="A12957"/>
      <c r="B12957"/>
    </row>
    <row r="12958" spans="1:2" x14ac:dyDescent="0.25">
      <c r="A12958"/>
      <c r="B12958"/>
    </row>
    <row r="12959" spans="1:2" x14ac:dyDescent="0.25">
      <c r="A12959"/>
      <c r="B12959"/>
    </row>
    <row r="12960" spans="1:2" x14ac:dyDescent="0.25">
      <c r="A12960"/>
      <c r="B12960"/>
    </row>
    <row r="12961" spans="1:2" x14ac:dyDescent="0.25">
      <c r="A12961"/>
      <c r="B12961"/>
    </row>
    <row r="12962" spans="1:2" x14ac:dyDescent="0.25">
      <c r="A12962"/>
      <c r="B12962"/>
    </row>
    <row r="12963" spans="1:2" x14ac:dyDescent="0.25">
      <c r="A12963"/>
      <c r="B12963"/>
    </row>
    <row r="12964" spans="1:2" x14ac:dyDescent="0.25">
      <c r="A12964"/>
      <c r="B12964"/>
    </row>
    <row r="12965" spans="1:2" x14ac:dyDescent="0.25">
      <c r="A12965"/>
      <c r="B12965"/>
    </row>
    <row r="12966" spans="1:2" x14ac:dyDescent="0.25">
      <c r="A12966"/>
      <c r="B12966"/>
    </row>
    <row r="12967" spans="1:2" x14ac:dyDescent="0.25">
      <c r="A12967"/>
      <c r="B12967"/>
    </row>
    <row r="12968" spans="1:2" x14ac:dyDescent="0.25">
      <c r="A12968"/>
      <c r="B12968"/>
    </row>
    <row r="12969" spans="1:2" x14ac:dyDescent="0.25">
      <c r="A12969"/>
      <c r="B12969"/>
    </row>
    <row r="12970" spans="1:2" x14ac:dyDescent="0.25">
      <c r="A12970"/>
      <c r="B12970"/>
    </row>
    <row r="12971" spans="1:2" x14ac:dyDescent="0.25">
      <c r="A12971"/>
      <c r="B12971"/>
    </row>
    <row r="12972" spans="1:2" x14ac:dyDescent="0.25">
      <c r="A12972"/>
      <c r="B12972"/>
    </row>
    <row r="12973" spans="1:2" x14ac:dyDescent="0.25">
      <c r="A12973"/>
      <c r="B12973"/>
    </row>
    <row r="12974" spans="1:2" x14ac:dyDescent="0.25">
      <c r="A12974"/>
      <c r="B12974"/>
    </row>
    <row r="12975" spans="1:2" x14ac:dyDescent="0.25">
      <c r="A12975"/>
      <c r="B12975"/>
    </row>
    <row r="12976" spans="1:2" x14ac:dyDescent="0.25">
      <c r="A12976"/>
      <c r="B12976"/>
    </row>
    <row r="12977" spans="1:2" x14ac:dyDescent="0.25">
      <c r="A12977"/>
      <c r="B12977"/>
    </row>
    <row r="12978" spans="1:2" x14ac:dyDescent="0.25">
      <c r="A12978"/>
      <c r="B12978"/>
    </row>
    <row r="12979" spans="1:2" x14ac:dyDescent="0.25">
      <c r="A12979"/>
      <c r="B12979"/>
    </row>
    <row r="12980" spans="1:2" x14ac:dyDescent="0.25">
      <c r="A12980"/>
      <c r="B12980"/>
    </row>
    <row r="12981" spans="1:2" x14ac:dyDescent="0.25">
      <c r="A12981"/>
      <c r="B12981"/>
    </row>
    <row r="12982" spans="1:2" x14ac:dyDescent="0.25">
      <c r="A12982"/>
      <c r="B12982"/>
    </row>
    <row r="12983" spans="1:2" x14ac:dyDescent="0.25">
      <c r="A12983"/>
      <c r="B12983"/>
    </row>
    <row r="12984" spans="1:2" x14ac:dyDescent="0.25">
      <c r="A12984"/>
      <c r="B12984"/>
    </row>
    <row r="12985" spans="1:2" x14ac:dyDescent="0.25">
      <c r="A12985"/>
      <c r="B12985"/>
    </row>
    <row r="12986" spans="1:2" x14ac:dyDescent="0.25">
      <c r="A12986"/>
      <c r="B12986"/>
    </row>
    <row r="12987" spans="1:2" x14ac:dyDescent="0.25">
      <c r="A12987"/>
      <c r="B12987"/>
    </row>
    <row r="12988" spans="1:2" x14ac:dyDescent="0.25">
      <c r="A12988"/>
      <c r="B12988"/>
    </row>
    <row r="12989" spans="1:2" x14ac:dyDescent="0.25">
      <c r="A12989"/>
      <c r="B12989"/>
    </row>
    <row r="12990" spans="1:2" x14ac:dyDescent="0.25">
      <c r="A12990"/>
      <c r="B12990"/>
    </row>
    <row r="12991" spans="1:2" x14ac:dyDescent="0.25">
      <c r="A12991"/>
      <c r="B12991"/>
    </row>
    <row r="12992" spans="1:2" x14ac:dyDescent="0.25">
      <c r="A12992"/>
      <c r="B12992"/>
    </row>
    <row r="12993" spans="1:2" x14ac:dyDescent="0.25">
      <c r="A12993"/>
      <c r="B12993"/>
    </row>
    <row r="12994" spans="1:2" x14ac:dyDescent="0.25">
      <c r="A12994"/>
      <c r="B12994"/>
    </row>
    <row r="12995" spans="1:2" x14ac:dyDescent="0.25">
      <c r="A12995"/>
      <c r="B12995"/>
    </row>
    <row r="12996" spans="1:2" x14ac:dyDescent="0.25">
      <c r="A12996"/>
      <c r="B12996"/>
    </row>
    <row r="12997" spans="1:2" x14ac:dyDescent="0.25">
      <c r="A12997"/>
      <c r="B12997"/>
    </row>
    <row r="12998" spans="1:2" x14ac:dyDescent="0.25">
      <c r="A12998"/>
      <c r="B12998"/>
    </row>
    <row r="12999" spans="1:2" x14ac:dyDescent="0.25">
      <c r="A12999"/>
      <c r="B12999"/>
    </row>
    <row r="13000" spans="1:2" x14ac:dyDescent="0.25">
      <c r="A13000"/>
      <c r="B13000"/>
    </row>
    <row r="13001" spans="1:2" x14ac:dyDescent="0.25">
      <c r="A13001"/>
      <c r="B13001"/>
    </row>
    <row r="13002" spans="1:2" x14ac:dyDescent="0.25">
      <c r="A13002"/>
      <c r="B13002"/>
    </row>
    <row r="13003" spans="1:2" x14ac:dyDescent="0.25">
      <c r="A13003"/>
      <c r="B13003"/>
    </row>
    <row r="13004" spans="1:2" x14ac:dyDescent="0.25">
      <c r="A13004"/>
      <c r="B13004"/>
    </row>
    <row r="13005" spans="1:2" x14ac:dyDescent="0.25">
      <c r="A13005"/>
      <c r="B13005"/>
    </row>
    <row r="13006" spans="1:2" x14ac:dyDescent="0.25">
      <c r="A13006"/>
      <c r="B13006"/>
    </row>
    <row r="13007" spans="1:2" x14ac:dyDescent="0.25">
      <c r="A13007"/>
      <c r="B13007"/>
    </row>
    <row r="13008" spans="1:2" x14ac:dyDescent="0.25">
      <c r="A13008"/>
      <c r="B13008"/>
    </row>
    <row r="13009" spans="1:2" x14ac:dyDescent="0.25">
      <c r="A13009"/>
      <c r="B13009"/>
    </row>
    <row r="13010" spans="1:2" x14ac:dyDescent="0.25">
      <c r="A13010"/>
      <c r="B13010"/>
    </row>
    <row r="13011" spans="1:2" x14ac:dyDescent="0.25">
      <c r="A13011"/>
      <c r="B13011"/>
    </row>
    <row r="13012" spans="1:2" x14ac:dyDescent="0.25">
      <c r="A13012"/>
      <c r="B13012"/>
    </row>
    <row r="13013" spans="1:2" x14ac:dyDescent="0.25">
      <c r="A13013"/>
      <c r="B13013"/>
    </row>
    <row r="13014" spans="1:2" x14ac:dyDescent="0.25">
      <c r="A13014"/>
      <c r="B13014"/>
    </row>
    <row r="13015" spans="1:2" x14ac:dyDescent="0.25">
      <c r="A13015"/>
      <c r="B13015"/>
    </row>
    <row r="13016" spans="1:2" x14ac:dyDescent="0.25">
      <c r="A13016"/>
      <c r="B13016"/>
    </row>
    <row r="13017" spans="1:2" x14ac:dyDescent="0.25">
      <c r="A13017"/>
      <c r="B13017"/>
    </row>
    <row r="13018" spans="1:2" x14ac:dyDescent="0.25">
      <c r="A13018"/>
      <c r="B13018"/>
    </row>
    <row r="13019" spans="1:2" x14ac:dyDescent="0.25">
      <c r="A13019"/>
      <c r="B13019"/>
    </row>
    <row r="13020" spans="1:2" x14ac:dyDescent="0.25">
      <c r="A13020"/>
      <c r="B13020"/>
    </row>
    <row r="13021" spans="1:2" x14ac:dyDescent="0.25">
      <c r="A13021"/>
      <c r="B13021"/>
    </row>
    <row r="13022" spans="1:2" x14ac:dyDescent="0.25">
      <c r="A13022"/>
      <c r="B13022"/>
    </row>
    <row r="13023" spans="1:2" x14ac:dyDescent="0.25">
      <c r="A13023"/>
      <c r="B13023"/>
    </row>
    <row r="13024" spans="1:2" x14ac:dyDescent="0.25">
      <c r="A13024"/>
      <c r="B13024"/>
    </row>
    <row r="13025" spans="1:2" x14ac:dyDescent="0.25">
      <c r="A13025"/>
      <c r="B13025"/>
    </row>
    <row r="13026" spans="1:2" x14ac:dyDescent="0.25">
      <c r="A13026"/>
      <c r="B13026"/>
    </row>
    <row r="13027" spans="1:2" x14ac:dyDescent="0.25">
      <c r="A13027"/>
      <c r="B13027"/>
    </row>
    <row r="13028" spans="1:2" x14ac:dyDescent="0.25">
      <c r="A13028"/>
      <c r="B13028"/>
    </row>
    <row r="13029" spans="1:2" x14ac:dyDescent="0.25">
      <c r="A13029"/>
      <c r="B13029"/>
    </row>
    <row r="13030" spans="1:2" x14ac:dyDescent="0.25">
      <c r="A13030"/>
      <c r="B13030"/>
    </row>
    <row r="13031" spans="1:2" x14ac:dyDescent="0.25">
      <c r="A13031"/>
      <c r="B13031"/>
    </row>
    <row r="13032" spans="1:2" x14ac:dyDescent="0.25">
      <c r="A13032"/>
      <c r="B13032"/>
    </row>
    <row r="13033" spans="1:2" x14ac:dyDescent="0.25">
      <c r="A13033"/>
      <c r="B13033"/>
    </row>
    <row r="13034" spans="1:2" x14ac:dyDescent="0.25">
      <c r="A13034"/>
      <c r="B13034"/>
    </row>
    <row r="13035" spans="1:2" x14ac:dyDescent="0.25">
      <c r="A13035"/>
      <c r="B13035"/>
    </row>
    <row r="13036" spans="1:2" x14ac:dyDescent="0.25">
      <c r="A13036"/>
      <c r="B13036"/>
    </row>
    <row r="13037" spans="1:2" x14ac:dyDescent="0.25">
      <c r="A13037"/>
      <c r="B13037"/>
    </row>
    <row r="13038" spans="1:2" x14ac:dyDescent="0.25">
      <c r="A13038"/>
      <c r="B13038"/>
    </row>
    <row r="13039" spans="1:2" x14ac:dyDescent="0.25">
      <c r="A13039"/>
      <c r="B13039"/>
    </row>
    <row r="13040" spans="1:2" x14ac:dyDescent="0.25">
      <c r="A13040"/>
      <c r="B13040"/>
    </row>
    <row r="13041" spans="1:2" x14ac:dyDescent="0.25">
      <c r="A13041"/>
      <c r="B13041"/>
    </row>
    <row r="13042" spans="1:2" x14ac:dyDescent="0.25">
      <c r="A13042"/>
      <c r="B13042"/>
    </row>
    <row r="13043" spans="1:2" x14ac:dyDescent="0.25">
      <c r="A13043"/>
      <c r="B13043"/>
    </row>
    <row r="13044" spans="1:2" x14ac:dyDescent="0.25">
      <c r="A13044"/>
      <c r="B13044"/>
    </row>
    <row r="13045" spans="1:2" x14ac:dyDescent="0.25">
      <c r="A13045"/>
      <c r="B13045"/>
    </row>
    <row r="13046" spans="1:2" x14ac:dyDescent="0.25">
      <c r="A13046"/>
      <c r="B13046"/>
    </row>
    <row r="13047" spans="1:2" x14ac:dyDescent="0.25">
      <c r="A13047"/>
      <c r="B13047"/>
    </row>
    <row r="13048" spans="1:2" x14ac:dyDescent="0.25">
      <c r="A13048"/>
      <c r="B13048"/>
    </row>
    <row r="13049" spans="1:2" x14ac:dyDescent="0.25">
      <c r="A13049"/>
      <c r="B13049"/>
    </row>
    <row r="13050" spans="1:2" x14ac:dyDescent="0.25">
      <c r="A13050"/>
      <c r="B13050"/>
    </row>
    <row r="13051" spans="1:2" x14ac:dyDescent="0.25">
      <c r="A13051"/>
      <c r="B13051"/>
    </row>
    <row r="13052" spans="1:2" x14ac:dyDescent="0.25">
      <c r="A13052"/>
      <c r="B13052"/>
    </row>
    <row r="13053" spans="1:2" x14ac:dyDescent="0.25">
      <c r="A13053"/>
      <c r="B13053"/>
    </row>
    <row r="13054" spans="1:2" x14ac:dyDescent="0.25">
      <c r="A13054"/>
      <c r="B13054"/>
    </row>
    <row r="13055" spans="1:2" x14ac:dyDescent="0.25">
      <c r="A13055"/>
      <c r="B13055"/>
    </row>
    <row r="13056" spans="1:2" x14ac:dyDescent="0.25">
      <c r="A13056"/>
      <c r="B13056"/>
    </row>
    <row r="13057" spans="1:2" x14ac:dyDescent="0.25">
      <c r="A13057"/>
      <c r="B13057"/>
    </row>
    <row r="13058" spans="1:2" x14ac:dyDescent="0.25">
      <c r="A13058"/>
      <c r="B13058"/>
    </row>
    <row r="13059" spans="1:2" x14ac:dyDescent="0.25">
      <c r="A13059"/>
      <c r="B13059"/>
    </row>
    <row r="13060" spans="1:2" x14ac:dyDescent="0.25">
      <c r="A13060"/>
      <c r="B13060"/>
    </row>
    <row r="13061" spans="1:2" x14ac:dyDescent="0.25">
      <c r="A13061"/>
      <c r="B13061"/>
    </row>
    <row r="13062" spans="1:2" x14ac:dyDescent="0.25">
      <c r="A13062"/>
      <c r="B13062"/>
    </row>
    <row r="13063" spans="1:2" x14ac:dyDescent="0.25">
      <c r="A13063"/>
      <c r="B13063"/>
    </row>
    <row r="13064" spans="1:2" x14ac:dyDescent="0.25">
      <c r="A13064"/>
      <c r="B13064"/>
    </row>
    <row r="13065" spans="1:2" x14ac:dyDescent="0.25">
      <c r="A13065"/>
      <c r="B13065"/>
    </row>
    <row r="13066" spans="1:2" x14ac:dyDescent="0.25">
      <c r="A13066"/>
      <c r="B13066"/>
    </row>
    <row r="13067" spans="1:2" x14ac:dyDescent="0.25">
      <c r="A13067"/>
      <c r="B13067"/>
    </row>
    <row r="13068" spans="1:2" x14ac:dyDescent="0.25">
      <c r="A13068"/>
      <c r="B13068"/>
    </row>
    <row r="13069" spans="1:2" x14ac:dyDescent="0.25">
      <c r="A13069"/>
      <c r="B13069"/>
    </row>
    <row r="13070" spans="1:2" x14ac:dyDescent="0.25">
      <c r="A13070"/>
      <c r="B13070"/>
    </row>
    <row r="13071" spans="1:2" x14ac:dyDescent="0.25">
      <c r="A13071"/>
      <c r="B13071"/>
    </row>
    <row r="13072" spans="1:2" x14ac:dyDescent="0.25">
      <c r="A13072"/>
      <c r="B13072"/>
    </row>
    <row r="13073" spans="1:2" x14ac:dyDescent="0.25">
      <c r="A13073"/>
      <c r="B13073"/>
    </row>
    <row r="13074" spans="1:2" x14ac:dyDescent="0.25">
      <c r="A13074"/>
      <c r="B13074"/>
    </row>
    <row r="13075" spans="1:2" x14ac:dyDescent="0.25">
      <c r="A13075"/>
      <c r="B13075"/>
    </row>
    <row r="13076" spans="1:2" x14ac:dyDescent="0.25">
      <c r="A13076"/>
      <c r="B13076"/>
    </row>
    <row r="13077" spans="1:2" x14ac:dyDescent="0.25">
      <c r="A13077"/>
      <c r="B13077"/>
    </row>
    <row r="13078" spans="1:2" x14ac:dyDescent="0.25">
      <c r="A13078"/>
      <c r="B13078"/>
    </row>
    <row r="13079" spans="1:2" x14ac:dyDescent="0.25">
      <c r="A13079"/>
      <c r="B13079"/>
    </row>
    <row r="13080" spans="1:2" x14ac:dyDescent="0.25">
      <c r="A13080"/>
      <c r="B13080"/>
    </row>
    <row r="13081" spans="1:2" x14ac:dyDescent="0.25">
      <c r="A13081"/>
      <c r="B13081"/>
    </row>
    <row r="13082" spans="1:2" x14ac:dyDescent="0.25">
      <c r="A13082"/>
      <c r="B13082"/>
    </row>
    <row r="13083" spans="1:2" x14ac:dyDescent="0.25">
      <c r="A13083"/>
      <c r="B13083"/>
    </row>
    <row r="13084" spans="1:2" x14ac:dyDescent="0.25">
      <c r="A13084"/>
      <c r="B13084"/>
    </row>
    <row r="13085" spans="1:2" x14ac:dyDescent="0.25">
      <c r="A13085"/>
      <c r="B13085"/>
    </row>
    <row r="13086" spans="1:2" x14ac:dyDescent="0.25">
      <c r="A13086"/>
      <c r="B13086"/>
    </row>
    <row r="13087" spans="1:2" x14ac:dyDescent="0.25">
      <c r="A13087"/>
      <c r="B13087"/>
    </row>
    <row r="13088" spans="1:2" x14ac:dyDescent="0.25">
      <c r="A13088"/>
      <c r="B13088"/>
    </row>
    <row r="13089" spans="1:2" x14ac:dyDescent="0.25">
      <c r="A13089"/>
      <c r="B13089"/>
    </row>
    <row r="13090" spans="1:2" x14ac:dyDescent="0.25">
      <c r="A13090"/>
      <c r="B13090"/>
    </row>
    <row r="13091" spans="1:2" x14ac:dyDescent="0.25">
      <c r="A13091"/>
      <c r="B13091"/>
    </row>
    <row r="13092" spans="1:2" x14ac:dyDescent="0.25">
      <c r="A13092"/>
      <c r="B13092"/>
    </row>
    <row r="13093" spans="1:2" x14ac:dyDescent="0.25">
      <c r="A13093"/>
      <c r="B13093"/>
    </row>
    <row r="13094" spans="1:2" x14ac:dyDescent="0.25">
      <c r="A13094"/>
      <c r="B13094"/>
    </row>
    <row r="13095" spans="1:2" x14ac:dyDescent="0.25">
      <c r="A13095"/>
      <c r="B13095"/>
    </row>
    <row r="13096" spans="1:2" x14ac:dyDescent="0.25">
      <c r="A13096"/>
      <c r="B13096"/>
    </row>
    <row r="13097" spans="1:2" x14ac:dyDescent="0.25">
      <c r="A13097"/>
      <c r="B13097"/>
    </row>
    <row r="13098" spans="1:2" x14ac:dyDescent="0.25">
      <c r="A13098"/>
      <c r="B13098"/>
    </row>
    <row r="13099" spans="1:2" x14ac:dyDescent="0.25">
      <c r="A13099"/>
      <c r="B13099"/>
    </row>
    <row r="13100" spans="1:2" x14ac:dyDescent="0.25">
      <c r="A13100"/>
      <c r="B13100"/>
    </row>
    <row r="13101" spans="1:2" x14ac:dyDescent="0.25">
      <c r="A13101"/>
      <c r="B13101"/>
    </row>
    <row r="13102" spans="1:2" x14ac:dyDescent="0.25">
      <c r="A13102"/>
      <c r="B13102"/>
    </row>
    <row r="13103" spans="1:2" x14ac:dyDescent="0.25">
      <c r="A13103"/>
      <c r="B13103"/>
    </row>
    <row r="13104" spans="1:2" x14ac:dyDescent="0.25">
      <c r="A13104"/>
      <c r="B13104"/>
    </row>
    <row r="13105" spans="1:2" x14ac:dyDescent="0.25">
      <c r="A13105"/>
      <c r="B13105"/>
    </row>
    <row r="13106" spans="1:2" x14ac:dyDescent="0.25">
      <c r="A13106"/>
      <c r="B13106"/>
    </row>
    <row r="13107" spans="1:2" x14ac:dyDescent="0.25">
      <c r="A13107"/>
      <c r="B13107"/>
    </row>
    <row r="13108" spans="1:2" x14ac:dyDescent="0.25">
      <c r="A13108"/>
      <c r="B13108"/>
    </row>
    <row r="13109" spans="1:2" x14ac:dyDescent="0.25">
      <c r="A13109"/>
      <c r="B13109"/>
    </row>
    <row r="13110" spans="1:2" x14ac:dyDescent="0.25">
      <c r="A13110"/>
      <c r="B13110"/>
    </row>
    <row r="13111" spans="1:2" x14ac:dyDescent="0.25">
      <c r="A13111"/>
      <c r="B13111"/>
    </row>
    <row r="13112" spans="1:2" x14ac:dyDescent="0.25">
      <c r="A13112"/>
      <c r="B13112"/>
    </row>
    <row r="13113" spans="1:2" x14ac:dyDescent="0.25">
      <c r="A13113"/>
      <c r="B13113"/>
    </row>
    <row r="13114" spans="1:2" x14ac:dyDescent="0.25">
      <c r="A13114"/>
      <c r="B13114"/>
    </row>
    <row r="13115" spans="1:2" x14ac:dyDescent="0.25">
      <c r="A13115"/>
      <c r="B13115"/>
    </row>
    <row r="13116" spans="1:2" x14ac:dyDescent="0.25">
      <c r="A13116"/>
      <c r="B13116"/>
    </row>
    <row r="13117" spans="1:2" x14ac:dyDescent="0.25">
      <c r="A13117"/>
      <c r="B13117"/>
    </row>
    <row r="13118" spans="1:2" x14ac:dyDescent="0.25">
      <c r="A13118"/>
      <c r="B13118"/>
    </row>
    <row r="13119" spans="1:2" x14ac:dyDescent="0.25">
      <c r="A13119"/>
      <c r="B13119"/>
    </row>
    <row r="13120" spans="1:2" x14ac:dyDescent="0.25">
      <c r="A13120"/>
      <c r="B13120"/>
    </row>
    <row r="13121" spans="1:2" x14ac:dyDescent="0.25">
      <c r="A13121"/>
      <c r="B13121"/>
    </row>
    <row r="13122" spans="1:2" x14ac:dyDescent="0.25">
      <c r="A13122"/>
      <c r="B13122"/>
    </row>
    <row r="13123" spans="1:2" x14ac:dyDescent="0.25">
      <c r="A13123"/>
      <c r="B13123"/>
    </row>
    <row r="13124" spans="1:2" x14ac:dyDescent="0.25">
      <c r="A13124"/>
      <c r="B13124"/>
    </row>
    <row r="13125" spans="1:2" x14ac:dyDescent="0.25">
      <c r="A13125"/>
      <c r="B13125"/>
    </row>
    <row r="13126" spans="1:2" x14ac:dyDescent="0.25">
      <c r="A13126"/>
      <c r="B13126"/>
    </row>
    <row r="13127" spans="1:2" x14ac:dyDescent="0.25">
      <c r="A13127"/>
      <c r="B13127"/>
    </row>
    <row r="13128" spans="1:2" x14ac:dyDescent="0.25">
      <c r="A13128"/>
      <c r="B13128"/>
    </row>
    <row r="13129" spans="1:2" x14ac:dyDescent="0.25">
      <c r="A13129"/>
      <c r="B13129"/>
    </row>
    <row r="13130" spans="1:2" x14ac:dyDescent="0.25">
      <c r="A13130"/>
      <c r="B13130"/>
    </row>
    <row r="13131" spans="1:2" x14ac:dyDescent="0.25">
      <c r="A13131"/>
      <c r="B13131"/>
    </row>
    <row r="13132" spans="1:2" x14ac:dyDescent="0.25">
      <c r="A13132"/>
      <c r="B13132"/>
    </row>
    <row r="13133" spans="1:2" x14ac:dyDescent="0.25">
      <c r="A13133"/>
      <c r="B13133"/>
    </row>
    <row r="13134" spans="1:2" x14ac:dyDescent="0.25">
      <c r="A13134"/>
      <c r="B13134"/>
    </row>
    <row r="13135" spans="1:2" x14ac:dyDescent="0.25">
      <c r="A13135"/>
      <c r="B13135"/>
    </row>
    <row r="13136" spans="1:2" x14ac:dyDescent="0.25">
      <c r="A13136"/>
      <c r="B13136"/>
    </row>
    <row r="13137" spans="1:2" x14ac:dyDescent="0.25">
      <c r="A13137"/>
      <c r="B13137"/>
    </row>
    <row r="13138" spans="1:2" x14ac:dyDescent="0.25">
      <c r="A13138"/>
      <c r="B13138"/>
    </row>
    <row r="13139" spans="1:2" x14ac:dyDescent="0.25">
      <c r="A13139"/>
      <c r="B13139"/>
    </row>
    <row r="13140" spans="1:2" x14ac:dyDescent="0.25">
      <c r="A13140"/>
      <c r="B13140"/>
    </row>
    <row r="13141" spans="1:2" x14ac:dyDescent="0.25">
      <c r="A13141"/>
      <c r="B13141"/>
    </row>
    <row r="13142" spans="1:2" x14ac:dyDescent="0.25">
      <c r="A13142"/>
      <c r="B13142"/>
    </row>
    <row r="13143" spans="1:2" x14ac:dyDescent="0.25">
      <c r="A13143"/>
      <c r="B13143"/>
    </row>
    <row r="13144" spans="1:2" x14ac:dyDescent="0.25">
      <c r="A13144"/>
      <c r="B13144"/>
    </row>
    <row r="13145" spans="1:2" x14ac:dyDescent="0.25">
      <c r="A13145"/>
      <c r="B13145"/>
    </row>
    <row r="13146" spans="1:2" x14ac:dyDescent="0.25">
      <c r="A13146"/>
      <c r="B13146"/>
    </row>
    <row r="13147" spans="1:2" x14ac:dyDescent="0.25">
      <c r="A13147"/>
      <c r="B13147"/>
    </row>
    <row r="13148" spans="1:2" x14ac:dyDescent="0.25">
      <c r="A13148"/>
      <c r="B13148"/>
    </row>
    <row r="13149" spans="1:2" x14ac:dyDescent="0.25">
      <c r="A13149"/>
      <c r="B13149"/>
    </row>
    <row r="13150" spans="1:2" x14ac:dyDescent="0.25">
      <c r="A13150"/>
      <c r="B13150"/>
    </row>
    <row r="13151" spans="1:2" x14ac:dyDescent="0.25">
      <c r="A13151"/>
      <c r="B13151"/>
    </row>
    <row r="13152" spans="1:2" x14ac:dyDescent="0.25">
      <c r="A13152"/>
      <c r="B13152"/>
    </row>
    <row r="13153" spans="1:2" x14ac:dyDescent="0.25">
      <c r="A13153"/>
      <c r="B13153"/>
    </row>
    <row r="13154" spans="1:2" x14ac:dyDescent="0.25">
      <c r="A13154"/>
      <c r="B13154"/>
    </row>
    <row r="13155" spans="1:2" x14ac:dyDescent="0.25">
      <c r="A13155"/>
      <c r="B13155"/>
    </row>
    <row r="13156" spans="1:2" x14ac:dyDescent="0.25">
      <c r="A13156"/>
      <c r="B13156"/>
    </row>
    <row r="13157" spans="1:2" x14ac:dyDescent="0.25">
      <c r="A13157"/>
      <c r="B13157"/>
    </row>
    <row r="13158" spans="1:2" x14ac:dyDescent="0.25">
      <c r="A13158"/>
      <c r="B13158"/>
    </row>
    <row r="13159" spans="1:2" x14ac:dyDescent="0.25">
      <c r="A13159"/>
      <c r="B13159"/>
    </row>
    <row r="13160" spans="1:2" x14ac:dyDescent="0.25">
      <c r="A13160"/>
      <c r="B13160"/>
    </row>
    <row r="13161" spans="1:2" x14ac:dyDescent="0.25">
      <c r="A13161"/>
      <c r="B13161"/>
    </row>
    <row r="13162" spans="1:2" x14ac:dyDescent="0.25">
      <c r="A13162"/>
      <c r="B13162"/>
    </row>
    <row r="13163" spans="1:2" x14ac:dyDescent="0.25">
      <c r="A13163"/>
      <c r="B13163"/>
    </row>
    <row r="13164" spans="1:2" x14ac:dyDescent="0.25">
      <c r="A13164"/>
      <c r="B13164"/>
    </row>
    <row r="13165" spans="1:2" x14ac:dyDescent="0.25">
      <c r="A13165"/>
      <c r="B13165"/>
    </row>
    <row r="13166" spans="1:2" x14ac:dyDescent="0.25">
      <c r="A13166"/>
      <c r="B13166"/>
    </row>
    <row r="13167" spans="1:2" x14ac:dyDescent="0.25">
      <c r="A13167"/>
      <c r="B13167"/>
    </row>
    <row r="13168" spans="1:2" x14ac:dyDescent="0.25">
      <c r="A13168"/>
      <c r="B13168"/>
    </row>
    <row r="13169" spans="1:2" x14ac:dyDescent="0.25">
      <c r="A13169"/>
      <c r="B13169"/>
    </row>
    <row r="13170" spans="1:2" x14ac:dyDescent="0.25">
      <c r="A13170"/>
      <c r="B13170"/>
    </row>
    <row r="13171" spans="1:2" x14ac:dyDescent="0.25">
      <c r="A13171"/>
      <c r="B13171"/>
    </row>
    <row r="13172" spans="1:2" x14ac:dyDescent="0.25">
      <c r="A13172"/>
      <c r="B13172"/>
    </row>
    <row r="13173" spans="1:2" x14ac:dyDescent="0.25">
      <c r="A13173"/>
      <c r="B13173"/>
    </row>
    <row r="13174" spans="1:2" x14ac:dyDescent="0.25">
      <c r="A13174"/>
      <c r="B13174"/>
    </row>
    <row r="13175" spans="1:2" x14ac:dyDescent="0.25">
      <c r="A13175"/>
      <c r="B13175"/>
    </row>
    <row r="13176" spans="1:2" x14ac:dyDescent="0.25">
      <c r="A13176"/>
      <c r="B13176"/>
    </row>
    <row r="13177" spans="1:2" x14ac:dyDescent="0.25">
      <c r="A13177"/>
      <c r="B13177"/>
    </row>
    <row r="13178" spans="1:2" x14ac:dyDescent="0.25">
      <c r="A13178"/>
      <c r="B13178"/>
    </row>
    <row r="13179" spans="1:2" x14ac:dyDescent="0.25">
      <c r="A13179"/>
      <c r="B13179"/>
    </row>
    <row r="13180" spans="1:2" x14ac:dyDescent="0.25">
      <c r="A13180"/>
      <c r="B13180"/>
    </row>
    <row r="13181" spans="1:2" x14ac:dyDescent="0.25">
      <c r="A13181"/>
      <c r="B13181"/>
    </row>
    <row r="13182" spans="1:2" x14ac:dyDescent="0.25">
      <c r="A13182"/>
      <c r="B13182"/>
    </row>
    <row r="13183" spans="1:2" x14ac:dyDescent="0.25">
      <c r="A13183"/>
      <c r="B13183"/>
    </row>
    <row r="13184" spans="1:2" x14ac:dyDescent="0.25">
      <c r="A13184"/>
      <c r="B13184"/>
    </row>
    <row r="13185" spans="1:2" x14ac:dyDescent="0.25">
      <c r="A13185"/>
      <c r="B13185"/>
    </row>
    <row r="13186" spans="1:2" x14ac:dyDescent="0.25">
      <c r="A13186"/>
      <c r="B13186"/>
    </row>
    <row r="13187" spans="1:2" x14ac:dyDescent="0.25">
      <c r="A13187"/>
      <c r="B13187"/>
    </row>
    <row r="13188" spans="1:2" x14ac:dyDescent="0.25">
      <c r="A13188"/>
      <c r="B13188"/>
    </row>
    <row r="13189" spans="1:2" x14ac:dyDescent="0.25">
      <c r="A13189"/>
      <c r="B13189"/>
    </row>
    <row r="13190" spans="1:2" x14ac:dyDescent="0.25">
      <c r="A13190"/>
      <c r="B13190"/>
    </row>
    <row r="13191" spans="1:2" x14ac:dyDescent="0.25">
      <c r="A13191"/>
      <c r="B13191"/>
    </row>
    <row r="13192" spans="1:2" x14ac:dyDescent="0.25">
      <c r="A13192"/>
      <c r="B13192"/>
    </row>
    <row r="13193" spans="1:2" x14ac:dyDescent="0.25">
      <c r="A13193"/>
      <c r="B13193"/>
    </row>
    <row r="13194" spans="1:2" x14ac:dyDescent="0.25">
      <c r="A13194"/>
      <c r="B13194"/>
    </row>
    <row r="13195" spans="1:2" x14ac:dyDescent="0.25">
      <c r="A13195"/>
      <c r="B13195"/>
    </row>
    <row r="13196" spans="1:2" x14ac:dyDescent="0.25">
      <c r="A13196"/>
      <c r="B13196"/>
    </row>
    <row r="13197" spans="1:2" x14ac:dyDescent="0.25">
      <c r="A13197"/>
      <c r="B13197"/>
    </row>
    <row r="13198" spans="1:2" x14ac:dyDescent="0.25">
      <c r="A13198"/>
      <c r="B13198"/>
    </row>
    <row r="13199" spans="1:2" x14ac:dyDescent="0.25">
      <c r="A13199"/>
      <c r="B13199"/>
    </row>
    <row r="13200" spans="1:2" x14ac:dyDescent="0.25">
      <c r="A13200"/>
      <c r="B13200"/>
    </row>
    <row r="13201" spans="1:2" x14ac:dyDescent="0.25">
      <c r="A13201"/>
      <c r="B13201"/>
    </row>
    <row r="13202" spans="1:2" x14ac:dyDescent="0.25">
      <c r="A13202"/>
      <c r="B13202"/>
    </row>
    <row r="13203" spans="1:2" x14ac:dyDescent="0.25">
      <c r="A13203"/>
      <c r="B13203"/>
    </row>
    <row r="13204" spans="1:2" x14ac:dyDescent="0.25">
      <c r="A13204"/>
      <c r="B13204"/>
    </row>
    <row r="13205" spans="1:2" x14ac:dyDescent="0.25">
      <c r="A13205"/>
      <c r="B13205"/>
    </row>
    <row r="13206" spans="1:2" x14ac:dyDescent="0.25">
      <c r="A13206"/>
      <c r="B13206"/>
    </row>
    <row r="13207" spans="1:2" x14ac:dyDescent="0.25">
      <c r="A13207"/>
      <c r="B13207"/>
    </row>
    <row r="13208" spans="1:2" x14ac:dyDescent="0.25">
      <c r="A13208"/>
      <c r="B13208"/>
    </row>
    <row r="13209" spans="1:2" x14ac:dyDescent="0.25">
      <c r="A13209"/>
      <c r="B13209"/>
    </row>
    <row r="13210" spans="1:2" x14ac:dyDescent="0.25">
      <c r="A13210"/>
      <c r="B13210"/>
    </row>
    <row r="13211" spans="1:2" x14ac:dyDescent="0.25">
      <c r="A13211"/>
      <c r="B13211"/>
    </row>
    <row r="13212" spans="1:2" x14ac:dyDescent="0.25">
      <c r="A13212"/>
      <c r="B13212"/>
    </row>
    <row r="13213" spans="1:2" x14ac:dyDescent="0.25">
      <c r="A13213"/>
      <c r="B13213"/>
    </row>
    <row r="13214" spans="1:2" x14ac:dyDescent="0.25">
      <c r="A13214"/>
      <c r="B13214"/>
    </row>
    <row r="13215" spans="1:2" x14ac:dyDescent="0.25">
      <c r="A13215"/>
      <c r="B13215"/>
    </row>
    <row r="13216" spans="1:2" x14ac:dyDescent="0.25">
      <c r="A13216"/>
      <c r="B13216"/>
    </row>
    <row r="13217" spans="1:2" x14ac:dyDescent="0.25">
      <c r="A13217"/>
      <c r="B13217"/>
    </row>
    <row r="13218" spans="1:2" x14ac:dyDescent="0.25">
      <c r="A13218"/>
      <c r="B13218"/>
    </row>
    <row r="13219" spans="1:2" x14ac:dyDescent="0.25">
      <c r="A13219"/>
      <c r="B13219"/>
    </row>
    <row r="13220" spans="1:2" x14ac:dyDescent="0.25">
      <c r="A13220"/>
      <c r="B13220"/>
    </row>
    <row r="13221" spans="1:2" x14ac:dyDescent="0.25">
      <c r="A13221"/>
      <c r="B13221"/>
    </row>
    <row r="13222" spans="1:2" x14ac:dyDescent="0.25">
      <c r="A13222"/>
      <c r="B13222"/>
    </row>
    <row r="13223" spans="1:2" x14ac:dyDescent="0.25">
      <c r="A13223"/>
      <c r="B13223"/>
    </row>
    <row r="13224" spans="1:2" x14ac:dyDescent="0.25">
      <c r="A13224"/>
      <c r="B13224"/>
    </row>
    <row r="13225" spans="1:2" x14ac:dyDescent="0.25">
      <c r="A13225"/>
      <c r="B13225"/>
    </row>
    <row r="13226" spans="1:2" x14ac:dyDescent="0.25">
      <c r="A13226"/>
      <c r="B13226"/>
    </row>
    <row r="13227" spans="1:2" x14ac:dyDescent="0.25">
      <c r="A13227"/>
      <c r="B13227"/>
    </row>
    <row r="13228" spans="1:2" x14ac:dyDescent="0.25">
      <c r="A13228"/>
      <c r="B13228"/>
    </row>
    <row r="13229" spans="1:2" x14ac:dyDescent="0.25">
      <c r="A13229"/>
      <c r="B13229"/>
    </row>
    <row r="13230" spans="1:2" x14ac:dyDescent="0.25">
      <c r="A13230"/>
      <c r="B13230"/>
    </row>
    <row r="13231" spans="1:2" x14ac:dyDescent="0.25">
      <c r="A13231"/>
      <c r="B13231"/>
    </row>
    <row r="13232" spans="1:2" x14ac:dyDescent="0.25">
      <c r="A13232"/>
      <c r="B13232"/>
    </row>
    <row r="13233" spans="1:2" x14ac:dyDescent="0.25">
      <c r="A13233"/>
      <c r="B13233"/>
    </row>
    <row r="13234" spans="1:2" x14ac:dyDescent="0.25">
      <c r="A13234"/>
      <c r="B13234"/>
    </row>
    <row r="13235" spans="1:2" x14ac:dyDescent="0.25">
      <c r="A13235"/>
      <c r="B13235"/>
    </row>
    <row r="13236" spans="1:2" x14ac:dyDescent="0.25">
      <c r="A13236"/>
      <c r="B13236"/>
    </row>
    <row r="13237" spans="1:2" x14ac:dyDescent="0.25">
      <c r="A13237"/>
      <c r="B13237"/>
    </row>
    <row r="13238" spans="1:2" x14ac:dyDescent="0.25">
      <c r="A13238"/>
      <c r="B13238"/>
    </row>
    <row r="13239" spans="1:2" x14ac:dyDescent="0.25">
      <c r="A13239"/>
      <c r="B13239"/>
    </row>
    <row r="13240" spans="1:2" x14ac:dyDescent="0.25">
      <c r="A13240"/>
      <c r="B13240"/>
    </row>
    <row r="13241" spans="1:2" x14ac:dyDescent="0.25">
      <c r="A13241"/>
      <c r="B13241"/>
    </row>
    <row r="13242" spans="1:2" x14ac:dyDescent="0.25">
      <c r="A13242"/>
      <c r="B13242"/>
    </row>
    <row r="13243" spans="1:2" x14ac:dyDescent="0.25">
      <c r="A13243"/>
      <c r="B13243"/>
    </row>
    <row r="13244" spans="1:2" x14ac:dyDescent="0.25">
      <c r="A13244"/>
      <c r="B13244"/>
    </row>
    <row r="13245" spans="1:2" x14ac:dyDescent="0.25">
      <c r="A13245"/>
      <c r="B13245"/>
    </row>
    <row r="13246" spans="1:2" x14ac:dyDescent="0.25">
      <c r="A13246"/>
      <c r="B13246"/>
    </row>
    <row r="13247" spans="1:2" x14ac:dyDescent="0.25">
      <c r="A13247"/>
      <c r="B13247"/>
    </row>
    <row r="13248" spans="1:2" x14ac:dyDescent="0.25">
      <c r="A13248"/>
      <c r="B13248"/>
    </row>
    <row r="13249" spans="1:2" x14ac:dyDescent="0.25">
      <c r="A13249"/>
      <c r="B13249"/>
    </row>
    <row r="13250" spans="1:2" x14ac:dyDescent="0.25">
      <c r="A13250"/>
      <c r="B13250"/>
    </row>
    <row r="13251" spans="1:2" x14ac:dyDescent="0.25">
      <c r="A13251"/>
      <c r="B13251"/>
    </row>
    <row r="13252" spans="1:2" x14ac:dyDescent="0.25">
      <c r="A13252"/>
      <c r="B13252"/>
    </row>
    <row r="13253" spans="1:2" x14ac:dyDescent="0.25">
      <c r="A13253"/>
      <c r="B13253"/>
    </row>
    <row r="13254" spans="1:2" x14ac:dyDescent="0.25">
      <c r="A13254"/>
      <c r="B13254"/>
    </row>
    <row r="13255" spans="1:2" x14ac:dyDescent="0.25">
      <c r="A13255"/>
      <c r="B13255"/>
    </row>
    <row r="13256" spans="1:2" x14ac:dyDescent="0.25">
      <c r="A13256"/>
      <c r="B13256"/>
    </row>
    <row r="13257" spans="1:2" x14ac:dyDescent="0.25">
      <c r="A13257"/>
      <c r="B13257"/>
    </row>
    <row r="13258" spans="1:2" x14ac:dyDescent="0.25">
      <c r="A13258"/>
      <c r="B13258"/>
    </row>
    <row r="13259" spans="1:2" x14ac:dyDescent="0.25">
      <c r="A13259"/>
      <c r="B13259"/>
    </row>
    <row r="13260" spans="1:2" x14ac:dyDescent="0.25">
      <c r="A13260"/>
      <c r="B13260"/>
    </row>
    <row r="13261" spans="1:2" x14ac:dyDescent="0.25">
      <c r="A13261"/>
      <c r="B13261"/>
    </row>
    <row r="13262" spans="1:2" x14ac:dyDescent="0.25">
      <c r="A13262"/>
      <c r="B13262"/>
    </row>
    <row r="13263" spans="1:2" x14ac:dyDescent="0.25">
      <c r="A13263"/>
      <c r="B13263"/>
    </row>
    <row r="13264" spans="1:2" x14ac:dyDescent="0.25">
      <c r="A13264"/>
      <c r="B13264"/>
    </row>
    <row r="13265" spans="1:2" x14ac:dyDescent="0.25">
      <c r="A13265"/>
      <c r="B13265"/>
    </row>
    <row r="13266" spans="1:2" x14ac:dyDescent="0.25">
      <c r="A13266"/>
      <c r="B13266"/>
    </row>
    <row r="13267" spans="1:2" x14ac:dyDescent="0.25">
      <c r="A13267"/>
      <c r="B13267"/>
    </row>
    <row r="13268" spans="1:2" x14ac:dyDescent="0.25">
      <c r="A13268"/>
      <c r="B13268"/>
    </row>
    <row r="13269" spans="1:2" x14ac:dyDescent="0.25">
      <c r="A13269"/>
      <c r="B13269"/>
    </row>
    <row r="13270" spans="1:2" x14ac:dyDescent="0.25">
      <c r="A13270"/>
      <c r="B13270"/>
    </row>
    <row r="13271" spans="1:2" x14ac:dyDescent="0.25">
      <c r="A13271"/>
      <c r="B13271"/>
    </row>
    <row r="13272" spans="1:2" x14ac:dyDescent="0.25">
      <c r="A13272"/>
      <c r="B13272"/>
    </row>
    <row r="13273" spans="1:2" x14ac:dyDescent="0.25">
      <c r="A13273"/>
      <c r="B13273"/>
    </row>
    <row r="13274" spans="1:2" x14ac:dyDescent="0.25">
      <c r="A13274"/>
      <c r="B13274"/>
    </row>
    <row r="13275" spans="1:2" x14ac:dyDescent="0.25">
      <c r="A13275"/>
      <c r="B13275"/>
    </row>
    <row r="13276" spans="1:2" x14ac:dyDescent="0.25">
      <c r="A13276"/>
      <c r="B13276"/>
    </row>
    <row r="13277" spans="1:2" x14ac:dyDescent="0.25">
      <c r="A13277"/>
      <c r="B13277"/>
    </row>
    <row r="13278" spans="1:2" x14ac:dyDescent="0.25">
      <c r="A13278"/>
      <c r="B13278"/>
    </row>
    <row r="13279" spans="1:2" x14ac:dyDescent="0.25">
      <c r="A13279"/>
      <c r="B13279"/>
    </row>
    <row r="13280" spans="1:2" x14ac:dyDescent="0.25">
      <c r="A13280"/>
      <c r="B13280"/>
    </row>
    <row r="13281" spans="1:2" x14ac:dyDescent="0.25">
      <c r="A13281"/>
      <c r="B13281"/>
    </row>
    <row r="13282" spans="1:2" x14ac:dyDescent="0.25">
      <c r="A13282"/>
      <c r="B13282"/>
    </row>
    <row r="13283" spans="1:2" x14ac:dyDescent="0.25">
      <c r="A13283"/>
      <c r="B13283"/>
    </row>
    <row r="13284" spans="1:2" x14ac:dyDescent="0.25">
      <c r="A13284"/>
      <c r="B13284"/>
    </row>
    <row r="13285" spans="1:2" x14ac:dyDescent="0.25">
      <c r="A13285"/>
      <c r="B13285"/>
    </row>
    <row r="13286" spans="1:2" x14ac:dyDescent="0.25">
      <c r="A13286"/>
      <c r="B13286"/>
    </row>
    <row r="13287" spans="1:2" x14ac:dyDescent="0.25">
      <c r="A13287"/>
      <c r="B13287"/>
    </row>
    <row r="13288" spans="1:2" x14ac:dyDescent="0.25">
      <c r="A13288"/>
      <c r="B13288"/>
    </row>
    <row r="13289" spans="1:2" x14ac:dyDescent="0.25">
      <c r="A13289"/>
      <c r="B13289"/>
    </row>
    <row r="13290" spans="1:2" x14ac:dyDescent="0.25">
      <c r="A13290"/>
      <c r="B13290"/>
    </row>
    <row r="13291" spans="1:2" x14ac:dyDescent="0.25">
      <c r="A13291"/>
      <c r="B13291"/>
    </row>
    <row r="13292" spans="1:2" x14ac:dyDescent="0.25">
      <c r="A13292"/>
      <c r="B13292"/>
    </row>
    <row r="13293" spans="1:2" x14ac:dyDescent="0.25">
      <c r="A13293"/>
      <c r="B13293"/>
    </row>
    <row r="13294" spans="1:2" x14ac:dyDescent="0.25">
      <c r="A13294"/>
      <c r="B13294"/>
    </row>
    <row r="13295" spans="1:2" x14ac:dyDescent="0.25">
      <c r="A13295"/>
      <c r="B13295"/>
    </row>
    <row r="13296" spans="1:2" x14ac:dyDescent="0.25">
      <c r="A13296"/>
      <c r="B13296"/>
    </row>
    <row r="13297" spans="1:2" x14ac:dyDescent="0.25">
      <c r="A13297"/>
      <c r="B13297"/>
    </row>
    <row r="13298" spans="1:2" x14ac:dyDescent="0.25">
      <c r="A13298"/>
      <c r="B13298"/>
    </row>
    <row r="13299" spans="1:2" x14ac:dyDescent="0.25">
      <c r="A13299"/>
      <c r="B13299"/>
    </row>
    <row r="13300" spans="1:2" x14ac:dyDescent="0.25">
      <c r="A13300"/>
      <c r="B13300"/>
    </row>
    <row r="13301" spans="1:2" x14ac:dyDescent="0.25">
      <c r="A13301"/>
      <c r="B13301"/>
    </row>
    <row r="13302" spans="1:2" x14ac:dyDescent="0.25">
      <c r="A13302"/>
      <c r="B13302"/>
    </row>
    <row r="13303" spans="1:2" x14ac:dyDescent="0.25">
      <c r="A13303"/>
      <c r="B13303"/>
    </row>
    <row r="13304" spans="1:2" x14ac:dyDescent="0.25">
      <c r="A13304"/>
      <c r="B13304"/>
    </row>
    <row r="13305" spans="1:2" x14ac:dyDescent="0.25">
      <c r="A13305"/>
      <c r="B13305"/>
    </row>
    <row r="13306" spans="1:2" x14ac:dyDescent="0.25">
      <c r="A13306"/>
      <c r="B13306"/>
    </row>
    <row r="13307" spans="1:2" x14ac:dyDescent="0.25">
      <c r="A13307"/>
      <c r="B13307"/>
    </row>
    <row r="13308" spans="1:2" x14ac:dyDescent="0.25">
      <c r="A13308"/>
      <c r="B13308"/>
    </row>
    <row r="13309" spans="1:2" x14ac:dyDescent="0.25">
      <c r="A13309"/>
      <c r="B13309"/>
    </row>
    <row r="13310" spans="1:2" x14ac:dyDescent="0.25">
      <c r="A13310"/>
      <c r="B13310"/>
    </row>
    <row r="13311" spans="1:2" x14ac:dyDescent="0.25">
      <c r="A13311"/>
      <c r="B13311"/>
    </row>
    <row r="13312" spans="1:2" x14ac:dyDescent="0.25">
      <c r="A13312"/>
      <c r="B13312"/>
    </row>
    <row r="13313" spans="1:2" x14ac:dyDescent="0.25">
      <c r="A13313"/>
      <c r="B13313"/>
    </row>
    <row r="13314" spans="1:2" x14ac:dyDescent="0.25">
      <c r="A13314"/>
      <c r="B13314"/>
    </row>
    <row r="13315" spans="1:2" x14ac:dyDescent="0.25">
      <c r="A13315"/>
      <c r="B13315"/>
    </row>
    <row r="13316" spans="1:2" x14ac:dyDescent="0.25">
      <c r="A13316"/>
      <c r="B13316"/>
    </row>
    <row r="13317" spans="1:2" x14ac:dyDescent="0.25">
      <c r="A13317"/>
      <c r="B13317"/>
    </row>
    <row r="13318" spans="1:2" x14ac:dyDescent="0.25">
      <c r="A13318"/>
      <c r="B13318"/>
    </row>
    <row r="13319" spans="1:2" x14ac:dyDescent="0.25">
      <c r="A13319"/>
      <c r="B13319"/>
    </row>
    <row r="13320" spans="1:2" x14ac:dyDescent="0.25">
      <c r="A13320"/>
      <c r="B13320"/>
    </row>
    <row r="13321" spans="1:2" x14ac:dyDescent="0.25">
      <c r="A13321"/>
      <c r="B13321"/>
    </row>
    <row r="13322" spans="1:2" x14ac:dyDescent="0.25">
      <c r="A13322"/>
      <c r="B13322"/>
    </row>
    <row r="13323" spans="1:2" x14ac:dyDescent="0.25">
      <c r="A13323"/>
      <c r="B13323"/>
    </row>
    <row r="13324" spans="1:2" x14ac:dyDescent="0.25">
      <c r="A13324"/>
      <c r="B13324"/>
    </row>
    <row r="13325" spans="1:2" x14ac:dyDescent="0.25">
      <c r="A13325"/>
      <c r="B13325"/>
    </row>
    <row r="13326" spans="1:2" x14ac:dyDescent="0.25">
      <c r="A13326"/>
      <c r="B13326"/>
    </row>
    <row r="13327" spans="1:2" x14ac:dyDescent="0.25">
      <c r="A13327"/>
      <c r="B13327"/>
    </row>
    <row r="13328" spans="1:2" x14ac:dyDescent="0.25">
      <c r="A13328"/>
      <c r="B13328"/>
    </row>
    <row r="13329" spans="1:2" x14ac:dyDescent="0.25">
      <c r="A13329"/>
      <c r="B13329"/>
    </row>
    <row r="13330" spans="1:2" x14ac:dyDescent="0.25">
      <c r="A13330"/>
      <c r="B13330"/>
    </row>
    <row r="13331" spans="1:2" x14ac:dyDescent="0.25">
      <c r="A13331"/>
      <c r="B13331"/>
    </row>
    <row r="13332" spans="1:2" x14ac:dyDescent="0.25">
      <c r="A13332"/>
      <c r="B13332"/>
    </row>
    <row r="13333" spans="1:2" x14ac:dyDescent="0.25">
      <c r="A13333"/>
      <c r="B13333"/>
    </row>
    <row r="13334" spans="1:2" x14ac:dyDescent="0.25">
      <c r="A13334"/>
      <c r="B13334"/>
    </row>
    <row r="13335" spans="1:2" x14ac:dyDescent="0.25">
      <c r="A13335"/>
      <c r="B13335"/>
    </row>
    <row r="13336" spans="1:2" x14ac:dyDescent="0.25">
      <c r="A13336"/>
      <c r="B13336"/>
    </row>
    <row r="13337" spans="1:2" x14ac:dyDescent="0.25">
      <c r="A13337"/>
      <c r="B13337"/>
    </row>
    <row r="13338" spans="1:2" x14ac:dyDescent="0.25">
      <c r="A13338"/>
      <c r="B13338"/>
    </row>
    <row r="13339" spans="1:2" x14ac:dyDescent="0.25">
      <c r="A13339"/>
      <c r="B13339"/>
    </row>
    <row r="13340" spans="1:2" x14ac:dyDescent="0.25">
      <c r="A13340"/>
      <c r="B13340"/>
    </row>
    <row r="13341" spans="1:2" x14ac:dyDescent="0.25">
      <c r="A13341"/>
      <c r="B13341"/>
    </row>
    <row r="13342" spans="1:2" x14ac:dyDescent="0.25">
      <c r="A13342"/>
      <c r="B13342"/>
    </row>
    <row r="13343" spans="1:2" x14ac:dyDescent="0.25">
      <c r="A13343"/>
      <c r="B13343"/>
    </row>
    <row r="13344" spans="1:2" x14ac:dyDescent="0.25">
      <c r="A13344"/>
      <c r="B13344"/>
    </row>
    <row r="13345" spans="1:2" x14ac:dyDescent="0.25">
      <c r="A13345"/>
      <c r="B13345"/>
    </row>
    <row r="13346" spans="1:2" x14ac:dyDescent="0.25">
      <c r="A13346"/>
      <c r="B13346"/>
    </row>
    <row r="13347" spans="1:2" x14ac:dyDescent="0.25">
      <c r="A13347"/>
      <c r="B13347"/>
    </row>
    <row r="13348" spans="1:2" x14ac:dyDescent="0.25">
      <c r="A13348"/>
      <c r="B13348"/>
    </row>
    <row r="13349" spans="1:2" x14ac:dyDescent="0.25">
      <c r="A13349"/>
      <c r="B13349"/>
    </row>
    <row r="13350" spans="1:2" x14ac:dyDescent="0.25">
      <c r="A13350"/>
      <c r="B13350"/>
    </row>
    <row r="13351" spans="1:2" x14ac:dyDescent="0.25">
      <c r="A13351"/>
      <c r="B13351"/>
    </row>
    <row r="13352" spans="1:2" x14ac:dyDescent="0.25">
      <c r="A13352"/>
      <c r="B13352"/>
    </row>
    <row r="13353" spans="1:2" x14ac:dyDescent="0.25">
      <c r="A13353"/>
      <c r="B13353"/>
    </row>
    <row r="13354" spans="1:2" x14ac:dyDescent="0.25">
      <c r="A13354"/>
      <c r="B13354"/>
    </row>
    <row r="13355" spans="1:2" x14ac:dyDescent="0.25">
      <c r="A13355"/>
      <c r="B13355"/>
    </row>
    <row r="13356" spans="1:2" x14ac:dyDescent="0.25">
      <c r="A13356"/>
      <c r="B13356"/>
    </row>
    <row r="13357" spans="1:2" x14ac:dyDescent="0.25">
      <c r="A13357"/>
      <c r="B13357"/>
    </row>
    <row r="13358" spans="1:2" x14ac:dyDescent="0.25">
      <c r="A13358"/>
      <c r="B13358"/>
    </row>
    <row r="13359" spans="1:2" x14ac:dyDescent="0.25">
      <c r="A13359"/>
      <c r="B13359"/>
    </row>
    <row r="13360" spans="1:2" x14ac:dyDescent="0.25">
      <c r="A13360"/>
      <c r="B13360"/>
    </row>
    <row r="13361" spans="1:2" x14ac:dyDescent="0.25">
      <c r="A13361"/>
      <c r="B13361"/>
    </row>
    <row r="13362" spans="1:2" x14ac:dyDescent="0.25">
      <c r="A13362"/>
      <c r="B13362"/>
    </row>
    <row r="13363" spans="1:2" x14ac:dyDescent="0.25">
      <c r="A13363"/>
      <c r="B13363"/>
    </row>
    <row r="13364" spans="1:2" x14ac:dyDescent="0.25">
      <c r="A13364"/>
      <c r="B13364"/>
    </row>
    <row r="13365" spans="1:2" x14ac:dyDescent="0.25">
      <c r="A13365"/>
      <c r="B13365"/>
    </row>
    <row r="13366" spans="1:2" x14ac:dyDescent="0.25">
      <c r="A13366"/>
      <c r="B13366"/>
    </row>
    <row r="13367" spans="1:2" x14ac:dyDescent="0.25">
      <c r="A13367"/>
      <c r="B13367"/>
    </row>
    <row r="13368" spans="1:2" x14ac:dyDescent="0.25">
      <c r="A13368"/>
      <c r="B13368"/>
    </row>
    <row r="13369" spans="1:2" x14ac:dyDescent="0.25">
      <c r="A13369"/>
      <c r="B13369"/>
    </row>
    <row r="13370" spans="1:2" x14ac:dyDescent="0.25">
      <c r="A13370"/>
      <c r="B13370"/>
    </row>
    <row r="13371" spans="1:2" x14ac:dyDescent="0.25">
      <c r="A13371"/>
      <c r="B13371"/>
    </row>
    <row r="13372" spans="1:2" x14ac:dyDescent="0.25">
      <c r="A13372"/>
      <c r="B13372"/>
    </row>
    <row r="13373" spans="1:2" x14ac:dyDescent="0.25">
      <c r="A13373"/>
      <c r="B13373"/>
    </row>
    <row r="13374" spans="1:2" x14ac:dyDescent="0.25">
      <c r="A13374"/>
      <c r="B13374"/>
    </row>
    <row r="13375" spans="1:2" x14ac:dyDescent="0.25">
      <c r="A13375"/>
      <c r="B13375"/>
    </row>
    <row r="13376" spans="1:2" x14ac:dyDescent="0.25">
      <c r="A13376"/>
      <c r="B13376"/>
    </row>
    <row r="13377" spans="1:2" x14ac:dyDescent="0.25">
      <c r="A13377"/>
      <c r="B13377"/>
    </row>
    <row r="13378" spans="1:2" x14ac:dyDescent="0.25">
      <c r="A13378"/>
      <c r="B13378"/>
    </row>
    <row r="13379" spans="1:2" x14ac:dyDescent="0.25">
      <c r="A13379"/>
      <c r="B13379"/>
    </row>
    <row r="13380" spans="1:2" x14ac:dyDescent="0.25">
      <c r="A13380"/>
      <c r="B13380"/>
    </row>
    <row r="13381" spans="1:2" x14ac:dyDescent="0.25">
      <c r="A13381"/>
      <c r="B13381"/>
    </row>
    <row r="13382" spans="1:2" x14ac:dyDescent="0.25">
      <c r="A13382"/>
      <c r="B13382"/>
    </row>
    <row r="13383" spans="1:2" x14ac:dyDescent="0.25">
      <c r="A13383"/>
      <c r="B13383"/>
    </row>
    <row r="13384" spans="1:2" x14ac:dyDescent="0.25">
      <c r="A13384"/>
      <c r="B13384"/>
    </row>
    <row r="13385" spans="1:2" x14ac:dyDescent="0.25">
      <c r="A13385"/>
      <c r="B13385"/>
    </row>
    <row r="13386" spans="1:2" x14ac:dyDescent="0.25">
      <c r="A13386"/>
      <c r="B13386"/>
    </row>
    <row r="13387" spans="1:2" x14ac:dyDescent="0.25">
      <c r="A13387"/>
      <c r="B13387"/>
    </row>
    <row r="13388" spans="1:2" x14ac:dyDescent="0.25">
      <c r="A13388"/>
      <c r="B13388"/>
    </row>
    <row r="13389" spans="1:2" x14ac:dyDescent="0.25">
      <c r="A13389"/>
      <c r="B13389"/>
    </row>
    <row r="13390" spans="1:2" x14ac:dyDescent="0.25">
      <c r="A13390"/>
      <c r="B13390"/>
    </row>
    <row r="13391" spans="1:2" x14ac:dyDescent="0.25">
      <c r="A13391"/>
      <c r="B13391"/>
    </row>
    <row r="13392" spans="1:2" x14ac:dyDescent="0.25">
      <c r="A13392"/>
      <c r="B13392"/>
    </row>
    <row r="13393" spans="1:2" x14ac:dyDescent="0.25">
      <c r="A13393"/>
      <c r="B13393"/>
    </row>
    <row r="13394" spans="1:2" x14ac:dyDescent="0.25">
      <c r="A13394"/>
      <c r="B13394"/>
    </row>
    <row r="13395" spans="1:2" x14ac:dyDescent="0.25">
      <c r="A13395"/>
      <c r="B13395"/>
    </row>
    <row r="13396" spans="1:2" x14ac:dyDescent="0.25">
      <c r="A13396"/>
      <c r="B13396"/>
    </row>
    <row r="13397" spans="1:2" x14ac:dyDescent="0.25">
      <c r="A13397"/>
      <c r="B13397"/>
    </row>
    <row r="13398" spans="1:2" x14ac:dyDescent="0.25">
      <c r="A13398"/>
      <c r="B13398"/>
    </row>
    <row r="13399" spans="1:2" x14ac:dyDescent="0.25">
      <c r="A13399"/>
      <c r="B13399"/>
    </row>
    <row r="13400" spans="1:2" x14ac:dyDescent="0.25">
      <c r="A13400"/>
      <c r="B13400"/>
    </row>
    <row r="13401" spans="1:2" x14ac:dyDescent="0.25">
      <c r="A13401"/>
      <c r="B13401"/>
    </row>
    <row r="13402" spans="1:2" x14ac:dyDescent="0.25">
      <c r="A13402"/>
      <c r="B13402"/>
    </row>
    <row r="13403" spans="1:2" x14ac:dyDescent="0.25">
      <c r="A13403"/>
      <c r="B13403"/>
    </row>
    <row r="13404" spans="1:2" x14ac:dyDescent="0.25">
      <c r="A13404"/>
      <c r="B13404"/>
    </row>
    <row r="13405" spans="1:2" x14ac:dyDescent="0.25">
      <c r="A13405"/>
      <c r="B13405"/>
    </row>
    <row r="13406" spans="1:2" x14ac:dyDescent="0.25">
      <c r="A13406"/>
      <c r="B13406"/>
    </row>
    <row r="13407" spans="1:2" x14ac:dyDescent="0.25">
      <c r="A13407"/>
      <c r="B13407"/>
    </row>
    <row r="13408" spans="1:2" x14ac:dyDescent="0.25">
      <c r="A13408"/>
      <c r="B13408"/>
    </row>
    <row r="13409" spans="1:2" x14ac:dyDescent="0.25">
      <c r="A13409"/>
      <c r="B13409"/>
    </row>
    <row r="13410" spans="1:2" x14ac:dyDescent="0.25">
      <c r="A13410"/>
      <c r="B13410"/>
    </row>
    <row r="13411" spans="1:2" x14ac:dyDescent="0.25">
      <c r="A13411"/>
      <c r="B13411"/>
    </row>
    <row r="13412" spans="1:2" x14ac:dyDescent="0.25">
      <c r="A13412"/>
      <c r="B13412"/>
    </row>
    <row r="13413" spans="1:2" x14ac:dyDescent="0.25">
      <c r="A13413"/>
      <c r="B13413"/>
    </row>
    <row r="13414" spans="1:2" x14ac:dyDescent="0.25">
      <c r="A13414"/>
      <c r="B13414"/>
    </row>
    <row r="13415" spans="1:2" x14ac:dyDescent="0.25">
      <c r="A13415"/>
      <c r="B13415"/>
    </row>
    <row r="13416" spans="1:2" x14ac:dyDescent="0.25">
      <c r="A13416"/>
      <c r="B13416"/>
    </row>
    <row r="13417" spans="1:2" x14ac:dyDescent="0.25">
      <c r="A13417"/>
      <c r="B13417"/>
    </row>
    <row r="13418" spans="1:2" x14ac:dyDescent="0.25">
      <c r="A13418"/>
      <c r="B13418"/>
    </row>
    <row r="13419" spans="1:2" x14ac:dyDescent="0.25">
      <c r="A13419"/>
      <c r="B13419"/>
    </row>
    <row r="13420" spans="1:2" x14ac:dyDescent="0.25">
      <c r="A13420"/>
      <c r="B13420"/>
    </row>
    <row r="13421" spans="1:2" x14ac:dyDescent="0.25">
      <c r="A13421"/>
      <c r="B13421"/>
    </row>
    <row r="13422" spans="1:2" x14ac:dyDescent="0.25">
      <c r="A13422"/>
      <c r="B13422"/>
    </row>
    <row r="13423" spans="1:2" x14ac:dyDescent="0.25">
      <c r="A13423"/>
      <c r="B13423"/>
    </row>
    <row r="13424" spans="1:2" x14ac:dyDescent="0.25">
      <c r="A13424"/>
      <c r="B13424"/>
    </row>
    <row r="13425" spans="1:2" x14ac:dyDescent="0.25">
      <c r="A13425"/>
      <c r="B13425"/>
    </row>
    <row r="13426" spans="1:2" x14ac:dyDescent="0.25">
      <c r="A13426"/>
      <c r="B13426"/>
    </row>
    <row r="13427" spans="1:2" x14ac:dyDescent="0.25">
      <c r="A13427"/>
      <c r="B13427"/>
    </row>
    <row r="13428" spans="1:2" x14ac:dyDescent="0.25">
      <c r="A13428"/>
      <c r="B13428"/>
    </row>
    <row r="13429" spans="1:2" x14ac:dyDescent="0.25">
      <c r="A13429"/>
      <c r="B13429"/>
    </row>
    <row r="13430" spans="1:2" x14ac:dyDescent="0.25">
      <c r="A13430"/>
      <c r="B13430"/>
    </row>
    <row r="13431" spans="1:2" x14ac:dyDescent="0.25">
      <c r="A13431"/>
      <c r="B13431"/>
    </row>
    <row r="13432" spans="1:2" x14ac:dyDescent="0.25">
      <c r="A13432"/>
      <c r="B13432"/>
    </row>
    <row r="13433" spans="1:2" x14ac:dyDescent="0.25">
      <c r="A13433"/>
      <c r="B13433"/>
    </row>
    <row r="13434" spans="1:2" x14ac:dyDescent="0.25">
      <c r="A13434"/>
      <c r="B13434"/>
    </row>
    <row r="13435" spans="1:2" x14ac:dyDescent="0.25">
      <c r="A13435"/>
      <c r="B13435"/>
    </row>
    <row r="13436" spans="1:2" x14ac:dyDescent="0.25">
      <c r="A13436"/>
      <c r="B13436"/>
    </row>
    <row r="13437" spans="1:2" x14ac:dyDescent="0.25">
      <c r="A13437"/>
      <c r="B13437"/>
    </row>
    <row r="13438" spans="1:2" x14ac:dyDescent="0.25">
      <c r="A13438"/>
      <c r="B13438"/>
    </row>
    <row r="13439" spans="1:2" x14ac:dyDescent="0.25">
      <c r="A13439"/>
      <c r="B13439"/>
    </row>
    <row r="13440" spans="1:2" x14ac:dyDescent="0.25">
      <c r="A13440"/>
      <c r="B13440"/>
    </row>
    <row r="13441" spans="1:2" x14ac:dyDescent="0.25">
      <c r="A13441"/>
      <c r="B13441"/>
    </row>
    <row r="13442" spans="1:2" x14ac:dyDescent="0.25">
      <c r="A13442"/>
      <c r="B13442"/>
    </row>
    <row r="13443" spans="1:2" x14ac:dyDescent="0.25">
      <c r="A13443"/>
      <c r="B13443"/>
    </row>
    <row r="13444" spans="1:2" x14ac:dyDescent="0.25">
      <c r="A13444"/>
      <c r="B13444"/>
    </row>
    <row r="13445" spans="1:2" x14ac:dyDescent="0.25">
      <c r="A13445"/>
      <c r="B13445"/>
    </row>
    <row r="13446" spans="1:2" x14ac:dyDescent="0.25">
      <c r="A13446"/>
      <c r="B13446"/>
    </row>
    <row r="13447" spans="1:2" x14ac:dyDescent="0.25">
      <c r="A13447"/>
      <c r="B13447"/>
    </row>
    <row r="13448" spans="1:2" x14ac:dyDescent="0.25">
      <c r="A13448"/>
      <c r="B13448"/>
    </row>
    <row r="13449" spans="1:2" x14ac:dyDescent="0.25">
      <c r="A13449"/>
      <c r="B13449"/>
    </row>
    <row r="13450" spans="1:2" x14ac:dyDescent="0.25">
      <c r="A13450"/>
      <c r="B13450"/>
    </row>
    <row r="13451" spans="1:2" x14ac:dyDescent="0.25">
      <c r="A13451"/>
      <c r="B13451"/>
    </row>
    <row r="13452" spans="1:2" x14ac:dyDescent="0.25">
      <c r="A13452"/>
      <c r="B13452"/>
    </row>
    <row r="13453" spans="1:2" x14ac:dyDescent="0.25">
      <c r="A13453"/>
      <c r="B13453"/>
    </row>
    <row r="13454" spans="1:2" x14ac:dyDescent="0.25">
      <c r="A13454"/>
      <c r="B13454"/>
    </row>
    <row r="13455" spans="1:2" x14ac:dyDescent="0.25">
      <c r="A13455"/>
      <c r="B13455"/>
    </row>
    <row r="13456" spans="1:2" x14ac:dyDescent="0.25">
      <c r="A13456"/>
      <c r="B13456"/>
    </row>
    <row r="13457" spans="1:2" x14ac:dyDescent="0.25">
      <c r="A13457"/>
      <c r="B13457"/>
    </row>
    <row r="13458" spans="1:2" x14ac:dyDescent="0.25">
      <c r="A13458"/>
      <c r="B13458"/>
    </row>
    <row r="13459" spans="1:2" x14ac:dyDescent="0.25">
      <c r="A13459"/>
      <c r="B13459"/>
    </row>
    <row r="13460" spans="1:2" x14ac:dyDescent="0.25">
      <c r="A13460"/>
      <c r="B13460"/>
    </row>
    <row r="13461" spans="1:2" x14ac:dyDescent="0.25">
      <c r="A13461"/>
      <c r="B13461"/>
    </row>
    <row r="13462" spans="1:2" x14ac:dyDescent="0.25">
      <c r="A13462"/>
      <c r="B13462"/>
    </row>
    <row r="13463" spans="1:2" x14ac:dyDescent="0.25">
      <c r="A13463"/>
      <c r="B13463"/>
    </row>
    <row r="13464" spans="1:2" x14ac:dyDescent="0.25">
      <c r="A13464"/>
      <c r="B13464"/>
    </row>
    <row r="13465" spans="1:2" x14ac:dyDescent="0.25">
      <c r="A13465"/>
      <c r="B13465"/>
    </row>
    <row r="13466" spans="1:2" x14ac:dyDescent="0.25">
      <c r="A13466"/>
      <c r="B13466"/>
    </row>
    <row r="13467" spans="1:2" x14ac:dyDescent="0.25">
      <c r="A13467"/>
      <c r="B13467"/>
    </row>
    <row r="13468" spans="1:2" x14ac:dyDescent="0.25">
      <c r="A13468"/>
      <c r="B13468"/>
    </row>
    <row r="13469" spans="1:2" x14ac:dyDescent="0.25">
      <c r="A13469"/>
      <c r="B13469"/>
    </row>
    <row r="13470" spans="1:2" x14ac:dyDescent="0.25">
      <c r="A13470"/>
      <c r="B13470"/>
    </row>
    <row r="13471" spans="1:2" x14ac:dyDescent="0.25">
      <c r="A13471"/>
      <c r="B13471"/>
    </row>
    <row r="13472" spans="1:2" x14ac:dyDescent="0.25">
      <c r="A13472"/>
      <c r="B13472"/>
    </row>
    <row r="13473" spans="1:2" x14ac:dyDescent="0.25">
      <c r="A13473"/>
      <c r="B13473"/>
    </row>
    <row r="13474" spans="1:2" x14ac:dyDescent="0.25">
      <c r="A13474"/>
      <c r="B13474"/>
    </row>
    <row r="13475" spans="1:2" x14ac:dyDescent="0.25">
      <c r="A13475"/>
      <c r="B13475"/>
    </row>
    <row r="13476" spans="1:2" x14ac:dyDescent="0.25">
      <c r="A13476"/>
      <c r="B13476"/>
    </row>
    <row r="13477" spans="1:2" x14ac:dyDescent="0.25">
      <c r="A13477"/>
      <c r="B13477"/>
    </row>
    <row r="13478" spans="1:2" x14ac:dyDescent="0.25">
      <c r="A13478"/>
      <c r="B13478"/>
    </row>
    <row r="13479" spans="1:2" x14ac:dyDescent="0.25">
      <c r="A13479"/>
      <c r="B13479"/>
    </row>
    <row r="13480" spans="1:2" x14ac:dyDescent="0.25">
      <c r="A13480"/>
      <c r="B13480"/>
    </row>
    <row r="13481" spans="1:2" x14ac:dyDescent="0.25">
      <c r="A13481"/>
      <c r="B13481"/>
    </row>
    <row r="13482" spans="1:2" x14ac:dyDescent="0.25">
      <c r="A13482"/>
      <c r="B13482"/>
    </row>
    <row r="13483" spans="1:2" x14ac:dyDescent="0.25">
      <c r="A13483"/>
      <c r="B13483"/>
    </row>
    <row r="13484" spans="1:2" x14ac:dyDescent="0.25">
      <c r="A13484"/>
      <c r="B13484"/>
    </row>
    <row r="13485" spans="1:2" x14ac:dyDescent="0.25">
      <c r="A13485"/>
      <c r="B13485"/>
    </row>
    <row r="13486" spans="1:2" x14ac:dyDescent="0.25">
      <c r="A13486"/>
      <c r="B13486"/>
    </row>
    <row r="13487" spans="1:2" x14ac:dyDescent="0.25">
      <c r="A13487"/>
      <c r="B13487"/>
    </row>
    <row r="13488" spans="1:2" x14ac:dyDescent="0.25">
      <c r="A13488"/>
      <c r="B13488"/>
    </row>
    <row r="13489" spans="1:2" x14ac:dyDescent="0.25">
      <c r="A13489"/>
      <c r="B13489"/>
    </row>
    <row r="13490" spans="1:2" x14ac:dyDescent="0.25">
      <c r="A13490"/>
      <c r="B13490"/>
    </row>
    <row r="13491" spans="1:2" x14ac:dyDescent="0.25">
      <c r="A13491"/>
      <c r="B13491"/>
    </row>
    <row r="13492" spans="1:2" x14ac:dyDescent="0.25">
      <c r="A13492"/>
      <c r="B13492"/>
    </row>
    <row r="13493" spans="1:2" x14ac:dyDescent="0.25">
      <c r="A13493"/>
      <c r="B13493"/>
    </row>
    <row r="13494" spans="1:2" x14ac:dyDescent="0.25">
      <c r="A13494"/>
      <c r="B13494"/>
    </row>
    <row r="13495" spans="1:2" x14ac:dyDescent="0.25">
      <c r="A13495"/>
      <c r="B13495"/>
    </row>
    <row r="13496" spans="1:2" x14ac:dyDescent="0.25">
      <c r="A13496"/>
      <c r="B13496"/>
    </row>
    <row r="13497" spans="1:2" x14ac:dyDescent="0.25">
      <c r="A13497"/>
      <c r="B13497"/>
    </row>
    <row r="13498" spans="1:2" x14ac:dyDescent="0.25">
      <c r="A13498"/>
      <c r="B13498"/>
    </row>
    <row r="13499" spans="1:2" x14ac:dyDescent="0.25">
      <c r="A13499"/>
      <c r="B13499"/>
    </row>
    <row r="13500" spans="1:2" x14ac:dyDescent="0.25">
      <c r="A13500"/>
      <c r="B13500"/>
    </row>
    <row r="13501" spans="1:2" x14ac:dyDescent="0.25">
      <c r="A13501"/>
      <c r="B13501"/>
    </row>
    <row r="13502" spans="1:2" x14ac:dyDescent="0.25">
      <c r="A13502"/>
      <c r="B13502"/>
    </row>
    <row r="13503" spans="1:2" x14ac:dyDescent="0.25">
      <c r="A13503"/>
      <c r="B13503"/>
    </row>
    <row r="13504" spans="1:2" x14ac:dyDescent="0.25">
      <c r="A13504"/>
      <c r="B13504"/>
    </row>
    <row r="13505" spans="1:2" x14ac:dyDescent="0.25">
      <c r="A13505"/>
      <c r="B13505"/>
    </row>
    <row r="13506" spans="1:2" x14ac:dyDescent="0.25">
      <c r="A13506"/>
      <c r="B13506"/>
    </row>
    <row r="13507" spans="1:2" x14ac:dyDescent="0.25">
      <c r="A13507"/>
      <c r="B13507"/>
    </row>
    <row r="13508" spans="1:2" x14ac:dyDescent="0.25">
      <c r="A13508"/>
      <c r="B13508"/>
    </row>
    <row r="13509" spans="1:2" x14ac:dyDescent="0.25">
      <c r="A13509"/>
      <c r="B13509"/>
    </row>
    <row r="13510" spans="1:2" x14ac:dyDescent="0.25">
      <c r="A13510"/>
      <c r="B13510"/>
    </row>
    <row r="13511" spans="1:2" x14ac:dyDescent="0.25">
      <c r="A13511"/>
      <c r="B13511"/>
    </row>
    <row r="13512" spans="1:2" x14ac:dyDescent="0.25">
      <c r="A13512"/>
      <c r="B13512"/>
    </row>
    <row r="13513" spans="1:2" x14ac:dyDescent="0.25">
      <c r="A13513"/>
      <c r="B13513"/>
    </row>
    <row r="13514" spans="1:2" x14ac:dyDescent="0.25">
      <c r="A13514"/>
      <c r="B13514"/>
    </row>
    <row r="13515" spans="1:2" x14ac:dyDescent="0.25">
      <c r="A13515"/>
      <c r="B13515"/>
    </row>
    <row r="13516" spans="1:2" x14ac:dyDescent="0.25">
      <c r="A13516"/>
      <c r="B13516"/>
    </row>
    <row r="13517" spans="1:2" x14ac:dyDescent="0.25">
      <c r="A13517"/>
      <c r="B13517"/>
    </row>
    <row r="13518" spans="1:2" x14ac:dyDescent="0.25">
      <c r="A13518"/>
      <c r="B13518"/>
    </row>
    <row r="13519" spans="1:2" x14ac:dyDescent="0.25">
      <c r="A13519"/>
      <c r="B13519"/>
    </row>
    <row r="13520" spans="1:2" x14ac:dyDescent="0.25">
      <c r="A13520"/>
      <c r="B13520"/>
    </row>
    <row r="13521" spans="1:2" x14ac:dyDescent="0.25">
      <c r="A13521"/>
      <c r="B13521"/>
    </row>
    <row r="13522" spans="1:2" x14ac:dyDescent="0.25">
      <c r="A13522"/>
      <c r="B13522"/>
    </row>
    <row r="13523" spans="1:2" x14ac:dyDescent="0.25">
      <c r="A13523"/>
      <c r="B13523"/>
    </row>
    <row r="13524" spans="1:2" x14ac:dyDescent="0.25">
      <c r="A13524"/>
      <c r="B13524"/>
    </row>
    <row r="13525" spans="1:2" x14ac:dyDescent="0.25">
      <c r="A13525"/>
      <c r="B13525"/>
    </row>
    <row r="13526" spans="1:2" x14ac:dyDescent="0.25">
      <c r="A13526"/>
      <c r="B13526"/>
    </row>
    <row r="13527" spans="1:2" x14ac:dyDescent="0.25">
      <c r="A13527"/>
      <c r="B13527"/>
    </row>
    <row r="13528" spans="1:2" x14ac:dyDescent="0.25">
      <c r="A13528"/>
      <c r="B13528"/>
    </row>
    <row r="13529" spans="1:2" x14ac:dyDescent="0.25">
      <c r="A13529"/>
      <c r="B13529"/>
    </row>
    <row r="13530" spans="1:2" x14ac:dyDescent="0.25">
      <c r="A13530"/>
      <c r="B13530"/>
    </row>
    <row r="13531" spans="1:2" x14ac:dyDescent="0.25">
      <c r="A13531"/>
      <c r="B13531"/>
    </row>
    <row r="13532" spans="1:2" x14ac:dyDescent="0.25">
      <c r="A13532"/>
      <c r="B13532"/>
    </row>
    <row r="13533" spans="1:2" x14ac:dyDescent="0.25">
      <c r="A13533"/>
      <c r="B13533"/>
    </row>
    <row r="13534" spans="1:2" x14ac:dyDescent="0.25">
      <c r="A13534"/>
      <c r="B13534"/>
    </row>
    <row r="13535" spans="1:2" x14ac:dyDescent="0.25">
      <c r="A13535"/>
      <c r="B13535"/>
    </row>
    <row r="13536" spans="1:2" x14ac:dyDescent="0.25">
      <c r="A13536"/>
      <c r="B13536"/>
    </row>
    <row r="13537" spans="1:2" x14ac:dyDescent="0.25">
      <c r="A13537"/>
      <c r="B13537"/>
    </row>
    <row r="13538" spans="1:2" x14ac:dyDescent="0.25">
      <c r="A13538"/>
      <c r="B13538"/>
    </row>
    <row r="13539" spans="1:2" x14ac:dyDescent="0.25">
      <c r="A13539"/>
      <c r="B13539"/>
    </row>
    <row r="13540" spans="1:2" x14ac:dyDescent="0.25">
      <c r="A13540"/>
      <c r="B13540"/>
    </row>
    <row r="13541" spans="1:2" x14ac:dyDescent="0.25">
      <c r="A13541"/>
      <c r="B13541"/>
    </row>
    <row r="13542" spans="1:2" x14ac:dyDescent="0.25">
      <c r="A13542"/>
      <c r="B13542"/>
    </row>
    <row r="13543" spans="1:2" x14ac:dyDescent="0.25">
      <c r="A13543"/>
      <c r="B13543"/>
    </row>
    <row r="13544" spans="1:2" x14ac:dyDescent="0.25">
      <c r="A13544"/>
      <c r="B13544"/>
    </row>
    <row r="13545" spans="1:2" x14ac:dyDescent="0.25">
      <c r="A13545"/>
      <c r="B13545"/>
    </row>
    <row r="13546" spans="1:2" x14ac:dyDescent="0.25">
      <c r="A13546"/>
      <c r="B13546"/>
    </row>
    <row r="13547" spans="1:2" x14ac:dyDescent="0.25">
      <c r="A13547"/>
      <c r="B13547"/>
    </row>
    <row r="13548" spans="1:2" x14ac:dyDescent="0.25">
      <c r="A13548"/>
      <c r="B13548"/>
    </row>
    <row r="13549" spans="1:2" x14ac:dyDescent="0.25">
      <c r="A13549"/>
      <c r="B13549"/>
    </row>
    <row r="13550" spans="1:2" x14ac:dyDescent="0.25">
      <c r="A13550"/>
      <c r="B13550"/>
    </row>
    <row r="13551" spans="1:2" x14ac:dyDescent="0.25">
      <c r="A13551"/>
      <c r="B13551"/>
    </row>
    <row r="13552" spans="1:2" x14ac:dyDescent="0.25">
      <c r="A13552"/>
      <c r="B13552"/>
    </row>
    <row r="13553" spans="1:2" x14ac:dyDescent="0.25">
      <c r="A13553"/>
      <c r="B13553"/>
    </row>
    <row r="13554" spans="1:2" x14ac:dyDescent="0.25">
      <c r="A13554"/>
      <c r="B13554"/>
    </row>
    <row r="13555" spans="1:2" x14ac:dyDescent="0.25">
      <c r="A13555"/>
      <c r="B13555"/>
    </row>
    <row r="13556" spans="1:2" x14ac:dyDescent="0.25">
      <c r="A13556"/>
      <c r="B13556"/>
    </row>
    <row r="13557" spans="1:2" x14ac:dyDescent="0.25">
      <c r="A13557"/>
      <c r="B13557"/>
    </row>
    <row r="13558" spans="1:2" x14ac:dyDescent="0.25">
      <c r="A13558"/>
      <c r="B13558"/>
    </row>
    <row r="13559" spans="1:2" x14ac:dyDescent="0.25">
      <c r="A13559"/>
      <c r="B13559"/>
    </row>
    <row r="13560" spans="1:2" x14ac:dyDescent="0.25">
      <c r="A13560"/>
      <c r="B13560"/>
    </row>
    <row r="13561" spans="1:2" x14ac:dyDescent="0.25">
      <c r="A13561"/>
      <c r="B13561"/>
    </row>
    <row r="13562" spans="1:2" x14ac:dyDescent="0.25">
      <c r="A13562"/>
      <c r="B13562"/>
    </row>
    <row r="13563" spans="1:2" x14ac:dyDescent="0.25">
      <c r="A13563"/>
      <c r="B13563"/>
    </row>
    <row r="13564" spans="1:2" x14ac:dyDescent="0.25">
      <c r="A13564"/>
      <c r="B13564"/>
    </row>
    <row r="13565" spans="1:2" x14ac:dyDescent="0.25">
      <c r="A13565"/>
      <c r="B13565"/>
    </row>
    <row r="13566" spans="1:2" x14ac:dyDescent="0.25">
      <c r="A13566"/>
      <c r="B13566"/>
    </row>
    <row r="13567" spans="1:2" x14ac:dyDescent="0.25">
      <c r="A13567"/>
      <c r="B13567"/>
    </row>
    <row r="13568" spans="1:2" x14ac:dyDescent="0.25">
      <c r="A13568"/>
      <c r="B13568"/>
    </row>
    <row r="13569" spans="1:2" x14ac:dyDescent="0.25">
      <c r="A13569"/>
      <c r="B13569"/>
    </row>
    <row r="13570" spans="1:2" x14ac:dyDescent="0.25">
      <c r="A13570"/>
      <c r="B13570"/>
    </row>
    <row r="13571" spans="1:2" x14ac:dyDescent="0.25">
      <c r="A13571"/>
      <c r="B13571"/>
    </row>
    <row r="13572" spans="1:2" x14ac:dyDescent="0.25">
      <c r="A13572"/>
      <c r="B13572"/>
    </row>
    <row r="13573" spans="1:2" x14ac:dyDescent="0.25">
      <c r="A13573"/>
      <c r="B13573"/>
    </row>
    <row r="13574" spans="1:2" x14ac:dyDescent="0.25">
      <c r="A13574"/>
      <c r="B13574"/>
    </row>
    <row r="13575" spans="1:2" x14ac:dyDescent="0.25">
      <c r="A13575"/>
      <c r="B13575"/>
    </row>
    <row r="13576" spans="1:2" x14ac:dyDescent="0.25">
      <c r="A13576"/>
      <c r="B13576"/>
    </row>
    <row r="13577" spans="1:2" x14ac:dyDescent="0.25">
      <c r="A13577"/>
      <c r="B13577"/>
    </row>
    <row r="13578" spans="1:2" x14ac:dyDescent="0.25">
      <c r="A13578"/>
      <c r="B13578"/>
    </row>
    <row r="13579" spans="1:2" x14ac:dyDescent="0.25">
      <c r="A13579"/>
      <c r="B13579"/>
    </row>
    <row r="13580" spans="1:2" x14ac:dyDescent="0.25">
      <c r="A13580"/>
      <c r="B13580"/>
    </row>
    <row r="13581" spans="1:2" x14ac:dyDescent="0.25">
      <c r="A13581"/>
      <c r="B13581"/>
    </row>
    <row r="13582" spans="1:2" x14ac:dyDescent="0.25">
      <c r="A13582"/>
      <c r="B13582"/>
    </row>
    <row r="13583" spans="1:2" x14ac:dyDescent="0.25">
      <c r="A13583"/>
      <c r="B13583"/>
    </row>
    <row r="13584" spans="1:2" x14ac:dyDescent="0.25">
      <c r="A13584"/>
      <c r="B13584"/>
    </row>
    <row r="13585" spans="1:2" x14ac:dyDescent="0.25">
      <c r="A13585"/>
      <c r="B13585"/>
    </row>
    <row r="13586" spans="1:2" x14ac:dyDescent="0.25">
      <c r="A13586"/>
      <c r="B13586"/>
    </row>
    <row r="13587" spans="1:2" x14ac:dyDescent="0.25">
      <c r="A13587"/>
      <c r="B13587"/>
    </row>
    <row r="13588" spans="1:2" x14ac:dyDescent="0.25">
      <c r="A13588"/>
      <c r="B13588"/>
    </row>
    <row r="13589" spans="1:2" x14ac:dyDescent="0.25">
      <c r="A13589"/>
      <c r="B13589"/>
    </row>
    <row r="13590" spans="1:2" x14ac:dyDescent="0.25">
      <c r="A13590"/>
      <c r="B13590"/>
    </row>
    <row r="13591" spans="1:2" x14ac:dyDescent="0.25">
      <c r="A13591"/>
      <c r="B13591"/>
    </row>
    <row r="13592" spans="1:2" x14ac:dyDescent="0.25">
      <c r="A13592"/>
      <c r="B13592"/>
    </row>
    <row r="13593" spans="1:2" x14ac:dyDescent="0.25">
      <c r="A13593"/>
      <c r="B13593"/>
    </row>
    <row r="13594" spans="1:2" x14ac:dyDescent="0.25">
      <c r="A13594"/>
      <c r="B13594"/>
    </row>
    <row r="13595" spans="1:2" x14ac:dyDescent="0.25">
      <c r="A13595"/>
      <c r="B13595"/>
    </row>
    <row r="13596" spans="1:2" x14ac:dyDescent="0.25">
      <c r="A13596"/>
      <c r="B13596"/>
    </row>
    <row r="13597" spans="1:2" x14ac:dyDescent="0.25">
      <c r="A13597"/>
      <c r="B13597"/>
    </row>
    <row r="13598" spans="1:2" x14ac:dyDescent="0.25">
      <c r="A13598"/>
      <c r="B13598"/>
    </row>
    <row r="13599" spans="1:2" x14ac:dyDescent="0.25">
      <c r="A13599"/>
      <c r="B13599"/>
    </row>
    <row r="13600" spans="1:2" x14ac:dyDescent="0.25">
      <c r="A13600"/>
      <c r="B13600"/>
    </row>
    <row r="13601" spans="1:2" x14ac:dyDescent="0.25">
      <c r="A13601"/>
      <c r="B13601"/>
    </row>
    <row r="13602" spans="1:2" x14ac:dyDescent="0.25">
      <c r="A13602"/>
      <c r="B13602"/>
    </row>
    <row r="13603" spans="1:2" x14ac:dyDescent="0.25">
      <c r="A13603"/>
      <c r="B13603"/>
    </row>
    <row r="13604" spans="1:2" x14ac:dyDescent="0.25">
      <c r="A13604"/>
      <c r="B13604"/>
    </row>
    <row r="13605" spans="1:2" x14ac:dyDescent="0.25">
      <c r="A13605"/>
      <c r="B13605"/>
    </row>
    <row r="13606" spans="1:2" x14ac:dyDescent="0.25">
      <c r="A13606"/>
      <c r="B13606"/>
    </row>
    <row r="13607" spans="1:2" x14ac:dyDescent="0.25">
      <c r="A13607"/>
      <c r="B13607"/>
    </row>
    <row r="13608" spans="1:2" x14ac:dyDescent="0.25">
      <c r="A13608"/>
      <c r="B13608"/>
    </row>
    <row r="13609" spans="1:2" x14ac:dyDescent="0.25">
      <c r="A13609"/>
      <c r="B13609"/>
    </row>
    <row r="13610" spans="1:2" x14ac:dyDescent="0.25">
      <c r="A13610"/>
      <c r="B13610"/>
    </row>
    <row r="13611" spans="1:2" x14ac:dyDescent="0.25">
      <c r="A13611"/>
      <c r="B13611"/>
    </row>
    <row r="13612" spans="1:2" x14ac:dyDescent="0.25">
      <c r="A13612"/>
      <c r="B13612"/>
    </row>
    <row r="13613" spans="1:2" x14ac:dyDescent="0.25">
      <c r="A13613"/>
      <c r="B13613"/>
    </row>
    <row r="13614" spans="1:2" x14ac:dyDescent="0.25">
      <c r="A13614"/>
      <c r="B13614"/>
    </row>
    <row r="13615" spans="1:2" x14ac:dyDescent="0.25">
      <c r="A13615"/>
      <c r="B13615"/>
    </row>
    <row r="13616" spans="1:2" x14ac:dyDescent="0.25">
      <c r="A13616"/>
      <c r="B13616"/>
    </row>
    <row r="13617" spans="1:2" x14ac:dyDescent="0.25">
      <c r="A13617"/>
      <c r="B13617"/>
    </row>
    <row r="13618" spans="1:2" x14ac:dyDescent="0.25">
      <c r="A13618"/>
      <c r="B13618"/>
    </row>
    <row r="13619" spans="1:2" x14ac:dyDescent="0.25">
      <c r="A13619"/>
      <c r="B13619"/>
    </row>
    <row r="13620" spans="1:2" x14ac:dyDescent="0.25">
      <c r="A13620"/>
      <c r="B13620"/>
    </row>
    <row r="13621" spans="1:2" x14ac:dyDescent="0.25">
      <c r="A13621"/>
      <c r="B13621"/>
    </row>
    <row r="13622" spans="1:2" x14ac:dyDescent="0.25">
      <c r="A13622"/>
      <c r="B13622"/>
    </row>
    <row r="13623" spans="1:2" x14ac:dyDescent="0.25">
      <c r="A13623"/>
      <c r="B13623"/>
    </row>
    <row r="13624" spans="1:2" x14ac:dyDescent="0.25">
      <c r="A13624"/>
      <c r="B13624"/>
    </row>
    <row r="13625" spans="1:2" x14ac:dyDescent="0.25">
      <c r="A13625"/>
      <c r="B13625"/>
    </row>
    <row r="13626" spans="1:2" x14ac:dyDescent="0.25">
      <c r="A13626"/>
      <c r="B13626"/>
    </row>
    <row r="13627" spans="1:2" x14ac:dyDescent="0.25">
      <c r="A13627"/>
      <c r="B13627"/>
    </row>
    <row r="13628" spans="1:2" x14ac:dyDescent="0.25">
      <c r="A13628"/>
      <c r="B13628"/>
    </row>
    <row r="13629" spans="1:2" x14ac:dyDescent="0.25">
      <c r="A13629"/>
      <c r="B13629"/>
    </row>
    <row r="13630" spans="1:2" x14ac:dyDescent="0.25">
      <c r="A13630"/>
      <c r="B13630"/>
    </row>
    <row r="13631" spans="1:2" x14ac:dyDescent="0.25">
      <c r="A13631"/>
      <c r="B13631"/>
    </row>
    <row r="13632" spans="1:2" x14ac:dyDescent="0.25">
      <c r="A13632"/>
      <c r="B13632"/>
    </row>
    <row r="13633" spans="1:2" x14ac:dyDescent="0.25">
      <c r="A13633"/>
      <c r="B13633"/>
    </row>
    <row r="13634" spans="1:2" x14ac:dyDescent="0.25">
      <c r="A13634"/>
      <c r="B13634"/>
    </row>
    <row r="13635" spans="1:2" x14ac:dyDescent="0.25">
      <c r="A13635"/>
      <c r="B13635"/>
    </row>
    <row r="13636" spans="1:2" x14ac:dyDescent="0.25">
      <c r="A13636"/>
      <c r="B13636"/>
    </row>
    <row r="13637" spans="1:2" x14ac:dyDescent="0.25">
      <c r="A13637"/>
      <c r="B13637"/>
    </row>
    <row r="13638" spans="1:2" x14ac:dyDescent="0.25">
      <c r="A13638"/>
      <c r="B13638"/>
    </row>
    <row r="13639" spans="1:2" x14ac:dyDescent="0.25">
      <c r="A13639"/>
      <c r="B13639"/>
    </row>
    <row r="13640" spans="1:2" x14ac:dyDescent="0.25">
      <c r="A13640"/>
      <c r="B13640"/>
    </row>
    <row r="13641" spans="1:2" x14ac:dyDescent="0.25">
      <c r="A13641"/>
      <c r="B13641"/>
    </row>
    <row r="13642" spans="1:2" x14ac:dyDescent="0.25">
      <c r="A13642"/>
      <c r="B13642"/>
    </row>
    <row r="13643" spans="1:2" x14ac:dyDescent="0.25">
      <c r="A13643"/>
      <c r="B13643"/>
    </row>
    <row r="13644" spans="1:2" x14ac:dyDescent="0.25">
      <c r="A13644"/>
      <c r="B13644"/>
    </row>
    <row r="13645" spans="1:2" x14ac:dyDescent="0.25">
      <c r="A13645"/>
      <c r="B13645"/>
    </row>
    <row r="13646" spans="1:2" x14ac:dyDescent="0.25">
      <c r="A13646"/>
      <c r="B13646"/>
    </row>
    <row r="13647" spans="1:2" x14ac:dyDescent="0.25">
      <c r="A13647"/>
      <c r="B13647"/>
    </row>
    <row r="13648" spans="1:2" x14ac:dyDescent="0.25">
      <c r="A13648"/>
      <c r="B13648"/>
    </row>
    <row r="13649" spans="1:2" x14ac:dyDescent="0.25">
      <c r="A13649"/>
      <c r="B13649"/>
    </row>
    <row r="13650" spans="1:2" x14ac:dyDescent="0.25">
      <c r="A13650"/>
      <c r="B13650"/>
    </row>
    <row r="13651" spans="1:2" x14ac:dyDescent="0.25">
      <c r="A13651"/>
      <c r="B13651"/>
    </row>
    <row r="13652" spans="1:2" x14ac:dyDescent="0.25">
      <c r="A13652"/>
      <c r="B13652"/>
    </row>
    <row r="13653" spans="1:2" x14ac:dyDescent="0.25">
      <c r="A13653"/>
      <c r="B13653"/>
    </row>
    <row r="13654" spans="1:2" x14ac:dyDescent="0.25">
      <c r="A13654"/>
      <c r="B13654"/>
    </row>
    <row r="13655" spans="1:2" x14ac:dyDescent="0.25">
      <c r="A13655"/>
      <c r="B13655"/>
    </row>
    <row r="13656" spans="1:2" x14ac:dyDescent="0.25">
      <c r="A13656"/>
      <c r="B13656"/>
    </row>
    <row r="13657" spans="1:2" x14ac:dyDescent="0.25">
      <c r="A13657"/>
      <c r="B13657"/>
    </row>
    <row r="13658" spans="1:2" x14ac:dyDescent="0.25">
      <c r="A13658"/>
      <c r="B13658"/>
    </row>
    <row r="13659" spans="1:2" x14ac:dyDescent="0.25">
      <c r="A13659"/>
      <c r="B13659"/>
    </row>
    <row r="13660" spans="1:2" x14ac:dyDescent="0.25">
      <c r="A13660"/>
      <c r="B13660"/>
    </row>
    <row r="13661" spans="1:2" x14ac:dyDescent="0.25">
      <c r="A13661"/>
      <c r="B13661"/>
    </row>
    <row r="13662" spans="1:2" x14ac:dyDescent="0.25">
      <c r="A13662"/>
      <c r="B13662"/>
    </row>
    <row r="13663" spans="1:2" x14ac:dyDescent="0.25">
      <c r="A13663"/>
      <c r="B13663"/>
    </row>
    <row r="13664" spans="1:2" x14ac:dyDescent="0.25">
      <c r="A13664"/>
      <c r="B13664"/>
    </row>
    <row r="13665" spans="1:2" x14ac:dyDescent="0.25">
      <c r="A13665"/>
      <c r="B13665"/>
    </row>
    <row r="13666" spans="1:2" x14ac:dyDescent="0.25">
      <c r="A13666"/>
      <c r="B13666"/>
    </row>
    <row r="13667" spans="1:2" x14ac:dyDescent="0.25">
      <c r="A13667"/>
      <c r="B13667"/>
    </row>
    <row r="13668" spans="1:2" x14ac:dyDescent="0.25">
      <c r="A13668"/>
      <c r="B13668"/>
    </row>
    <row r="13669" spans="1:2" x14ac:dyDescent="0.25">
      <c r="A13669"/>
      <c r="B13669"/>
    </row>
    <row r="13670" spans="1:2" x14ac:dyDescent="0.25">
      <c r="A13670"/>
      <c r="B13670"/>
    </row>
    <row r="13671" spans="1:2" x14ac:dyDescent="0.25">
      <c r="A13671"/>
      <c r="B13671"/>
    </row>
    <row r="13672" spans="1:2" x14ac:dyDescent="0.25">
      <c r="A13672"/>
      <c r="B13672"/>
    </row>
    <row r="13673" spans="1:2" x14ac:dyDescent="0.25">
      <c r="A13673"/>
      <c r="B13673"/>
    </row>
    <row r="13674" spans="1:2" x14ac:dyDescent="0.25">
      <c r="A13674"/>
      <c r="B13674"/>
    </row>
    <row r="13675" spans="1:2" x14ac:dyDescent="0.25">
      <c r="A13675"/>
      <c r="B13675"/>
    </row>
    <row r="13676" spans="1:2" x14ac:dyDescent="0.25">
      <c r="A13676"/>
      <c r="B13676"/>
    </row>
    <row r="13677" spans="1:2" x14ac:dyDescent="0.25">
      <c r="A13677"/>
      <c r="B13677"/>
    </row>
    <row r="13678" spans="1:2" x14ac:dyDescent="0.25">
      <c r="A13678"/>
      <c r="B13678"/>
    </row>
    <row r="13679" spans="1:2" x14ac:dyDescent="0.25">
      <c r="A13679"/>
      <c r="B13679"/>
    </row>
    <row r="13680" spans="1:2" x14ac:dyDescent="0.25">
      <c r="A13680"/>
      <c r="B13680"/>
    </row>
    <row r="13681" spans="1:2" x14ac:dyDescent="0.25">
      <c r="A13681"/>
      <c r="B13681"/>
    </row>
    <row r="13682" spans="1:2" x14ac:dyDescent="0.25">
      <c r="A13682"/>
      <c r="B13682"/>
    </row>
    <row r="13683" spans="1:2" x14ac:dyDescent="0.25">
      <c r="A13683"/>
      <c r="B13683"/>
    </row>
    <row r="13684" spans="1:2" x14ac:dyDescent="0.25">
      <c r="A13684"/>
      <c r="B13684"/>
    </row>
    <row r="13685" spans="1:2" x14ac:dyDescent="0.25">
      <c r="A13685"/>
      <c r="B13685"/>
    </row>
    <row r="13686" spans="1:2" x14ac:dyDescent="0.25">
      <c r="A13686"/>
      <c r="B13686"/>
    </row>
    <row r="13687" spans="1:2" x14ac:dyDescent="0.25">
      <c r="A13687"/>
      <c r="B13687"/>
    </row>
    <row r="13688" spans="1:2" x14ac:dyDescent="0.25">
      <c r="A13688"/>
      <c r="B13688"/>
    </row>
    <row r="13689" spans="1:2" x14ac:dyDescent="0.25">
      <c r="A13689"/>
      <c r="B13689"/>
    </row>
    <row r="13690" spans="1:2" x14ac:dyDescent="0.25">
      <c r="A13690"/>
      <c r="B13690"/>
    </row>
    <row r="13691" spans="1:2" x14ac:dyDescent="0.25">
      <c r="A13691"/>
      <c r="B13691"/>
    </row>
    <row r="13692" spans="1:2" x14ac:dyDescent="0.25">
      <c r="A13692"/>
      <c r="B13692"/>
    </row>
    <row r="13693" spans="1:2" x14ac:dyDescent="0.25">
      <c r="A13693"/>
      <c r="B13693"/>
    </row>
    <row r="13694" spans="1:2" x14ac:dyDescent="0.25">
      <c r="A13694"/>
      <c r="B13694"/>
    </row>
    <row r="13695" spans="1:2" x14ac:dyDescent="0.25">
      <c r="A13695"/>
      <c r="B13695"/>
    </row>
    <row r="13696" spans="1:2" x14ac:dyDescent="0.25">
      <c r="A13696"/>
      <c r="B13696"/>
    </row>
    <row r="13697" spans="1:2" x14ac:dyDescent="0.25">
      <c r="A13697"/>
      <c r="B13697"/>
    </row>
    <row r="13698" spans="1:2" x14ac:dyDescent="0.25">
      <c r="A13698"/>
      <c r="B13698"/>
    </row>
    <row r="13699" spans="1:2" x14ac:dyDescent="0.25">
      <c r="A13699"/>
      <c r="B13699"/>
    </row>
    <row r="13700" spans="1:2" x14ac:dyDescent="0.25">
      <c r="A13700"/>
      <c r="B13700"/>
    </row>
    <row r="13701" spans="1:2" x14ac:dyDescent="0.25">
      <c r="A13701"/>
      <c r="B13701"/>
    </row>
    <row r="13702" spans="1:2" x14ac:dyDescent="0.25">
      <c r="A13702"/>
      <c r="B13702"/>
    </row>
    <row r="13703" spans="1:2" x14ac:dyDescent="0.25">
      <c r="A13703"/>
      <c r="B13703"/>
    </row>
    <row r="13704" spans="1:2" x14ac:dyDescent="0.25">
      <c r="A13704"/>
      <c r="B13704"/>
    </row>
    <row r="13705" spans="1:2" x14ac:dyDescent="0.25">
      <c r="A13705"/>
      <c r="B13705"/>
    </row>
    <row r="13706" spans="1:2" x14ac:dyDescent="0.25">
      <c r="A13706"/>
      <c r="B13706"/>
    </row>
    <row r="13707" spans="1:2" x14ac:dyDescent="0.25">
      <c r="A13707"/>
      <c r="B13707"/>
    </row>
    <row r="13708" spans="1:2" x14ac:dyDescent="0.25">
      <c r="A13708"/>
      <c r="B13708"/>
    </row>
    <row r="13709" spans="1:2" x14ac:dyDescent="0.25">
      <c r="A13709"/>
      <c r="B13709"/>
    </row>
    <row r="13710" spans="1:2" x14ac:dyDescent="0.25">
      <c r="A13710"/>
      <c r="B13710"/>
    </row>
    <row r="13711" spans="1:2" x14ac:dyDescent="0.25">
      <c r="A13711"/>
      <c r="B13711"/>
    </row>
    <row r="13712" spans="1:2" x14ac:dyDescent="0.25">
      <c r="A13712"/>
      <c r="B13712"/>
    </row>
    <row r="13713" spans="1:2" x14ac:dyDescent="0.25">
      <c r="A13713"/>
      <c r="B13713"/>
    </row>
    <row r="13714" spans="1:2" x14ac:dyDescent="0.25">
      <c r="A13714"/>
      <c r="B13714"/>
    </row>
    <row r="13715" spans="1:2" x14ac:dyDescent="0.25">
      <c r="A13715"/>
      <c r="B13715"/>
    </row>
    <row r="13716" spans="1:2" x14ac:dyDescent="0.25">
      <c r="A13716"/>
      <c r="B13716"/>
    </row>
    <row r="13717" spans="1:2" x14ac:dyDescent="0.25">
      <c r="A13717"/>
      <c r="B13717"/>
    </row>
    <row r="13718" spans="1:2" x14ac:dyDescent="0.25">
      <c r="A13718"/>
      <c r="B13718"/>
    </row>
    <row r="13719" spans="1:2" x14ac:dyDescent="0.25">
      <c r="A13719"/>
      <c r="B13719"/>
    </row>
    <row r="13720" spans="1:2" x14ac:dyDescent="0.25">
      <c r="A13720"/>
      <c r="B13720"/>
    </row>
    <row r="13721" spans="1:2" x14ac:dyDescent="0.25">
      <c r="A13721"/>
      <c r="B13721"/>
    </row>
    <row r="13722" spans="1:2" x14ac:dyDescent="0.25">
      <c r="A13722"/>
      <c r="B13722"/>
    </row>
    <row r="13723" spans="1:2" x14ac:dyDescent="0.25">
      <c r="A13723"/>
      <c r="B13723"/>
    </row>
    <row r="13724" spans="1:2" x14ac:dyDescent="0.25">
      <c r="A13724"/>
      <c r="B13724"/>
    </row>
    <row r="13725" spans="1:2" x14ac:dyDescent="0.25">
      <c r="A13725"/>
      <c r="B13725"/>
    </row>
    <row r="13726" spans="1:2" x14ac:dyDescent="0.25">
      <c r="A13726"/>
      <c r="B13726"/>
    </row>
    <row r="13727" spans="1:2" x14ac:dyDescent="0.25">
      <c r="A13727"/>
      <c r="B13727"/>
    </row>
    <row r="13728" spans="1:2" x14ac:dyDescent="0.25">
      <c r="A13728"/>
      <c r="B13728"/>
    </row>
    <row r="13729" spans="1:2" x14ac:dyDescent="0.25">
      <c r="A13729"/>
      <c r="B13729"/>
    </row>
    <row r="13730" spans="1:2" x14ac:dyDescent="0.25">
      <c r="A13730"/>
      <c r="B13730"/>
    </row>
    <row r="13731" spans="1:2" x14ac:dyDescent="0.25">
      <c r="A13731"/>
      <c r="B13731"/>
    </row>
    <row r="13732" spans="1:2" x14ac:dyDescent="0.25">
      <c r="A13732"/>
      <c r="B13732"/>
    </row>
    <row r="13733" spans="1:2" x14ac:dyDescent="0.25">
      <c r="A13733"/>
      <c r="B13733"/>
    </row>
    <row r="13734" spans="1:2" x14ac:dyDescent="0.25">
      <c r="A13734"/>
      <c r="B13734"/>
    </row>
    <row r="13735" spans="1:2" x14ac:dyDescent="0.25">
      <c r="A13735"/>
      <c r="B13735"/>
    </row>
    <row r="13736" spans="1:2" x14ac:dyDescent="0.25">
      <c r="A13736"/>
      <c r="B13736"/>
    </row>
    <row r="13737" spans="1:2" x14ac:dyDescent="0.25">
      <c r="A13737"/>
      <c r="B13737"/>
    </row>
    <row r="13738" spans="1:2" x14ac:dyDescent="0.25">
      <c r="A13738"/>
      <c r="B13738"/>
    </row>
    <row r="13739" spans="1:2" x14ac:dyDescent="0.25">
      <c r="A13739"/>
      <c r="B13739"/>
    </row>
    <row r="13740" spans="1:2" x14ac:dyDescent="0.25">
      <c r="A13740"/>
      <c r="B13740"/>
    </row>
    <row r="13741" spans="1:2" x14ac:dyDescent="0.25">
      <c r="A13741"/>
      <c r="B13741"/>
    </row>
    <row r="13742" spans="1:2" x14ac:dyDescent="0.25">
      <c r="A13742"/>
      <c r="B13742"/>
    </row>
    <row r="13743" spans="1:2" x14ac:dyDescent="0.25">
      <c r="A13743"/>
      <c r="B13743"/>
    </row>
    <row r="13744" spans="1:2" x14ac:dyDescent="0.25">
      <c r="A13744"/>
      <c r="B13744"/>
    </row>
    <row r="13745" spans="1:2" x14ac:dyDescent="0.25">
      <c r="A13745"/>
      <c r="B13745"/>
    </row>
    <row r="13746" spans="1:2" x14ac:dyDescent="0.25">
      <c r="A13746"/>
      <c r="B13746"/>
    </row>
    <row r="13747" spans="1:2" x14ac:dyDescent="0.25">
      <c r="A13747"/>
      <c r="B13747"/>
    </row>
    <row r="13748" spans="1:2" x14ac:dyDescent="0.25">
      <c r="A13748"/>
      <c r="B13748"/>
    </row>
    <row r="13749" spans="1:2" x14ac:dyDescent="0.25">
      <c r="A13749"/>
      <c r="B13749"/>
    </row>
    <row r="13750" spans="1:2" x14ac:dyDescent="0.25">
      <c r="A13750"/>
      <c r="B13750"/>
    </row>
    <row r="13751" spans="1:2" x14ac:dyDescent="0.25">
      <c r="A13751"/>
      <c r="B13751"/>
    </row>
    <row r="13752" spans="1:2" x14ac:dyDescent="0.25">
      <c r="A13752"/>
      <c r="B13752"/>
    </row>
    <row r="13753" spans="1:2" x14ac:dyDescent="0.25">
      <c r="A13753"/>
      <c r="B13753"/>
    </row>
    <row r="13754" spans="1:2" x14ac:dyDescent="0.25">
      <c r="A13754"/>
      <c r="B13754"/>
    </row>
    <row r="13755" spans="1:2" x14ac:dyDescent="0.25">
      <c r="A13755"/>
      <c r="B13755"/>
    </row>
    <row r="13756" spans="1:2" x14ac:dyDescent="0.25">
      <c r="A13756"/>
      <c r="B13756"/>
    </row>
    <row r="13757" spans="1:2" x14ac:dyDescent="0.25">
      <c r="A13757"/>
      <c r="B13757"/>
    </row>
    <row r="13758" spans="1:2" x14ac:dyDescent="0.25">
      <c r="A13758"/>
      <c r="B13758"/>
    </row>
    <row r="13759" spans="1:2" x14ac:dyDescent="0.25">
      <c r="A13759"/>
      <c r="B13759"/>
    </row>
    <row r="13760" spans="1:2" x14ac:dyDescent="0.25">
      <c r="A13760"/>
      <c r="B13760"/>
    </row>
    <row r="13761" spans="1:2" x14ac:dyDescent="0.25">
      <c r="A13761"/>
      <c r="B13761"/>
    </row>
    <row r="13762" spans="1:2" x14ac:dyDescent="0.25">
      <c r="A13762"/>
      <c r="B13762"/>
    </row>
    <row r="13763" spans="1:2" x14ac:dyDescent="0.25">
      <c r="A13763"/>
      <c r="B13763"/>
    </row>
    <row r="13764" spans="1:2" x14ac:dyDescent="0.25">
      <c r="A13764"/>
      <c r="B13764"/>
    </row>
    <row r="13765" spans="1:2" x14ac:dyDescent="0.25">
      <c r="A13765"/>
      <c r="B13765"/>
    </row>
    <row r="13766" spans="1:2" x14ac:dyDescent="0.25">
      <c r="A13766"/>
      <c r="B13766"/>
    </row>
    <row r="13767" spans="1:2" x14ac:dyDescent="0.25">
      <c r="A13767"/>
      <c r="B13767"/>
    </row>
    <row r="13768" spans="1:2" x14ac:dyDescent="0.25">
      <c r="A13768"/>
      <c r="B13768"/>
    </row>
    <row r="13769" spans="1:2" x14ac:dyDescent="0.25">
      <c r="A13769"/>
      <c r="B13769"/>
    </row>
    <row r="13770" spans="1:2" x14ac:dyDescent="0.25">
      <c r="A13770"/>
      <c r="B13770"/>
    </row>
    <row r="13771" spans="1:2" x14ac:dyDescent="0.25">
      <c r="A13771"/>
      <c r="B13771"/>
    </row>
    <row r="13772" spans="1:2" x14ac:dyDescent="0.25">
      <c r="A13772"/>
      <c r="B13772"/>
    </row>
    <row r="13773" spans="1:2" x14ac:dyDescent="0.25">
      <c r="A13773"/>
      <c r="B13773"/>
    </row>
    <row r="13774" spans="1:2" x14ac:dyDescent="0.25">
      <c r="A13774"/>
      <c r="B13774"/>
    </row>
    <row r="13775" spans="1:2" x14ac:dyDescent="0.25">
      <c r="A13775"/>
      <c r="B13775"/>
    </row>
    <row r="13776" spans="1:2" x14ac:dyDescent="0.25">
      <c r="A13776"/>
      <c r="B13776"/>
    </row>
    <row r="13777" spans="1:2" x14ac:dyDescent="0.25">
      <c r="A13777"/>
      <c r="B13777"/>
    </row>
    <row r="13778" spans="1:2" x14ac:dyDescent="0.25">
      <c r="A13778"/>
      <c r="B13778"/>
    </row>
    <row r="13779" spans="1:2" x14ac:dyDescent="0.25">
      <c r="A13779"/>
      <c r="B13779"/>
    </row>
    <row r="13780" spans="1:2" x14ac:dyDescent="0.25">
      <c r="A13780"/>
      <c r="B13780"/>
    </row>
    <row r="13781" spans="1:2" x14ac:dyDescent="0.25">
      <c r="A13781"/>
      <c r="B13781"/>
    </row>
    <row r="13782" spans="1:2" x14ac:dyDescent="0.25">
      <c r="A13782"/>
      <c r="B13782"/>
    </row>
    <row r="13783" spans="1:2" x14ac:dyDescent="0.25">
      <c r="A13783"/>
      <c r="B13783"/>
    </row>
    <row r="13784" spans="1:2" x14ac:dyDescent="0.25">
      <c r="A13784"/>
      <c r="B13784"/>
    </row>
    <row r="13785" spans="1:2" x14ac:dyDescent="0.25">
      <c r="A13785"/>
      <c r="B13785"/>
    </row>
    <row r="13786" spans="1:2" x14ac:dyDescent="0.25">
      <c r="A13786"/>
      <c r="B13786"/>
    </row>
    <row r="13787" spans="1:2" x14ac:dyDescent="0.25">
      <c r="A13787"/>
      <c r="B13787"/>
    </row>
    <row r="13788" spans="1:2" x14ac:dyDescent="0.25">
      <c r="A13788"/>
      <c r="B13788"/>
    </row>
    <row r="13789" spans="1:2" x14ac:dyDescent="0.25">
      <c r="A13789"/>
      <c r="B13789"/>
    </row>
    <row r="13790" spans="1:2" x14ac:dyDescent="0.25">
      <c r="A13790"/>
      <c r="B13790"/>
    </row>
    <row r="13791" spans="1:2" x14ac:dyDescent="0.25">
      <c r="A13791"/>
      <c r="B13791"/>
    </row>
    <row r="13792" spans="1:2" x14ac:dyDescent="0.25">
      <c r="A13792"/>
      <c r="B13792"/>
    </row>
    <row r="13793" spans="1:2" x14ac:dyDescent="0.25">
      <c r="A13793"/>
      <c r="B13793"/>
    </row>
    <row r="13794" spans="1:2" x14ac:dyDescent="0.25">
      <c r="A13794"/>
      <c r="B13794"/>
    </row>
    <row r="13795" spans="1:2" x14ac:dyDescent="0.25">
      <c r="A13795"/>
      <c r="B13795"/>
    </row>
    <row r="13796" spans="1:2" x14ac:dyDescent="0.25">
      <c r="A13796"/>
      <c r="B13796"/>
    </row>
    <row r="13797" spans="1:2" x14ac:dyDescent="0.25">
      <c r="A13797"/>
      <c r="B13797"/>
    </row>
    <row r="13798" spans="1:2" x14ac:dyDescent="0.25">
      <c r="A13798"/>
      <c r="B13798"/>
    </row>
    <row r="13799" spans="1:2" x14ac:dyDescent="0.25">
      <c r="A13799"/>
      <c r="B13799"/>
    </row>
    <row r="13800" spans="1:2" x14ac:dyDescent="0.25">
      <c r="A13800"/>
      <c r="B13800"/>
    </row>
    <row r="13801" spans="1:2" x14ac:dyDescent="0.25">
      <c r="A13801"/>
      <c r="B13801"/>
    </row>
    <row r="13802" spans="1:2" x14ac:dyDescent="0.25">
      <c r="A13802"/>
      <c r="B13802"/>
    </row>
    <row r="13803" spans="1:2" x14ac:dyDescent="0.25">
      <c r="A13803"/>
      <c r="B13803"/>
    </row>
    <row r="13804" spans="1:2" x14ac:dyDescent="0.25">
      <c r="A13804"/>
      <c r="B13804"/>
    </row>
    <row r="13805" spans="1:2" x14ac:dyDescent="0.25">
      <c r="A13805"/>
      <c r="B13805"/>
    </row>
    <row r="13806" spans="1:2" x14ac:dyDescent="0.25">
      <c r="A13806"/>
      <c r="B13806"/>
    </row>
    <row r="13807" spans="1:2" x14ac:dyDescent="0.25">
      <c r="A13807"/>
      <c r="B13807"/>
    </row>
    <row r="13808" spans="1:2" x14ac:dyDescent="0.25">
      <c r="A13808"/>
      <c r="B13808"/>
    </row>
    <row r="13809" spans="1:2" x14ac:dyDescent="0.25">
      <c r="A13809"/>
      <c r="B13809"/>
    </row>
    <row r="13810" spans="1:2" x14ac:dyDescent="0.25">
      <c r="A13810"/>
      <c r="B13810"/>
    </row>
    <row r="13811" spans="1:2" x14ac:dyDescent="0.25">
      <c r="A13811"/>
      <c r="B13811"/>
    </row>
    <row r="13812" spans="1:2" x14ac:dyDescent="0.25">
      <c r="A13812"/>
      <c r="B13812"/>
    </row>
    <row r="13813" spans="1:2" x14ac:dyDescent="0.25">
      <c r="A13813"/>
      <c r="B13813"/>
    </row>
    <row r="13814" spans="1:2" x14ac:dyDescent="0.25">
      <c r="A13814"/>
      <c r="B13814"/>
    </row>
    <row r="13815" spans="1:2" x14ac:dyDescent="0.25">
      <c r="A13815"/>
      <c r="B13815"/>
    </row>
    <row r="13816" spans="1:2" x14ac:dyDescent="0.25">
      <c r="A13816"/>
      <c r="B13816"/>
    </row>
    <row r="13817" spans="1:2" x14ac:dyDescent="0.25">
      <c r="A13817"/>
      <c r="B13817"/>
    </row>
    <row r="13818" spans="1:2" x14ac:dyDescent="0.25">
      <c r="A13818"/>
      <c r="B13818"/>
    </row>
    <row r="13819" spans="1:2" x14ac:dyDescent="0.25">
      <c r="A13819"/>
      <c r="B13819"/>
    </row>
    <row r="13820" spans="1:2" x14ac:dyDescent="0.25">
      <c r="A13820"/>
      <c r="B13820"/>
    </row>
    <row r="13821" spans="1:2" x14ac:dyDescent="0.25">
      <c r="A13821"/>
      <c r="B13821"/>
    </row>
    <row r="13822" spans="1:2" x14ac:dyDescent="0.25">
      <c r="A13822"/>
      <c r="B13822"/>
    </row>
    <row r="13823" spans="1:2" x14ac:dyDescent="0.25">
      <c r="A13823"/>
      <c r="B13823"/>
    </row>
    <row r="13824" spans="1:2" x14ac:dyDescent="0.25">
      <c r="A13824"/>
      <c r="B13824"/>
    </row>
    <row r="13825" spans="1:2" x14ac:dyDescent="0.25">
      <c r="A13825"/>
      <c r="B13825"/>
    </row>
    <row r="13826" spans="1:2" x14ac:dyDescent="0.25">
      <c r="A13826"/>
      <c r="B13826"/>
    </row>
    <row r="13827" spans="1:2" x14ac:dyDescent="0.25">
      <c r="A13827"/>
      <c r="B13827"/>
    </row>
    <row r="13828" spans="1:2" x14ac:dyDescent="0.25">
      <c r="A13828"/>
      <c r="B13828"/>
    </row>
    <row r="13829" spans="1:2" x14ac:dyDescent="0.25">
      <c r="A13829"/>
      <c r="B13829"/>
    </row>
    <row r="13830" spans="1:2" x14ac:dyDescent="0.25">
      <c r="A13830"/>
      <c r="B13830"/>
    </row>
    <row r="13831" spans="1:2" x14ac:dyDescent="0.25">
      <c r="A13831"/>
      <c r="B13831"/>
    </row>
    <row r="13832" spans="1:2" x14ac:dyDescent="0.25">
      <c r="A13832"/>
      <c r="B13832"/>
    </row>
    <row r="13833" spans="1:2" x14ac:dyDescent="0.25">
      <c r="A13833"/>
      <c r="B13833"/>
    </row>
    <row r="13834" spans="1:2" x14ac:dyDescent="0.25">
      <c r="A13834"/>
      <c r="B13834"/>
    </row>
    <row r="13835" spans="1:2" x14ac:dyDescent="0.25">
      <c r="A13835"/>
      <c r="B13835"/>
    </row>
    <row r="13836" spans="1:2" x14ac:dyDescent="0.25">
      <c r="A13836"/>
      <c r="B13836"/>
    </row>
    <row r="13837" spans="1:2" x14ac:dyDescent="0.25">
      <c r="A13837"/>
      <c r="B13837"/>
    </row>
    <row r="13838" spans="1:2" x14ac:dyDescent="0.25">
      <c r="A13838"/>
      <c r="B13838"/>
    </row>
    <row r="13839" spans="1:2" x14ac:dyDescent="0.25">
      <c r="A13839"/>
      <c r="B13839"/>
    </row>
    <row r="13840" spans="1:2" x14ac:dyDescent="0.25">
      <c r="A13840"/>
      <c r="B13840"/>
    </row>
    <row r="13841" spans="1:2" x14ac:dyDescent="0.25">
      <c r="A13841"/>
      <c r="B13841"/>
    </row>
    <row r="13842" spans="1:2" x14ac:dyDescent="0.25">
      <c r="A13842"/>
      <c r="B13842"/>
    </row>
    <row r="13843" spans="1:2" x14ac:dyDescent="0.25">
      <c r="A13843"/>
      <c r="B13843"/>
    </row>
    <row r="13844" spans="1:2" x14ac:dyDescent="0.25">
      <c r="A13844"/>
      <c r="B13844"/>
    </row>
    <row r="13845" spans="1:2" x14ac:dyDescent="0.25">
      <c r="A13845"/>
      <c r="B13845"/>
    </row>
    <row r="13846" spans="1:2" x14ac:dyDescent="0.25">
      <c r="A13846"/>
      <c r="B13846"/>
    </row>
    <row r="13847" spans="1:2" x14ac:dyDescent="0.25">
      <c r="A13847"/>
      <c r="B13847"/>
    </row>
    <row r="13848" spans="1:2" x14ac:dyDescent="0.25">
      <c r="A13848"/>
      <c r="B13848"/>
    </row>
    <row r="13849" spans="1:2" x14ac:dyDescent="0.25">
      <c r="A13849"/>
      <c r="B13849"/>
    </row>
    <row r="13850" spans="1:2" x14ac:dyDescent="0.25">
      <c r="A13850"/>
      <c r="B13850"/>
    </row>
    <row r="13851" spans="1:2" x14ac:dyDescent="0.25">
      <c r="A13851"/>
      <c r="B13851"/>
    </row>
    <row r="13852" spans="1:2" x14ac:dyDescent="0.25">
      <c r="A13852"/>
      <c r="B13852"/>
    </row>
    <row r="13853" spans="1:2" x14ac:dyDescent="0.25">
      <c r="A13853"/>
      <c r="B13853"/>
    </row>
    <row r="13854" spans="1:2" x14ac:dyDescent="0.25">
      <c r="A13854"/>
      <c r="B13854"/>
    </row>
    <row r="13855" spans="1:2" x14ac:dyDescent="0.25">
      <c r="A13855"/>
      <c r="B13855"/>
    </row>
    <row r="13856" spans="1:2" x14ac:dyDescent="0.25">
      <c r="A13856"/>
      <c r="B13856"/>
    </row>
    <row r="13857" spans="1:2" x14ac:dyDescent="0.25">
      <c r="A13857"/>
      <c r="B13857"/>
    </row>
    <row r="13858" spans="1:2" x14ac:dyDescent="0.25">
      <c r="A13858"/>
      <c r="B13858"/>
    </row>
    <row r="13859" spans="1:2" x14ac:dyDescent="0.25">
      <c r="A13859"/>
      <c r="B13859"/>
    </row>
    <row r="13860" spans="1:2" x14ac:dyDescent="0.25">
      <c r="A13860"/>
      <c r="B13860"/>
    </row>
    <row r="13861" spans="1:2" x14ac:dyDescent="0.25">
      <c r="A13861"/>
      <c r="B13861"/>
    </row>
    <row r="13862" spans="1:2" x14ac:dyDescent="0.25">
      <c r="A13862"/>
      <c r="B13862"/>
    </row>
    <row r="13863" spans="1:2" x14ac:dyDescent="0.25">
      <c r="A13863"/>
      <c r="B13863"/>
    </row>
    <row r="13864" spans="1:2" x14ac:dyDescent="0.25">
      <c r="A13864"/>
      <c r="B13864"/>
    </row>
    <row r="13865" spans="1:2" x14ac:dyDescent="0.25">
      <c r="A13865"/>
      <c r="B13865"/>
    </row>
    <row r="13866" spans="1:2" x14ac:dyDescent="0.25">
      <c r="A13866"/>
      <c r="B13866"/>
    </row>
    <row r="13867" spans="1:2" x14ac:dyDescent="0.25">
      <c r="A13867"/>
      <c r="B13867"/>
    </row>
    <row r="13868" spans="1:2" x14ac:dyDescent="0.25">
      <c r="A13868"/>
      <c r="B13868"/>
    </row>
    <row r="13869" spans="1:2" x14ac:dyDescent="0.25">
      <c r="A13869"/>
      <c r="B13869"/>
    </row>
    <row r="13870" spans="1:2" x14ac:dyDescent="0.25">
      <c r="A13870"/>
      <c r="B13870"/>
    </row>
    <row r="13871" spans="1:2" x14ac:dyDescent="0.25">
      <c r="A13871"/>
      <c r="B13871"/>
    </row>
    <row r="13872" spans="1:2" x14ac:dyDescent="0.25">
      <c r="A13872"/>
      <c r="B13872"/>
    </row>
    <row r="13873" spans="1:2" x14ac:dyDescent="0.25">
      <c r="A13873"/>
      <c r="B13873"/>
    </row>
    <row r="13874" spans="1:2" x14ac:dyDescent="0.25">
      <c r="A13874"/>
      <c r="B13874"/>
    </row>
    <row r="13875" spans="1:2" x14ac:dyDescent="0.25">
      <c r="A13875"/>
      <c r="B13875"/>
    </row>
    <row r="13876" spans="1:2" x14ac:dyDescent="0.25">
      <c r="A13876"/>
      <c r="B13876"/>
    </row>
    <row r="13877" spans="1:2" x14ac:dyDescent="0.25">
      <c r="A13877"/>
      <c r="B13877"/>
    </row>
    <row r="13878" spans="1:2" x14ac:dyDescent="0.25">
      <c r="A13878"/>
      <c r="B13878"/>
    </row>
    <row r="13879" spans="1:2" x14ac:dyDescent="0.25">
      <c r="A13879"/>
      <c r="B13879"/>
    </row>
    <row r="13880" spans="1:2" x14ac:dyDescent="0.25">
      <c r="A13880"/>
      <c r="B13880"/>
    </row>
    <row r="13881" spans="1:2" x14ac:dyDescent="0.25">
      <c r="A13881"/>
      <c r="B13881"/>
    </row>
    <row r="13882" spans="1:2" x14ac:dyDescent="0.25">
      <c r="A13882"/>
      <c r="B13882"/>
    </row>
    <row r="13883" spans="1:2" x14ac:dyDescent="0.25">
      <c r="A13883"/>
      <c r="B13883"/>
    </row>
    <row r="13884" spans="1:2" x14ac:dyDescent="0.25">
      <c r="A13884"/>
      <c r="B13884"/>
    </row>
    <row r="13885" spans="1:2" x14ac:dyDescent="0.25">
      <c r="A13885"/>
      <c r="B13885"/>
    </row>
    <row r="13886" spans="1:2" x14ac:dyDescent="0.25">
      <c r="A13886"/>
      <c r="B13886"/>
    </row>
    <row r="13887" spans="1:2" x14ac:dyDescent="0.25">
      <c r="A13887"/>
      <c r="B13887"/>
    </row>
    <row r="13888" spans="1:2" x14ac:dyDescent="0.25">
      <c r="A13888"/>
      <c r="B13888"/>
    </row>
    <row r="13889" spans="1:2" x14ac:dyDescent="0.25">
      <c r="A13889"/>
      <c r="B13889"/>
    </row>
    <row r="13890" spans="1:2" x14ac:dyDescent="0.25">
      <c r="A13890"/>
      <c r="B13890"/>
    </row>
    <row r="13891" spans="1:2" x14ac:dyDescent="0.25">
      <c r="A13891"/>
      <c r="B13891"/>
    </row>
    <row r="13892" spans="1:2" x14ac:dyDescent="0.25">
      <c r="A13892"/>
      <c r="B13892"/>
    </row>
    <row r="13893" spans="1:2" x14ac:dyDescent="0.25">
      <c r="A13893"/>
      <c r="B13893"/>
    </row>
    <row r="13894" spans="1:2" x14ac:dyDescent="0.25">
      <c r="A13894"/>
      <c r="B13894"/>
    </row>
    <row r="13895" spans="1:2" x14ac:dyDescent="0.25">
      <c r="A13895"/>
      <c r="B13895"/>
    </row>
    <row r="13896" spans="1:2" x14ac:dyDescent="0.25">
      <c r="A13896"/>
      <c r="B13896"/>
    </row>
    <row r="13897" spans="1:2" x14ac:dyDescent="0.25">
      <c r="A13897"/>
      <c r="B13897"/>
    </row>
    <row r="13898" spans="1:2" x14ac:dyDescent="0.25">
      <c r="A13898"/>
      <c r="B13898"/>
    </row>
    <row r="13899" spans="1:2" x14ac:dyDescent="0.25">
      <c r="A13899"/>
      <c r="B13899"/>
    </row>
    <row r="13900" spans="1:2" x14ac:dyDescent="0.25">
      <c r="A13900"/>
      <c r="B13900"/>
    </row>
    <row r="13901" spans="1:2" x14ac:dyDescent="0.25">
      <c r="A13901"/>
      <c r="B13901"/>
    </row>
    <row r="13902" spans="1:2" x14ac:dyDescent="0.25">
      <c r="A13902"/>
      <c r="B13902"/>
    </row>
    <row r="13903" spans="1:2" x14ac:dyDescent="0.25">
      <c r="A13903"/>
      <c r="B13903"/>
    </row>
    <row r="13904" spans="1:2" x14ac:dyDescent="0.25">
      <c r="A13904"/>
      <c r="B13904"/>
    </row>
    <row r="13905" spans="1:2" x14ac:dyDescent="0.25">
      <c r="A13905"/>
      <c r="B13905"/>
    </row>
    <row r="13906" spans="1:2" x14ac:dyDescent="0.25">
      <c r="A13906"/>
      <c r="B13906"/>
    </row>
    <row r="13907" spans="1:2" x14ac:dyDescent="0.25">
      <c r="A13907"/>
      <c r="B13907"/>
    </row>
    <row r="13908" spans="1:2" x14ac:dyDescent="0.25">
      <c r="A13908"/>
      <c r="B13908"/>
    </row>
    <row r="13909" spans="1:2" x14ac:dyDescent="0.25">
      <c r="A13909"/>
      <c r="B13909"/>
    </row>
    <row r="13910" spans="1:2" x14ac:dyDescent="0.25">
      <c r="A13910"/>
      <c r="B13910"/>
    </row>
    <row r="13911" spans="1:2" x14ac:dyDescent="0.25">
      <c r="A13911"/>
      <c r="B13911"/>
    </row>
    <row r="13912" spans="1:2" x14ac:dyDescent="0.25">
      <c r="A13912"/>
      <c r="B13912"/>
    </row>
    <row r="13913" spans="1:2" x14ac:dyDescent="0.25">
      <c r="A13913"/>
      <c r="B13913"/>
    </row>
    <row r="13914" spans="1:2" x14ac:dyDescent="0.25">
      <c r="A13914"/>
      <c r="B13914"/>
    </row>
    <row r="13915" spans="1:2" x14ac:dyDescent="0.25">
      <c r="A13915"/>
      <c r="B13915"/>
    </row>
    <row r="13916" spans="1:2" x14ac:dyDescent="0.25">
      <c r="A13916"/>
      <c r="B13916"/>
    </row>
    <row r="13917" spans="1:2" x14ac:dyDescent="0.25">
      <c r="A13917"/>
      <c r="B13917"/>
    </row>
    <row r="13918" spans="1:2" x14ac:dyDescent="0.25">
      <c r="A13918"/>
      <c r="B13918"/>
    </row>
    <row r="13919" spans="1:2" x14ac:dyDescent="0.25">
      <c r="A13919"/>
      <c r="B13919"/>
    </row>
    <row r="13920" spans="1:2" x14ac:dyDescent="0.25">
      <c r="A13920"/>
      <c r="B13920"/>
    </row>
    <row r="13921" spans="1:2" x14ac:dyDescent="0.25">
      <c r="A13921"/>
      <c r="B13921"/>
    </row>
    <row r="13922" spans="1:2" x14ac:dyDescent="0.25">
      <c r="A13922"/>
      <c r="B13922"/>
    </row>
    <row r="13923" spans="1:2" x14ac:dyDescent="0.25">
      <c r="A13923"/>
      <c r="B13923"/>
    </row>
    <row r="13924" spans="1:2" x14ac:dyDescent="0.25">
      <c r="A13924"/>
      <c r="B13924"/>
    </row>
    <row r="13925" spans="1:2" x14ac:dyDescent="0.25">
      <c r="A13925"/>
      <c r="B13925"/>
    </row>
    <row r="13926" spans="1:2" x14ac:dyDescent="0.25">
      <c r="A13926"/>
      <c r="B13926"/>
    </row>
    <row r="13927" spans="1:2" x14ac:dyDescent="0.25">
      <c r="A13927"/>
      <c r="B13927"/>
    </row>
    <row r="13928" spans="1:2" x14ac:dyDescent="0.25">
      <c r="A13928"/>
      <c r="B13928"/>
    </row>
    <row r="13929" spans="1:2" x14ac:dyDescent="0.25">
      <c r="A13929"/>
      <c r="B13929"/>
    </row>
    <row r="13930" spans="1:2" x14ac:dyDescent="0.25">
      <c r="A13930"/>
      <c r="B13930"/>
    </row>
    <row r="13931" spans="1:2" x14ac:dyDescent="0.25">
      <c r="A13931"/>
      <c r="B13931"/>
    </row>
    <row r="13932" spans="1:2" x14ac:dyDescent="0.25">
      <c r="A13932"/>
      <c r="B13932"/>
    </row>
    <row r="13933" spans="1:2" x14ac:dyDescent="0.25">
      <c r="A13933"/>
      <c r="B13933"/>
    </row>
    <row r="13934" spans="1:2" x14ac:dyDescent="0.25">
      <c r="A13934"/>
      <c r="B13934"/>
    </row>
    <row r="13935" spans="1:2" x14ac:dyDescent="0.25">
      <c r="A13935"/>
      <c r="B13935"/>
    </row>
    <row r="13936" spans="1:2" x14ac:dyDescent="0.25">
      <c r="A13936"/>
      <c r="B13936"/>
    </row>
    <row r="13937" spans="1:2" x14ac:dyDescent="0.25">
      <c r="A13937"/>
      <c r="B13937"/>
    </row>
    <row r="13938" spans="1:2" x14ac:dyDescent="0.25">
      <c r="A13938"/>
      <c r="B13938"/>
    </row>
    <row r="13939" spans="1:2" x14ac:dyDescent="0.25">
      <c r="A13939"/>
      <c r="B13939"/>
    </row>
    <row r="13940" spans="1:2" x14ac:dyDescent="0.25">
      <c r="A13940"/>
      <c r="B13940"/>
    </row>
    <row r="13941" spans="1:2" x14ac:dyDescent="0.25">
      <c r="A13941"/>
      <c r="B13941"/>
    </row>
    <row r="13942" spans="1:2" x14ac:dyDescent="0.25">
      <c r="A13942"/>
      <c r="B13942"/>
    </row>
    <row r="13943" spans="1:2" x14ac:dyDescent="0.25">
      <c r="A13943"/>
      <c r="B13943"/>
    </row>
    <row r="13944" spans="1:2" x14ac:dyDescent="0.25">
      <c r="A13944"/>
      <c r="B13944"/>
    </row>
    <row r="13945" spans="1:2" x14ac:dyDescent="0.25">
      <c r="A13945"/>
      <c r="B13945"/>
    </row>
    <row r="13946" spans="1:2" x14ac:dyDescent="0.25">
      <c r="A13946"/>
      <c r="B13946"/>
    </row>
    <row r="13947" spans="1:2" x14ac:dyDescent="0.25">
      <c r="A13947"/>
      <c r="B13947"/>
    </row>
    <row r="13948" spans="1:2" x14ac:dyDescent="0.25">
      <c r="A13948"/>
      <c r="B13948"/>
    </row>
    <row r="13949" spans="1:2" x14ac:dyDescent="0.25">
      <c r="A13949"/>
      <c r="B13949"/>
    </row>
    <row r="13950" spans="1:2" x14ac:dyDescent="0.25">
      <c r="A13950"/>
      <c r="B13950"/>
    </row>
    <row r="13951" spans="1:2" x14ac:dyDescent="0.25">
      <c r="A13951"/>
      <c r="B13951"/>
    </row>
    <row r="13952" spans="1:2" x14ac:dyDescent="0.25">
      <c r="A13952"/>
      <c r="B13952"/>
    </row>
    <row r="13953" spans="1:2" x14ac:dyDescent="0.25">
      <c r="A13953"/>
      <c r="B13953"/>
    </row>
    <row r="13954" spans="1:2" x14ac:dyDescent="0.25">
      <c r="A13954"/>
      <c r="B13954"/>
    </row>
    <row r="13955" spans="1:2" x14ac:dyDescent="0.25">
      <c r="A13955"/>
      <c r="B13955"/>
    </row>
    <row r="13956" spans="1:2" x14ac:dyDescent="0.25">
      <c r="A13956"/>
      <c r="B13956"/>
    </row>
    <row r="13957" spans="1:2" x14ac:dyDescent="0.25">
      <c r="A13957"/>
      <c r="B13957"/>
    </row>
    <row r="13958" spans="1:2" x14ac:dyDescent="0.25">
      <c r="A13958"/>
      <c r="B13958"/>
    </row>
    <row r="13959" spans="1:2" x14ac:dyDescent="0.25">
      <c r="A13959"/>
      <c r="B13959"/>
    </row>
    <row r="13960" spans="1:2" x14ac:dyDescent="0.25">
      <c r="A13960"/>
      <c r="B13960"/>
    </row>
    <row r="13961" spans="1:2" x14ac:dyDescent="0.25">
      <c r="A13961"/>
      <c r="B13961"/>
    </row>
    <row r="13962" spans="1:2" x14ac:dyDescent="0.25">
      <c r="A13962"/>
      <c r="B13962"/>
    </row>
    <row r="13963" spans="1:2" x14ac:dyDescent="0.25">
      <c r="A13963"/>
      <c r="B13963"/>
    </row>
    <row r="13964" spans="1:2" x14ac:dyDescent="0.25">
      <c r="A13964"/>
      <c r="B13964"/>
    </row>
    <row r="13965" spans="1:2" x14ac:dyDescent="0.25">
      <c r="A13965"/>
      <c r="B13965"/>
    </row>
    <row r="13966" spans="1:2" x14ac:dyDescent="0.25">
      <c r="A13966"/>
      <c r="B13966"/>
    </row>
    <row r="13967" spans="1:2" x14ac:dyDescent="0.25">
      <c r="A13967"/>
      <c r="B13967"/>
    </row>
    <row r="13968" spans="1:2" x14ac:dyDescent="0.25">
      <c r="A13968"/>
      <c r="B13968"/>
    </row>
    <row r="13969" spans="1:2" x14ac:dyDescent="0.25">
      <c r="A13969"/>
      <c r="B13969"/>
    </row>
    <row r="13970" spans="1:2" x14ac:dyDescent="0.25">
      <c r="A13970"/>
      <c r="B13970"/>
    </row>
    <row r="13971" spans="1:2" x14ac:dyDescent="0.25">
      <c r="A13971"/>
      <c r="B13971"/>
    </row>
    <row r="13972" spans="1:2" x14ac:dyDescent="0.25">
      <c r="A13972"/>
      <c r="B13972"/>
    </row>
    <row r="13973" spans="1:2" x14ac:dyDescent="0.25">
      <c r="A13973"/>
      <c r="B13973"/>
    </row>
    <row r="13974" spans="1:2" x14ac:dyDescent="0.25">
      <c r="A13974"/>
      <c r="B13974"/>
    </row>
    <row r="13975" spans="1:2" x14ac:dyDescent="0.25">
      <c r="A13975"/>
      <c r="B13975"/>
    </row>
    <row r="13976" spans="1:2" x14ac:dyDescent="0.25">
      <c r="A13976"/>
      <c r="B13976"/>
    </row>
    <row r="13977" spans="1:2" x14ac:dyDescent="0.25">
      <c r="A13977"/>
      <c r="B13977"/>
    </row>
    <row r="13978" spans="1:2" x14ac:dyDescent="0.25">
      <c r="A13978"/>
      <c r="B13978"/>
    </row>
    <row r="13979" spans="1:2" x14ac:dyDescent="0.25">
      <c r="A13979"/>
      <c r="B13979"/>
    </row>
    <row r="13980" spans="1:2" x14ac:dyDescent="0.25">
      <c r="A13980"/>
      <c r="B13980"/>
    </row>
    <row r="13981" spans="1:2" x14ac:dyDescent="0.25">
      <c r="A13981"/>
      <c r="B13981"/>
    </row>
    <row r="13982" spans="1:2" x14ac:dyDescent="0.25">
      <c r="A13982"/>
      <c r="B13982"/>
    </row>
    <row r="13983" spans="1:2" x14ac:dyDescent="0.25">
      <c r="A13983"/>
      <c r="B13983"/>
    </row>
    <row r="13984" spans="1:2" x14ac:dyDescent="0.25">
      <c r="A13984"/>
      <c r="B13984"/>
    </row>
    <row r="13985" spans="1:2" x14ac:dyDescent="0.25">
      <c r="A13985"/>
      <c r="B13985"/>
    </row>
    <row r="13986" spans="1:2" x14ac:dyDescent="0.25">
      <c r="A13986"/>
      <c r="B13986"/>
    </row>
    <row r="13987" spans="1:2" x14ac:dyDescent="0.25">
      <c r="A13987"/>
      <c r="B13987"/>
    </row>
    <row r="13988" spans="1:2" x14ac:dyDescent="0.25">
      <c r="A13988"/>
      <c r="B13988"/>
    </row>
    <row r="13989" spans="1:2" x14ac:dyDescent="0.25">
      <c r="A13989"/>
      <c r="B13989"/>
    </row>
    <row r="13990" spans="1:2" x14ac:dyDescent="0.25">
      <c r="A13990"/>
      <c r="B13990"/>
    </row>
    <row r="13991" spans="1:2" x14ac:dyDescent="0.25">
      <c r="A13991"/>
      <c r="B13991"/>
    </row>
    <row r="13992" spans="1:2" x14ac:dyDescent="0.25">
      <c r="A13992"/>
      <c r="B13992"/>
    </row>
    <row r="13993" spans="1:2" x14ac:dyDescent="0.25">
      <c r="A13993"/>
      <c r="B13993"/>
    </row>
    <row r="13994" spans="1:2" x14ac:dyDescent="0.25">
      <c r="A13994"/>
      <c r="B13994"/>
    </row>
    <row r="13995" spans="1:2" x14ac:dyDescent="0.25">
      <c r="A13995"/>
      <c r="B13995"/>
    </row>
    <row r="13996" spans="1:2" x14ac:dyDescent="0.25">
      <c r="A13996"/>
      <c r="B13996"/>
    </row>
    <row r="13997" spans="1:2" x14ac:dyDescent="0.25">
      <c r="A13997"/>
      <c r="B13997"/>
    </row>
    <row r="13998" spans="1:2" x14ac:dyDescent="0.25">
      <c r="A13998"/>
      <c r="B13998"/>
    </row>
    <row r="13999" spans="1:2" x14ac:dyDescent="0.25">
      <c r="A13999"/>
      <c r="B13999"/>
    </row>
    <row r="14000" spans="1:2" x14ac:dyDescent="0.25">
      <c r="A14000"/>
      <c r="B14000"/>
    </row>
    <row r="14001" spans="1:2" x14ac:dyDescent="0.25">
      <c r="A14001"/>
      <c r="B14001"/>
    </row>
    <row r="14002" spans="1:2" x14ac:dyDescent="0.25">
      <c r="A14002"/>
      <c r="B14002"/>
    </row>
    <row r="14003" spans="1:2" x14ac:dyDescent="0.25">
      <c r="A14003"/>
      <c r="B14003"/>
    </row>
    <row r="14004" spans="1:2" x14ac:dyDescent="0.25">
      <c r="A14004"/>
      <c r="B14004"/>
    </row>
    <row r="14005" spans="1:2" x14ac:dyDescent="0.25">
      <c r="A14005"/>
      <c r="B14005"/>
    </row>
    <row r="14006" spans="1:2" x14ac:dyDescent="0.25">
      <c r="A14006"/>
      <c r="B14006"/>
    </row>
    <row r="14007" spans="1:2" x14ac:dyDescent="0.25">
      <c r="A14007"/>
      <c r="B14007"/>
    </row>
    <row r="14008" spans="1:2" x14ac:dyDescent="0.25">
      <c r="A14008"/>
      <c r="B14008"/>
    </row>
    <row r="14009" spans="1:2" x14ac:dyDescent="0.25">
      <c r="A14009"/>
      <c r="B14009"/>
    </row>
    <row r="14010" spans="1:2" x14ac:dyDescent="0.25">
      <c r="A14010"/>
      <c r="B14010"/>
    </row>
    <row r="14011" spans="1:2" x14ac:dyDescent="0.25">
      <c r="A14011"/>
      <c r="B14011"/>
    </row>
    <row r="14012" spans="1:2" x14ac:dyDescent="0.25">
      <c r="A14012"/>
      <c r="B14012"/>
    </row>
    <row r="14013" spans="1:2" x14ac:dyDescent="0.25">
      <c r="A14013"/>
      <c r="B14013"/>
    </row>
    <row r="14014" spans="1:2" x14ac:dyDescent="0.25">
      <c r="A14014"/>
      <c r="B14014"/>
    </row>
    <row r="14015" spans="1:2" x14ac:dyDescent="0.25">
      <c r="A14015"/>
      <c r="B14015"/>
    </row>
    <row r="14016" spans="1:2" x14ac:dyDescent="0.25">
      <c r="A14016"/>
      <c r="B14016"/>
    </row>
    <row r="14017" spans="1:2" x14ac:dyDescent="0.25">
      <c r="A14017"/>
      <c r="B14017"/>
    </row>
    <row r="14018" spans="1:2" x14ac:dyDescent="0.25">
      <c r="A14018"/>
      <c r="B14018"/>
    </row>
    <row r="14019" spans="1:2" x14ac:dyDescent="0.25">
      <c r="A14019"/>
      <c r="B14019"/>
    </row>
    <row r="14020" spans="1:2" x14ac:dyDescent="0.25">
      <c r="A14020"/>
      <c r="B14020"/>
    </row>
    <row r="14021" spans="1:2" x14ac:dyDescent="0.25">
      <c r="A14021"/>
      <c r="B14021"/>
    </row>
    <row r="14022" spans="1:2" x14ac:dyDescent="0.25">
      <c r="A14022"/>
      <c r="B14022"/>
    </row>
    <row r="14023" spans="1:2" x14ac:dyDescent="0.25">
      <c r="A14023"/>
      <c r="B14023"/>
    </row>
    <row r="14024" spans="1:2" x14ac:dyDescent="0.25">
      <c r="A14024"/>
      <c r="B14024"/>
    </row>
    <row r="14025" spans="1:2" x14ac:dyDescent="0.25">
      <c r="A14025"/>
      <c r="B14025"/>
    </row>
    <row r="14026" spans="1:2" x14ac:dyDescent="0.25">
      <c r="A14026"/>
      <c r="B14026"/>
    </row>
    <row r="14027" spans="1:2" x14ac:dyDescent="0.25">
      <c r="A14027"/>
      <c r="B14027"/>
    </row>
    <row r="14028" spans="1:2" x14ac:dyDescent="0.25">
      <c r="A14028"/>
      <c r="B14028"/>
    </row>
    <row r="14029" spans="1:2" x14ac:dyDescent="0.25">
      <c r="A14029"/>
      <c r="B14029"/>
    </row>
    <row r="14030" spans="1:2" x14ac:dyDescent="0.25">
      <c r="A14030"/>
      <c r="B14030"/>
    </row>
    <row r="14031" spans="1:2" x14ac:dyDescent="0.25">
      <c r="A14031"/>
      <c r="B14031"/>
    </row>
    <row r="14032" spans="1:2" x14ac:dyDescent="0.25">
      <c r="A14032"/>
      <c r="B14032"/>
    </row>
    <row r="14033" spans="1:2" x14ac:dyDescent="0.25">
      <c r="A14033"/>
      <c r="B14033"/>
    </row>
    <row r="14034" spans="1:2" x14ac:dyDescent="0.25">
      <c r="A14034"/>
      <c r="B14034"/>
    </row>
    <row r="14035" spans="1:2" x14ac:dyDescent="0.25">
      <c r="A14035"/>
      <c r="B14035"/>
    </row>
    <row r="14036" spans="1:2" x14ac:dyDescent="0.25">
      <c r="A14036"/>
      <c r="B14036"/>
    </row>
    <row r="14037" spans="1:2" x14ac:dyDescent="0.25">
      <c r="A14037"/>
      <c r="B14037"/>
    </row>
    <row r="14038" spans="1:2" x14ac:dyDescent="0.25">
      <c r="A14038"/>
      <c r="B14038"/>
    </row>
    <row r="14039" spans="1:2" x14ac:dyDescent="0.25">
      <c r="A14039"/>
      <c r="B14039"/>
    </row>
    <row r="14040" spans="1:2" x14ac:dyDescent="0.25">
      <c r="A14040"/>
      <c r="B14040"/>
    </row>
    <row r="14041" spans="1:2" x14ac:dyDescent="0.25">
      <c r="A14041"/>
      <c r="B14041"/>
    </row>
    <row r="14042" spans="1:2" x14ac:dyDescent="0.25">
      <c r="A14042"/>
      <c r="B14042"/>
    </row>
    <row r="14043" spans="1:2" x14ac:dyDescent="0.25">
      <c r="A14043"/>
      <c r="B14043"/>
    </row>
    <row r="14044" spans="1:2" x14ac:dyDescent="0.25">
      <c r="A14044"/>
      <c r="B14044"/>
    </row>
    <row r="14045" spans="1:2" x14ac:dyDescent="0.25">
      <c r="A14045"/>
      <c r="B14045"/>
    </row>
    <row r="14046" spans="1:2" x14ac:dyDescent="0.25">
      <c r="A14046"/>
      <c r="B14046"/>
    </row>
    <row r="14047" spans="1:2" x14ac:dyDescent="0.25">
      <c r="A14047"/>
      <c r="B14047"/>
    </row>
    <row r="14048" spans="1:2" x14ac:dyDescent="0.25">
      <c r="A14048"/>
      <c r="B14048"/>
    </row>
    <row r="14049" spans="1:2" x14ac:dyDescent="0.25">
      <c r="A14049"/>
      <c r="B14049"/>
    </row>
    <row r="14050" spans="1:2" x14ac:dyDescent="0.25">
      <c r="A14050"/>
      <c r="B14050"/>
    </row>
    <row r="14051" spans="1:2" x14ac:dyDescent="0.25">
      <c r="A14051"/>
      <c r="B14051"/>
    </row>
    <row r="14052" spans="1:2" x14ac:dyDescent="0.25">
      <c r="A14052"/>
      <c r="B14052"/>
    </row>
    <row r="14053" spans="1:2" x14ac:dyDescent="0.25">
      <c r="A14053"/>
      <c r="B14053"/>
    </row>
    <row r="14054" spans="1:2" x14ac:dyDescent="0.25">
      <c r="A14054"/>
      <c r="B14054"/>
    </row>
    <row r="14055" spans="1:2" x14ac:dyDescent="0.25">
      <c r="A14055"/>
      <c r="B14055"/>
    </row>
    <row r="14056" spans="1:2" x14ac:dyDescent="0.25">
      <c r="A14056"/>
      <c r="B14056"/>
    </row>
    <row r="14057" spans="1:2" x14ac:dyDescent="0.25">
      <c r="A14057"/>
      <c r="B14057"/>
    </row>
    <row r="14058" spans="1:2" x14ac:dyDescent="0.25">
      <c r="A14058"/>
      <c r="B14058"/>
    </row>
    <row r="14059" spans="1:2" x14ac:dyDescent="0.25">
      <c r="A14059"/>
      <c r="B14059"/>
    </row>
    <row r="14060" spans="1:2" x14ac:dyDescent="0.25">
      <c r="A14060"/>
      <c r="B14060"/>
    </row>
    <row r="14061" spans="1:2" x14ac:dyDescent="0.25">
      <c r="A14061"/>
      <c r="B14061"/>
    </row>
    <row r="14062" spans="1:2" x14ac:dyDescent="0.25">
      <c r="A14062"/>
      <c r="B14062"/>
    </row>
    <row r="14063" spans="1:2" x14ac:dyDescent="0.25">
      <c r="A14063"/>
      <c r="B14063"/>
    </row>
    <row r="14064" spans="1:2" x14ac:dyDescent="0.25">
      <c r="A14064"/>
      <c r="B14064"/>
    </row>
    <row r="14065" spans="1:2" x14ac:dyDescent="0.25">
      <c r="A14065"/>
      <c r="B14065"/>
    </row>
    <row r="14066" spans="1:2" x14ac:dyDescent="0.25">
      <c r="A14066"/>
      <c r="B14066"/>
    </row>
    <row r="14067" spans="1:2" x14ac:dyDescent="0.25">
      <c r="A14067"/>
      <c r="B14067"/>
    </row>
    <row r="14068" spans="1:2" x14ac:dyDescent="0.25">
      <c r="A14068"/>
      <c r="B14068"/>
    </row>
    <row r="14069" spans="1:2" x14ac:dyDescent="0.25">
      <c r="A14069"/>
      <c r="B14069"/>
    </row>
    <row r="14070" spans="1:2" x14ac:dyDescent="0.25">
      <c r="A14070"/>
      <c r="B14070"/>
    </row>
    <row r="14071" spans="1:2" x14ac:dyDescent="0.25">
      <c r="A14071"/>
      <c r="B14071"/>
    </row>
    <row r="14072" spans="1:2" x14ac:dyDescent="0.25">
      <c r="A14072"/>
      <c r="B14072"/>
    </row>
    <row r="14073" spans="1:2" x14ac:dyDescent="0.25">
      <c r="A14073"/>
      <c r="B14073"/>
    </row>
    <row r="14074" spans="1:2" x14ac:dyDescent="0.25">
      <c r="A14074"/>
      <c r="B14074"/>
    </row>
    <row r="14075" spans="1:2" x14ac:dyDescent="0.25">
      <c r="A14075"/>
      <c r="B14075"/>
    </row>
    <row r="14076" spans="1:2" x14ac:dyDescent="0.25">
      <c r="A14076"/>
      <c r="B14076"/>
    </row>
    <row r="14077" spans="1:2" x14ac:dyDescent="0.25">
      <c r="A14077"/>
      <c r="B14077"/>
    </row>
    <row r="14078" spans="1:2" x14ac:dyDescent="0.25">
      <c r="A14078"/>
      <c r="B14078"/>
    </row>
    <row r="14079" spans="1:2" x14ac:dyDescent="0.25">
      <c r="A14079"/>
      <c r="B14079"/>
    </row>
    <row r="14080" spans="1:2" x14ac:dyDescent="0.25">
      <c r="A14080"/>
      <c r="B14080"/>
    </row>
    <row r="14081" spans="1:2" x14ac:dyDescent="0.25">
      <c r="A14081"/>
      <c r="B14081"/>
    </row>
    <row r="14082" spans="1:2" x14ac:dyDescent="0.25">
      <c r="A14082"/>
      <c r="B14082"/>
    </row>
    <row r="14083" spans="1:2" x14ac:dyDescent="0.25">
      <c r="A14083"/>
      <c r="B14083"/>
    </row>
    <row r="14084" spans="1:2" x14ac:dyDescent="0.25">
      <c r="A14084"/>
      <c r="B14084"/>
    </row>
    <row r="14085" spans="1:2" x14ac:dyDescent="0.25">
      <c r="A14085"/>
      <c r="B14085"/>
    </row>
    <row r="14086" spans="1:2" x14ac:dyDescent="0.25">
      <c r="A14086"/>
      <c r="B14086"/>
    </row>
    <row r="14087" spans="1:2" x14ac:dyDescent="0.25">
      <c r="A14087"/>
      <c r="B14087"/>
    </row>
    <row r="14088" spans="1:2" x14ac:dyDescent="0.25">
      <c r="A14088"/>
      <c r="B14088"/>
    </row>
    <row r="14089" spans="1:2" x14ac:dyDescent="0.25">
      <c r="A14089"/>
      <c r="B14089"/>
    </row>
    <row r="14090" spans="1:2" x14ac:dyDescent="0.25">
      <c r="A14090"/>
      <c r="B14090"/>
    </row>
    <row r="14091" spans="1:2" x14ac:dyDescent="0.25">
      <c r="A14091"/>
      <c r="B14091"/>
    </row>
    <row r="14092" spans="1:2" x14ac:dyDescent="0.25">
      <c r="A14092"/>
      <c r="B14092"/>
    </row>
    <row r="14093" spans="1:2" x14ac:dyDescent="0.25">
      <c r="A14093"/>
      <c r="B14093"/>
    </row>
    <row r="14094" spans="1:2" x14ac:dyDescent="0.25">
      <c r="A14094"/>
      <c r="B14094"/>
    </row>
    <row r="14095" spans="1:2" x14ac:dyDescent="0.25">
      <c r="A14095"/>
      <c r="B14095"/>
    </row>
    <row r="14096" spans="1:2" x14ac:dyDescent="0.25">
      <c r="A14096"/>
      <c r="B14096"/>
    </row>
    <row r="14097" spans="1:2" x14ac:dyDescent="0.25">
      <c r="A14097"/>
      <c r="B14097"/>
    </row>
    <row r="14098" spans="1:2" x14ac:dyDescent="0.25">
      <c r="A14098"/>
      <c r="B14098"/>
    </row>
    <row r="14099" spans="1:2" x14ac:dyDescent="0.25">
      <c r="A14099"/>
      <c r="B14099"/>
    </row>
    <row r="14100" spans="1:2" x14ac:dyDescent="0.25">
      <c r="A14100"/>
      <c r="B14100"/>
    </row>
    <row r="14101" spans="1:2" x14ac:dyDescent="0.25">
      <c r="A14101"/>
      <c r="B14101"/>
    </row>
    <row r="14102" spans="1:2" x14ac:dyDescent="0.25">
      <c r="A14102"/>
      <c r="B14102"/>
    </row>
    <row r="14103" spans="1:2" x14ac:dyDescent="0.25">
      <c r="A14103"/>
      <c r="B14103"/>
    </row>
    <row r="14104" spans="1:2" x14ac:dyDescent="0.25">
      <c r="A14104"/>
      <c r="B14104"/>
    </row>
    <row r="14105" spans="1:2" x14ac:dyDescent="0.25">
      <c r="A14105"/>
      <c r="B14105"/>
    </row>
    <row r="14106" spans="1:2" x14ac:dyDescent="0.25">
      <c r="A14106"/>
      <c r="B14106"/>
    </row>
    <row r="14107" spans="1:2" x14ac:dyDescent="0.25">
      <c r="A14107"/>
      <c r="B14107"/>
    </row>
    <row r="14108" spans="1:2" x14ac:dyDescent="0.25">
      <c r="A14108"/>
      <c r="B14108"/>
    </row>
    <row r="14109" spans="1:2" x14ac:dyDescent="0.25">
      <c r="A14109"/>
      <c r="B14109"/>
    </row>
    <row r="14110" spans="1:2" x14ac:dyDescent="0.25">
      <c r="A14110"/>
      <c r="B14110"/>
    </row>
    <row r="14111" spans="1:2" x14ac:dyDescent="0.25">
      <c r="A14111"/>
      <c r="B14111"/>
    </row>
    <row r="14112" spans="1:2" x14ac:dyDescent="0.25">
      <c r="A14112"/>
      <c r="B14112"/>
    </row>
    <row r="14113" spans="1:2" x14ac:dyDescent="0.25">
      <c r="A14113"/>
      <c r="B14113"/>
    </row>
    <row r="14114" spans="1:2" x14ac:dyDescent="0.25">
      <c r="A14114"/>
      <c r="B14114"/>
    </row>
    <row r="14115" spans="1:2" x14ac:dyDescent="0.25">
      <c r="A14115"/>
      <c r="B14115"/>
    </row>
    <row r="14116" spans="1:2" x14ac:dyDescent="0.25">
      <c r="A14116"/>
      <c r="B14116"/>
    </row>
    <row r="14117" spans="1:2" x14ac:dyDescent="0.25">
      <c r="A14117"/>
      <c r="B14117"/>
    </row>
    <row r="14118" spans="1:2" x14ac:dyDescent="0.25">
      <c r="A14118"/>
      <c r="B14118"/>
    </row>
    <row r="14119" spans="1:2" x14ac:dyDescent="0.25">
      <c r="A14119"/>
      <c r="B14119"/>
    </row>
    <row r="14120" spans="1:2" x14ac:dyDescent="0.25">
      <c r="A14120"/>
      <c r="B14120"/>
    </row>
    <row r="14121" spans="1:2" x14ac:dyDescent="0.25">
      <c r="A14121"/>
      <c r="B14121"/>
    </row>
    <row r="14122" spans="1:2" x14ac:dyDescent="0.25">
      <c r="A14122"/>
      <c r="B14122"/>
    </row>
    <row r="14123" spans="1:2" x14ac:dyDescent="0.25">
      <c r="A14123"/>
      <c r="B14123"/>
    </row>
    <row r="14124" spans="1:2" x14ac:dyDescent="0.25">
      <c r="A14124"/>
      <c r="B14124"/>
    </row>
    <row r="14125" spans="1:2" x14ac:dyDescent="0.25">
      <c r="A14125"/>
      <c r="B14125"/>
    </row>
    <row r="14126" spans="1:2" x14ac:dyDescent="0.25">
      <c r="A14126"/>
      <c r="B14126"/>
    </row>
    <row r="14127" spans="1:2" x14ac:dyDescent="0.25">
      <c r="A14127"/>
      <c r="B14127"/>
    </row>
    <row r="14128" spans="1:2" x14ac:dyDescent="0.25">
      <c r="A14128"/>
      <c r="B14128"/>
    </row>
    <row r="14129" spans="1:2" x14ac:dyDescent="0.25">
      <c r="A14129"/>
      <c r="B14129"/>
    </row>
    <row r="14130" spans="1:2" x14ac:dyDescent="0.25">
      <c r="A14130"/>
      <c r="B14130"/>
    </row>
    <row r="14131" spans="1:2" x14ac:dyDescent="0.25">
      <c r="A14131"/>
      <c r="B14131"/>
    </row>
    <row r="14132" spans="1:2" x14ac:dyDescent="0.25">
      <c r="A14132"/>
      <c r="B14132"/>
    </row>
    <row r="14133" spans="1:2" x14ac:dyDescent="0.25">
      <c r="A14133"/>
      <c r="B14133"/>
    </row>
    <row r="14134" spans="1:2" x14ac:dyDescent="0.25">
      <c r="A14134"/>
      <c r="B14134"/>
    </row>
    <row r="14135" spans="1:2" x14ac:dyDescent="0.25">
      <c r="A14135"/>
      <c r="B14135"/>
    </row>
    <row r="14136" spans="1:2" x14ac:dyDescent="0.25">
      <c r="A14136"/>
      <c r="B14136"/>
    </row>
    <row r="14137" spans="1:2" x14ac:dyDescent="0.25">
      <c r="A14137"/>
      <c r="B14137"/>
    </row>
    <row r="14138" spans="1:2" x14ac:dyDescent="0.25">
      <c r="A14138"/>
      <c r="B14138"/>
    </row>
    <row r="14139" spans="1:2" x14ac:dyDescent="0.25">
      <c r="A14139"/>
      <c r="B14139"/>
    </row>
    <row r="14140" spans="1:2" x14ac:dyDescent="0.25">
      <c r="A14140"/>
      <c r="B14140"/>
    </row>
    <row r="14141" spans="1:2" x14ac:dyDescent="0.25">
      <c r="A14141"/>
      <c r="B14141"/>
    </row>
    <row r="14142" spans="1:2" x14ac:dyDescent="0.25">
      <c r="A14142"/>
      <c r="B14142"/>
    </row>
    <row r="14143" spans="1:2" x14ac:dyDescent="0.25">
      <c r="A14143"/>
      <c r="B14143"/>
    </row>
    <row r="14144" spans="1:2" x14ac:dyDescent="0.25">
      <c r="A14144"/>
      <c r="B14144"/>
    </row>
    <row r="14145" spans="1:2" x14ac:dyDescent="0.25">
      <c r="A14145"/>
      <c r="B14145"/>
    </row>
    <row r="14146" spans="1:2" x14ac:dyDescent="0.25">
      <c r="A14146"/>
      <c r="B14146"/>
    </row>
    <row r="14147" spans="1:2" x14ac:dyDescent="0.25">
      <c r="A14147"/>
      <c r="B14147"/>
    </row>
    <row r="14148" spans="1:2" x14ac:dyDescent="0.25">
      <c r="A14148"/>
      <c r="B14148"/>
    </row>
    <row r="14149" spans="1:2" x14ac:dyDescent="0.25">
      <c r="A14149"/>
      <c r="B14149"/>
    </row>
    <row r="14150" spans="1:2" x14ac:dyDescent="0.25">
      <c r="A14150"/>
      <c r="B14150"/>
    </row>
    <row r="14151" spans="1:2" x14ac:dyDescent="0.25">
      <c r="A14151"/>
      <c r="B14151"/>
    </row>
    <row r="14152" spans="1:2" x14ac:dyDescent="0.25">
      <c r="A14152"/>
      <c r="B14152"/>
    </row>
    <row r="14153" spans="1:2" x14ac:dyDescent="0.25">
      <c r="A14153"/>
      <c r="B14153"/>
    </row>
    <row r="14154" spans="1:2" x14ac:dyDescent="0.25">
      <c r="A14154"/>
      <c r="B14154"/>
    </row>
    <row r="14155" spans="1:2" x14ac:dyDescent="0.25">
      <c r="A14155"/>
      <c r="B14155"/>
    </row>
    <row r="14156" spans="1:2" x14ac:dyDescent="0.25">
      <c r="A14156"/>
      <c r="B14156"/>
    </row>
    <row r="14157" spans="1:2" x14ac:dyDescent="0.25">
      <c r="A14157"/>
      <c r="B14157"/>
    </row>
    <row r="14158" spans="1:2" x14ac:dyDescent="0.25">
      <c r="A14158"/>
      <c r="B14158"/>
    </row>
    <row r="14159" spans="1:2" x14ac:dyDescent="0.25">
      <c r="A14159"/>
      <c r="B14159"/>
    </row>
    <row r="14160" spans="1:2" x14ac:dyDescent="0.25">
      <c r="A14160"/>
      <c r="B14160"/>
    </row>
    <row r="14161" spans="1:2" x14ac:dyDescent="0.25">
      <c r="A14161"/>
      <c r="B14161"/>
    </row>
    <row r="14162" spans="1:2" x14ac:dyDescent="0.25">
      <c r="A14162"/>
      <c r="B14162"/>
    </row>
    <row r="14163" spans="1:2" x14ac:dyDescent="0.25">
      <c r="A14163"/>
      <c r="B14163"/>
    </row>
    <row r="14164" spans="1:2" x14ac:dyDescent="0.25">
      <c r="A14164"/>
      <c r="B14164"/>
    </row>
    <row r="14165" spans="1:2" x14ac:dyDescent="0.25">
      <c r="A14165"/>
      <c r="B14165"/>
    </row>
    <row r="14166" spans="1:2" x14ac:dyDescent="0.25">
      <c r="A14166"/>
      <c r="B14166"/>
    </row>
    <row r="14167" spans="1:2" x14ac:dyDescent="0.25">
      <c r="A14167"/>
      <c r="B14167"/>
    </row>
    <row r="14168" spans="1:2" x14ac:dyDescent="0.25">
      <c r="A14168"/>
      <c r="B14168"/>
    </row>
    <row r="14169" spans="1:2" x14ac:dyDescent="0.25">
      <c r="A14169"/>
      <c r="B14169"/>
    </row>
    <row r="14170" spans="1:2" x14ac:dyDescent="0.25">
      <c r="A14170"/>
      <c r="B14170"/>
    </row>
    <row r="14171" spans="1:2" x14ac:dyDescent="0.25">
      <c r="A14171"/>
      <c r="B14171"/>
    </row>
    <row r="14172" spans="1:2" x14ac:dyDescent="0.25">
      <c r="A14172"/>
      <c r="B14172"/>
    </row>
    <row r="14173" spans="1:2" x14ac:dyDescent="0.25">
      <c r="A14173"/>
      <c r="B14173"/>
    </row>
    <row r="14174" spans="1:2" x14ac:dyDescent="0.25">
      <c r="A14174"/>
      <c r="B14174"/>
    </row>
    <row r="14175" spans="1:2" x14ac:dyDescent="0.25">
      <c r="A14175"/>
      <c r="B14175"/>
    </row>
    <row r="14176" spans="1:2" x14ac:dyDescent="0.25">
      <c r="A14176"/>
      <c r="B14176"/>
    </row>
    <row r="14177" spans="1:2" x14ac:dyDescent="0.25">
      <c r="A14177"/>
      <c r="B14177"/>
    </row>
    <row r="14178" spans="1:2" x14ac:dyDescent="0.25">
      <c r="A14178"/>
      <c r="B14178"/>
    </row>
    <row r="14179" spans="1:2" x14ac:dyDescent="0.25">
      <c r="A14179"/>
      <c r="B14179"/>
    </row>
    <row r="14180" spans="1:2" x14ac:dyDescent="0.25">
      <c r="A14180"/>
      <c r="B14180"/>
    </row>
    <row r="14181" spans="1:2" x14ac:dyDescent="0.25">
      <c r="A14181"/>
      <c r="B14181"/>
    </row>
    <row r="14182" spans="1:2" x14ac:dyDescent="0.25">
      <c r="A14182"/>
      <c r="B14182"/>
    </row>
    <row r="14183" spans="1:2" x14ac:dyDescent="0.25">
      <c r="A14183"/>
      <c r="B14183"/>
    </row>
    <row r="14184" spans="1:2" x14ac:dyDescent="0.25">
      <c r="A14184"/>
      <c r="B14184"/>
    </row>
    <row r="14185" spans="1:2" x14ac:dyDescent="0.25">
      <c r="A14185"/>
      <c r="B14185"/>
    </row>
    <row r="14186" spans="1:2" x14ac:dyDescent="0.25">
      <c r="A14186"/>
      <c r="B14186"/>
    </row>
    <row r="14187" spans="1:2" x14ac:dyDescent="0.25">
      <c r="A14187"/>
      <c r="B14187"/>
    </row>
    <row r="14188" spans="1:2" x14ac:dyDescent="0.25">
      <c r="A14188"/>
      <c r="B14188"/>
    </row>
    <row r="14189" spans="1:2" x14ac:dyDescent="0.25">
      <c r="A14189"/>
      <c r="B14189"/>
    </row>
    <row r="14190" spans="1:2" x14ac:dyDescent="0.25">
      <c r="A14190"/>
      <c r="B14190"/>
    </row>
    <row r="14191" spans="1:2" x14ac:dyDescent="0.25">
      <c r="A14191"/>
      <c r="B14191"/>
    </row>
    <row r="14192" spans="1:2" x14ac:dyDescent="0.25">
      <c r="A14192"/>
      <c r="B14192"/>
    </row>
    <row r="14193" spans="1:2" x14ac:dyDescent="0.25">
      <c r="A14193"/>
      <c r="B14193"/>
    </row>
    <row r="14194" spans="1:2" x14ac:dyDescent="0.25">
      <c r="A14194"/>
      <c r="B14194"/>
    </row>
    <row r="14195" spans="1:2" x14ac:dyDescent="0.25">
      <c r="A14195"/>
      <c r="B14195"/>
    </row>
    <row r="14196" spans="1:2" x14ac:dyDescent="0.25">
      <c r="A14196"/>
      <c r="B14196"/>
    </row>
    <row r="14197" spans="1:2" x14ac:dyDescent="0.25">
      <c r="A14197"/>
      <c r="B14197"/>
    </row>
    <row r="14198" spans="1:2" x14ac:dyDescent="0.25">
      <c r="A14198"/>
      <c r="B14198"/>
    </row>
    <row r="14199" spans="1:2" x14ac:dyDescent="0.25">
      <c r="A14199"/>
      <c r="B14199"/>
    </row>
    <row r="14200" spans="1:2" x14ac:dyDescent="0.25">
      <c r="A14200"/>
      <c r="B14200"/>
    </row>
    <row r="14201" spans="1:2" x14ac:dyDescent="0.25">
      <c r="A14201"/>
      <c r="B14201"/>
    </row>
    <row r="14202" spans="1:2" x14ac:dyDescent="0.25">
      <c r="A14202"/>
      <c r="B14202"/>
    </row>
    <row r="14203" spans="1:2" x14ac:dyDescent="0.25">
      <c r="A14203"/>
      <c r="B14203"/>
    </row>
    <row r="14204" spans="1:2" x14ac:dyDescent="0.25">
      <c r="A14204"/>
      <c r="B14204"/>
    </row>
    <row r="14205" spans="1:2" x14ac:dyDescent="0.25">
      <c r="A14205"/>
      <c r="B14205"/>
    </row>
    <row r="14206" spans="1:2" x14ac:dyDescent="0.25">
      <c r="A14206"/>
      <c r="B14206"/>
    </row>
    <row r="14207" spans="1:2" x14ac:dyDescent="0.25">
      <c r="A14207"/>
      <c r="B14207"/>
    </row>
    <row r="14208" spans="1:2" x14ac:dyDescent="0.25">
      <c r="A14208"/>
      <c r="B14208"/>
    </row>
    <row r="14209" spans="1:2" x14ac:dyDescent="0.25">
      <c r="A14209"/>
      <c r="B14209"/>
    </row>
    <row r="14210" spans="1:2" x14ac:dyDescent="0.25">
      <c r="A14210"/>
      <c r="B14210"/>
    </row>
    <row r="14211" spans="1:2" x14ac:dyDescent="0.25">
      <c r="A14211"/>
      <c r="B14211"/>
    </row>
    <row r="14212" spans="1:2" x14ac:dyDescent="0.25">
      <c r="A14212"/>
      <c r="B14212"/>
    </row>
    <row r="14213" spans="1:2" x14ac:dyDescent="0.25">
      <c r="A14213"/>
      <c r="B14213"/>
    </row>
    <row r="14214" spans="1:2" x14ac:dyDescent="0.25">
      <c r="A14214"/>
      <c r="B14214"/>
    </row>
    <row r="14215" spans="1:2" x14ac:dyDescent="0.25">
      <c r="A14215"/>
      <c r="B14215"/>
    </row>
    <row r="14216" spans="1:2" x14ac:dyDescent="0.25">
      <c r="A14216"/>
      <c r="B14216"/>
    </row>
    <row r="14217" spans="1:2" x14ac:dyDescent="0.25">
      <c r="A14217"/>
      <c r="B14217"/>
    </row>
    <row r="14218" spans="1:2" x14ac:dyDescent="0.25">
      <c r="A14218"/>
      <c r="B14218"/>
    </row>
    <row r="14219" spans="1:2" x14ac:dyDescent="0.25">
      <c r="A14219"/>
      <c r="B14219"/>
    </row>
    <row r="14220" spans="1:2" x14ac:dyDescent="0.25">
      <c r="A14220"/>
      <c r="B14220"/>
    </row>
    <row r="14221" spans="1:2" x14ac:dyDescent="0.25">
      <c r="A14221"/>
      <c r="B14221"/>
    </row>
    <row r="14222" spans="1:2" x14ac:dyDescent="0.25">
      <c r="A14222"/>
      <c r="B14222"/>
    </row>
    <row r="14223" spans="1:2" x14ac:dyDescent="0.25">
      <c r="A14223"/>
      <c r="B14223"/>
    </row>
    <row r="14224" spans="1:2" x14ac:dyDescent="0.25">
      <c r="A14224"/>
      <c r="B14224"/>
    </row>
    <row r="14225" spans="1:2" x14ac:dyDescent="0.25">
      <c r="A14225"/>
      <c r="B14225"/>
    </row>
    <row r="14226" spans="1:2" x14ac:dyDescent="0.25">
      <c r="A14226"/>
      <c r="B14226"/>
    </row>
    <row r="14227" spans="1:2" x14ac:dyDescent="0.25">
      <c r="A14227"/>
      <c r="B14227"/>
    </row>
    <row r="14228" spans="1:2" x14ac:dyDescent="0.25">
      <c r="A14228"/>
      <c r="B14228"/>
    </row>
    <row r="14229" spans="1:2" x14ac:dyDescent="0.25">
      <c r="A14229"/>
      <c r="B14229"/>
    </row>
    <row r="14230" spans="1:2" x14ac:dyDescent="0.25">
      <c r="A14230"/>
      <c r="B14230"/>
    </row>
    <row r="14231" spans="1:2" x14ac:dyDescent="0.25">
      <c r="A14231"/>
      <c r="B14231"/>
    </row>
    <row r="14232" spans="1:2" x14ac:dyDescent="0.25">
      <c r="A14232"/>
      <c r="B14232"/>
    </row>
    <row r="14233" spans="1:2" x14ac:dyDescent="0.25">
      <c r="A14233"/>
      <c r="B14233"/>
    </row>
    <row r="14234" spans="1:2" x14ac:dyDescent="0.25">
      <c r="A14234"/>
      <c r="B14234"/>
    </row>
    <row r="14235" spans="1:2" x14ac:dyDescent="0.25">
      <c r="A14235"/>
      <c r="B14235"/>
    </row>
    <row r="14236" spans="1:2" x14ac:dyDescent="0.25">
      <c r="A14236"/>
      <c r="B14236"/>
    </row>
    <row r="14237" spans="1:2" x14ac:dyDescent="0.25">
      <c r="A14237"/>
      <c r="B14237"/>
    </row>
    <row r="14238" spans="1:2" x14ac:dyDescent="0.25">
      <c r="A14238"/>
      <c r="B14238"/>
    </row>
    <row r="14239" spans="1:2" x14ac:dyDescent="0.25">
      <c r="A14239"/>
      <c r="B14239"/>
    </row>
    <row r="14240" spans="1:2" x14ac:dyDescent="0.25">
      <c r="A14240"/>
      <c r="B14240"/>
    </row>
    <row r="14241" spans="1:2" x14ac:dyDescent="0.25">
      <c r="A14241"/>
      <c r="B14241"/>
    </row>
    <row r="14242" spans="1:2" x14ac:dyDescent="0.25">
      <c r="A14242"/>
      <c r="B14242"/>
    </row>
    <row r="14243" spans="1:2" x14ac:dyDescent="0.25">
      <c r="A14243"/>
      <c r="B14243"/>
    </row>
    <row r="14244" spans="1:2" x14ac:dyDescent="0.25">
      <c r="A14244"/>
      <c r="B14244"/>
    </row>
    <row r="14245" spans="1:2" x14ac:dyDescent="0.25">
      <c r="A14245"/>
      <c r="B14245"/>
    </row>
    <row r="14246" spans="1:2" x14ac:dyDescent="0.25">
      <c r="A14246"/>
      <c r="B14246"/>
    </row>
    <row r="14247" spans="1:2" x14ac:dyDescent="0.25">
      <c r="A14247"/>
      <c r="B14247"/>
    </row>
    <row r="14248" spans="1:2" x14ac:dyDescent="0.25">
      <c r="A14248"/>
      <c r="B14248"/>
    </row>
    <row r="14249" spans="1:2" x14ac:dyDescent="0.25">
      <c r="A14249"/>
      <c r="B14249"/>
    </row>
    <row r="14250" spans="1:2" x14ac:dyDescent="0.25">
      <c r="A14250"/>
      <c r="B14250"/>
    </row>
    <row r="14251" spans="1:2" x14ac:dyDescent="0.25">
      <c r="A14251"/>
      <c r="B14251"/>
    </row>
    <row r="14252" spans="1:2" x14ac:dyDescent="0.25">
      <c r="A14252"/>
      <c r="B14252"/>
    </row>
    <row r="14253" spans="1:2" x14ac:dyDescent="0.25">
      <c r="A14253"/>
      <c r="B14253"/>
    </row>
    <row r="14254" spans="1:2" x14ac:dyDescent="0.25">
      <c r="A14254"/>
      <c r="B14254"/>
    </row>
    <row r="14255" spans="1:2" x14ac:dyDescent="0.25">
      <c r="A14255"/>
      <c r="B14255"/>
    </row>
    <row r="14256" spans="1:2" x14ac:dyDescent="0.25">
      <c r="A14256"/>
      <c r="B14256"/>
    </row>
    <row r="14257" spans="1:2" x14ac:dyDescent="0.25">
      <c r="A14257"/>
      <c r="B14257"/>
    </row>
    <row r="14258" spans="1:2" x14ac:dyDescent="0.25">
      <c r="A14258"/>
      <c r="B14258"/>
    </row>
    <row r="14259" spans="1:2" x14ac:dyDescent="0.25">
      <c r="A14259"/>
      <c r="B14259"/>
    </row>
    <row r="14260" spans="1:2" x14ac:dyDescent="0.25">
      <c r="A14260"/>
      <c r="B14260"/>
    </row>
    <row r="14261" spans="1:2" x14ac:dyDescent="0.25">
      <c r="A14261"/>
      <c r="B14261"/>
    </row>
    <row r="14262" spans="1:2" x14ac:dyDescent="0.25">
      <c r="A14262"/>
      <c r="B14262"/>
    </row>
    <row r="14263" spans="1:2" x14ac:dyDescent="0.25">
      <c r="A14263"/>
      <c r="B14263"/>
    </row>
    <row r="14264" spans="1:2" x14ac:dyDescent="0.25">
      <c r="A14264"/>
      <c r="B14264"/>
    </row>
    <row r="14265" spans="1:2" x14ac:dyDescent="0.25">
      <c r="A14265"/>
      <c r="B14265"/>
    </row>
    <row r="14266" spans="1:2" x14ac:dyDescent="0.25">
      <c r="A14266"/>
      <c r="B14266"/>
    </row>
    <row r="14267" spans="1:2" x14ac:dyDescent="0.25">
      <c r="A14267"/>
      <c r="B14267"/>
    </row>
    <row r="14268" spans="1:2" x14ac:dyDescent="0.25">
      <c r="A14268"/>
      <c r="B14268"/>
    </row>
    <row r="14269" spans="1:2" x14ac:dyDescent="0.25">
      <c r="A14269"/>
      <c r="B14269"/>
    </row>
    <row r="14270" spans="1:2" x14ac:dyDescent="0.25">
      <c r="A14270"/>
      <c r="B14270"/>
    </row>
    <row r="14271" spans="1:2" x14ac:dyDescent="0.25">
      <c r="A14271"/>
      <c r="B14271"/>
    </row>
    <row r="14272" spans="1:2" x14ac:dyDescent="0.25">
      <c r="A14272"/>
      <c r="B14272"/>
    </row>
    <row r="14273" spans="1:2" x14ac:dyDescent="0.25">
      <c r="A14273"/>
      <c r="B14273"/>
    </row>
    <row r="14274" spans="1:2" x14ac:dyDescent="0.25">
      <c r="A14274"/>
      <c r="B14274"/>
    </row>
    <row r="14275" spans="1:2" x14ac:dyDescent="0.25">
      <c r="A14275"/>
      <c r="B14275"/>
    </row>
    <row r="14276" spans="1:2" x14ac:dyDescent="0.25">
      <c r="A14276"/>
      <c r="B14276"/>
    </row>
    <row r="14277" spans="1:2" x14ac:dyDescent="0.25">
      <c r="A14277"/>
      <c r="B14277"/>
    </row>
    <row r="14278" spans="1:2" x14ac:dyDescent="0.25">
      <c r="A14278"/>
      <c r="B14278"/>
    </row>
    <row r="14279" spans="1:2" x14ac:dyDescent="0.25">
      <c r="A14279"/>
      <c r="B14279"/>
    </row>
    <row r="14280" spans="1:2" x14ac:dyDescent="0.25">
      <c r="A14280"/>
      <c r="B14280"/>
    </row>
    <row r="14281" spans="1:2" x14ac:dyDescent="0.25">
      <c r="A14281"/>
      <c r="B14281"/>
    </row>
    <row r="14282" spans="1:2" x14ac:dyDescent="0.25">
      <c r="A14282"/>
      <c r="B14282"/>
    </row>
    <row r="14283" spans="1:2" x14ac:dyDescent="0.25">
      <c r="A14283"/>
      <c r="B14283"/>
    </row>
    <row r="14284" spans="1:2" x14ac:dyDescent="0.25">
      <c r="A14284"/>
      <c r="B14284"/>
    </row>
    <row r="14285" spans="1:2" x14ac:dyDescent="0.25">
      <c r="A14285"/>
      <c r="B14285"/>
    </row>
    <row r="14286" spans="1:2" x14ac:dyDescent="0.25">
      <c r="A14286"/>
      <c r="B14286"/>
    </row>
    <row r="14287" spans="1:2" x14ac:dyDescent="0.25">
      <c r="A14287"/>
      <c r="B14287"/>
    </row>
    <row r="14288" spans="1:2" x14ac:dyDescent="0.25">
      <c r="A14288"/>
      <c r="B14288"/>
    </row>
    <row r="14289" spans="1:2" x14ac:dyDescent="0.25">
      <c r="A14289"/>
      <c r="B14289"/>
    </row>
    <row r="14290" spans="1:2" x14ac:dyDescent="0.25">
      <c r="A14290"/>
      <c r="B14290"/>
    </row>
    <row r="14291" spans="1:2" x14ac:dyDescent="0.25">
      <c r="A14291"/>
      <c r="B14291"/>
    </row>
    <row r="14292" spans="1:2" x14ac:dyDescent="0.25">
      <c r="A14292"/>
      <c r="B14292"/>
    </row>
    <row r="14293" spans="1:2" x14ac:dyDescent="0.25">
      <c r="A14293"/>
      <c r="B14293"/>
    </row>
    <row r="14294" spans="1:2" x14ac:dyDescent="0.25">
      <c r="A14294"/>
      <c r="B14294"/>
    </row>
    <row r="14295" spans="1:2" x14ac:dyDescent="0.25">
      <c r="A14295"/>
      <c r="B14295"/>
    </row>
    <row r="14296" spans="1:2" x14ac:dyDescent="0.25">
      <c r="A14296"/>
      <c r="B14296"/>
    </row>
    <row r="14297" spans="1:2" x14ac:dyDescent="0.25">
      <c r="A14297"/>
      <c r="B14297"/>
    </row>
    <row r="14298" spans="1:2" x14ac:dyDescent="0.25">
      <c r="A14298"/>
      <c r="B14298"/>
    </row>
    <row r="14299" spans="1:2" x14ac:dyDescent="0.25">
      <c r="A14299"/>
      <c r="B14299"/>
    </row>
    <row r="14300" spans="1:2" x14ac:dyDescent="0.25">
      <c r="A14300"/>
      <c r="B14300"/>
    </row>
    <row r="14301" spans="1:2" x14ac:dyDescent="0.25">
      <c r="A14301"/>
      <c r="B14301"/>
    </row>
    <row r="14302" spans="1:2" x14ac:dyDescent="0.25">
      <c r="A14302"/>
      <c r="B14302"/>
    </row>
    <row r="14303" spans="1:2" x14ac:dyDescent="0.25">
      <c r="A14303"/>
      <c r="B14303"/>
    </row>
    <row r="14304" spans="1:2" x14ac:dyDescent="0.25">
      <c r="A14304"/>
      <c r="B14304"/>
    </row>
    <row r="14305" spans="1:2" x14ac:dyDescent="0.25">
      <c r="A14305"/>
      <c r="B14305"/>
    </row>
    <row r="14306" spans="1:2" x14ac:dyDescent="0.25">
      <c r="A14306"/>
      <c r="B14306"/>
    </row>
    <row r="14307" spans="1:2" x14ac:dyDescent="0.25">
      <c r="A14307"/>
      <c r="B14307"/>
    </row>
    <row r="14308" spans="1:2" x14ac:dyDescent="0.25">
      <c r="A14308"/>
      <c r="B14308"/>
    </row>
    <row r="14309" spans="1:2" x14ac:dyDescent="0.25">
      <c r="A14309"/>
      <c r="B14309"/>
    </row>
    <row r="14310" spans="1:2" x14ac:dyDescent="0.25">
      <c r="A14310"/>
      <c r="B14310"/>
    </row>
    <row r="14311" spans="1:2" x14ac:dyDescent="0.25">
      <c r="A14311"/>
      <c r="B14311"/>
    </row>
    <row r="14312" spans="1:2" x14ac:dyDescent="0.25">
      <c r="A14312"/>
      <c r="B14312"/>
    </row>
    <row r="14313" spans="1:2" x14ac:dyDescent="0.25">
      <c r="A14313"/>
      <c r="B14313"/>
    </row>
    <row r="14314" spans="1:2" x14ac:dyDescent="0.25">
      <c r="A14314"/>
      <c r="B14314"/>
    </row>
    <row r="14315" spans="1:2" x14ac:dyDescent="0.25">
      <c r="A14315"/>
      <c r="B14315"/>
    </row>
    <row r="14316" spans="1:2" x14ac:dyDescent="0.25">
      <c r="A14316"/>
      <c r="B14316"/>
    </row>
    <row r="14317" spans="1:2" x14ac:dyDescent="0.25">
      <c r="A14317"/>
      <c r="B14317"/>
    </row>
    <row r="14318" spans="1:2" x14ac:dyDescent="0.25">
      <c r="A14318"/>
      <c r="B14318"/>
    </row>
    <row r="14319" spans="1:2" x14ac:dyDescent="0.25">
      <c r="A14319"/>
      <c r="B14319"/>
    </row>
    <row r="14320" spans="1:2" x14ac:dyDescent="0.25">
      <c r="A14320"/>
      <c r="B14320"/>
    </row>
    <row r="14321" spans="1:2" x14ac:dyDescent="0.25">
      <c r="A14321"/>
      <c r="B14321"/>
    </row>
    <row r="14322" spans="1:2" x14ac:dyDescent="0.25">
      <c r="A14322"/>
      <c r="B14322"/>
    </row>
    <row r="14323" spans="1:2" x14ac:dyDescent="0.25">
      <c r="A14323"/>
      <c r="B14323"/>
    </row>
    <row r="14324" spans="1:2" x14ac:dyDescent="0.25">
      <c r="A14324"/>
      <c r="B14324"/>
    </row>
    <row r="14325" spans="1:2" x14ac:dyDescent="0.25">
      <c r="A14325"/>
      <c r="B14325"/>
    </row>
    <row r="14326" spans="1:2" x14ac:dyDescent="0.25">
      <c r="A14326"/>
      <c r="B14326"/>
    </row>
    <row r="14327" spans="1:2" x14ac:dyDescent="0.25">
      <c r="A14327"/>
      <c r="B14327"/>
    </row>
    <row r="14328" spans="1:2" x14ac:dyDescent="0.25">
      <c r="A14328"/>
      <c r="B14328"/>
    </row>
    <row r="14329" spans="1:2" x14ac:dyDescent="0.25">
      <c r="A14329"/>
      <c r="B14329"/>
    </row>
    <row r="14330" spans="1:2" x14ac:dyDescent="0.25">
      <c r="A14330"/>
      <c r="B14330"/>
    </row>
    <row r="14331" spans="1:2" x14ac:dyDescent="0.25">
      <c r="A14331"/>
      <c r="B14331"/>
    </row>
    <row r="14332" spans="1:2" x14ac:dyDescent="0.25">
      <c r="A14332"/>
      <c r="B14332"/>
    </row>
    <row r="14333" spans="1:2" x14ac:dyDescent="0.25">
      <c r="A14333"/>
      <c r="B14333"/>
    </row>
    <row r="14334" spans="1:2" x14ac:dyDescent="0.25">
      <c r="A14334"/>
      <c r="B14334"/>
    </row>
    <row r="14335" spans="1:2" x14ac:dyDescent="0.25">
      <c r="A14335"/>
      <c r="B14335"/>
    </row>
    <row r="14336" spans="1:2" x14ac:dyDescent="0.25">
      <c r="A14336"/>
      <c r="B14336"/>
    </row>
    <row r="14337" spans="1:2" x14ac:dyDescent="0.25">
      <c r="A14337"/>
      <c r="B14337"/>
    </row>
    <row r="14338" spans="1:2" x14ac:dyDescent="0.25">
      <c r="A14338"/>
      <c r="B14338"/>
    </row>
    <row r="14339" spans="1:2" x14ac:dyDescent="0.25">
      <c r="A14339"/>
      <c r="B14339"/>
    </row>
    <row r="14340" spans="1:2" x14ac:dyDescent="0.25">
      <c r="A14340"/>
      <c r="B14340"/>
    </row>
    <row r="14341" spans="1:2" x14ac:dyDescent="0.25">
      <c r="A14341"/>
      <c r="B14341"/>
    </row>
    <row r="14342" spans="1:2" x14ac:dyDescent="0.25">
      <c r="A14342"/>
      <c r="B14342"/>
    </row>
    <row r="14343" spans="1:2" x14ac:dyDescent="0.25">
      <c r="A14343"/>
      <c r="B14343"/>
    </row>
    <row r="14344" spans="1:2" x14ac:dyDescent="0.25">
      <c r="A14344"/>
      <c r="B14344"/>
    </row>
    <row r="14345" spans="1:2" x14ac:dyDescent="0.25">
      <c r="A14345"/>
      <c r="B14345"/>
    </row>
    <row r="14346" spans="1:2" x14ac:dyDescent="0.25">
      <c r="A14346"/>
      <c r="B14346"/>
    </row>
    <row r="14347" spans="1:2" x14ac:dyDescent="0.25">
      <c r="A14347"/>
      <c r="B14347"/>
    </row>
    <row r="14348" spans="1:2" x14ac:dyDescent="0.25">
      <c r="A14348"/>
      <c r="B14348"/>
    </row>
    <row r="14349" spans="1:2" x14ac:dyDescent="0.25">
      <c r="A14349"/>
      <c r="B14349"/>
    </row>
    <row r="14350" spans="1:2" x14ac:dyDescent="0.25">
      <c r="A14350"/>
      <c r="B14350"/>
    </row>
    <row r="14351" spans="1:2" x14ac:dyDescent="0.25">
      <c r="A14351"/>
      <c r="B14351"/>
    </row>
    <row r="14352" spans="1:2" x14ac:dyDescent="0.25">
      <c r="A14352"/>
      <c r="B14352"/>
    </row>
    <row r="14353" spans="1:2" x14ac:dyDescent="0.25">
      <c r="A14353"/>
      <c r="B14353"/>
    </row>
    <row r="14354" spans="1:2" x14ac:dyDescent="0.25">
      <c r="A14354"/>
      <c r="B14354"/>
    </row>
    <row r="14355" spans="1:2" x14ac:dyDescent="0.25">
      <c r="A14355"/>
      <c r="B14355"/>
    </row>
    <row r="14356" spans="1:2" x14ac:dyDescent="0.25">
      <c r="A14356"/>
      <c r="B14356"/>
    </row>
    <row r="14357" spans="1:2" x14ac:dyDescent="0.25">
      <c r="A14357"/>
      <c r="B14357"/>
    </row>
    <row r="14358" spans="1:2" x14ac:dyDescent="0.25">
      <c r="A14358"/>
      <c r="B14358"/>
    </row>
    <row r="14359" spans="1:2" x14ac:dyDescent="0.25">
      <c r="A14359"/>
      <c r="B14359"/>
    </row>
    <row r="14360" spans="1:2" x14ac:dyDescent="0.25">
      <c r="A14360"/>
      <c r="B14360"/>
    </row>
    <row r="14361" spans="1:2" x14ac:dyDescent="0.25">
      <c r="A14361"/>
      <c r="B14361"/>
    </row>
    <row r="14362" spans="1:2" x14ac:dyDescent="0.25">
      <c r="A14362"/>
      <c r="B14362"/>
    </row>
    <row r="14363" spans="1:2" x14ac:dyDescent="0.25">
      <c r="A14363"/>
      <c r="B14363"/>
    </row>
    <row r="14364" spans="1:2" x14ac:dyDescent="0.25">
      <c r="A14364"/>
      <c r="B14364"/>
    </row>
    <row r="14365" spans="1:2" x14ac:dyDescent="0.25">
      <c r="A14365"/>
      <c r="B14365"/>
    </row>
    <row r="14366" spans="1:2" x14ac:dyDescent="0.25">
      <c r="A14366"/>
      <c r="B14366"/>
    </row>
    <row r="14367" spans="1:2" x14ac:dyDescent="0.25">
      <c r="A14367"/>
      <c r="B14367"/>
    </row>
    <row r="14368" spans="1:2" x14ac:dyDescent="0.25">
      <c r="A14368"/>
      <c r="B14368"/>
    </row>
    <row r="14369" spans="1:2" x14ac:dyDescent="0.25">
      <c r="A14369"/>
      <c r="B14369"/>
    </row>
    <row r="14370" spans="1:2" x14ac:dyDescent="0.25">
      <c r="A14370"/>
      <c r="B14370"/>
    </row>
    <row r="14371" spans="1:2" x14ac:dyDescent="0.25">
      <c r="A14371"/>
      <c r="B14371"/>
    </row>
    <row r="14372" spans="1:2" x14ac:dyDescent="0.25">
      <c r="A14372"/>
      <c r="B14372"/>
    </row>
    <row r="14373" spans="1:2" x14ac:dyDescent="0.25">
      <c r="A14373"/>
      <c r="B14373"/>
    </row>
    <row r="14374" spans="1:2" x14ac:dyDescent="0.25">
      <c r="A14374"/>
      <c r="B14374"/>
    </row>
    <row r="14375" spans="1:2" x14ac:dyDescent="0.25">
      <c r="A14375"/>
      <c r="B14375"/>
    </row>
    <row r="14376" spans="1:2" x14ac:dyDescent="0.25">
      <c r="A14376"/>
      <c r="B14376"/>
    </row>
    <row r="14377" spans="1:2" x14ac:dyDescent="0.25">
      <c r="A14377"/>
      <c r="B14377"/>
    </row>
    <row r="14378" spans="1:2" x14ac:dyDescent="0.25">
      <c r="A14378"/>
      <c r="B14378"/>
    </row>
    <row r="14379" spans="1:2" x14ac:dyDescent="0.25">
      <c r="A14379"/>
      <c r="B14379"/>
    </row>
    <row r="14380" spans="1:2" x14ac:dyDescent="0.25">
      <c r="A14380"/>
      <c r="B14380"/>
    </row>
    <row r="14381" spans="1:2" x14ac:dyDescent="0.25">
      <c r="A14381"/>
      <c r="B14381"/>
    </row>
    <row r="14382" spans="1:2" x14ac:dyDescent="0.25">
      <c r="A14382"/>
      <c r="B14382"/>
    </row>
    <row r="14383" spans="1:2" x14ac:dyDescent="0.25">
      <c r="A14383"/>
      <c r="B14383"/>
    </row>
    <row r="14384" spans="1:2" x14ac:dyDescent="0.25">
      <c r="A14384"/>
      <c r="B14384"/>
    </row>
    <row r="14385" spans="1:2" x14ac:dyDescent="0.25">
      <c r="A14385"/>
      <c r="B14385"/>
    </row>
    <row r="14386" spans="1:2" x14ac:dyDescent="0.25">
      <c r="A14386"/>
      <c r="B14386"/>
    </row>
    <row r="14387" spans="1:2" x14ac:dyDescent="0.25">
      <c r="A14387"/>
      <c r="B14387"/>
    </row>
    <row r="14388" spans="1:2" x14ac:dyDescent="0.25">
      <c r="A14388"/>
      <c r="B14388"/>
    </row>
    <row r="14389" spans="1:2" x14ac:dyDescent="0.25">
      <c r="A14389"/>
      <c r="B14389"/>
    </row>
    <row r="14390" spans="1:2" x14ac:dyDescent="0.25">
      <c r="A14390"/>
      <c r="B14390"/>
    </row>
    <row r="14391" spans="1:2" x14ac:dyDescent="0.25">
      <c r="A14391"/>
      <c r="B14391"/>
    </row>
    <row r="14392" spans="1:2" x14ac:dyDescent="0.25">
      <c r="A14392"/>
      <c r="B14392"/>
    </row>
    <row r="14393" spans="1:2" x14ac:dyDescent="0.25">
      <c r="A14393"/>
      <c r="B14393"/>
    </row>
    <row r="14394" spans="1:2" x14ac:dyDescent="0.25">
      <c r="A14394"/>
      <c r="B14394"/>
    </row>
    <row r="14395" spans="1:2" x14ac:dyDescent="0.25">
      <c r="A14395"/>
      <c r="B14395"/>
    </row>
    <row r="14396" spans="1:2" x14ac:dyDescent="0.25">
      <c r="A14396"/>
      <c r="B14396"/>
    </row>
    <row r="14397" spans="1:2" x14ac:dyDescent="0.25">
      <c r="A14397"/>
      <c r="B14397"/>
    </row>
    <row r="14398" spans="1:2" x14ac:dyDescent="0.25">
      <c r="A14398"/>
      <c r="B14398"/>
    </row>
    <row r="14399" spans="1:2" x14ac:dyDescent="0.25">
      <c r="A14399"/>
      <c r="B14399"/>
    </row>
    <row r="14400" spans="1:2" x14ac:dyDescent="0.25">
      <c r="A14400"/>
      <c r="B14400"/>
    </row>
    <row r="14401" spans="1:2" x14ac:dyDescent="0.25">
      <c r="A14401"/>
      <c r="B14401"/>
    </row>
    <row r="14402" spans="1:2" x14ac:dyDescent="0.25">
      <c r="A14402"/>
      <c r="B14402"/>
    </row>
    <row r="14403" spans="1:2" x14ac:dyDescent="0.25">
      <c r="A14403"/>
      <c r="B14403"/>
    </row>
    <row r="14404" spans="1:2" x14ac:dyDescent="0.25">
      <c r="A14404"/>
      <c r="B14404"/>
    </row>
    <row r="14405" spans="1:2" x14ac:dyDescent="0.25">
      <c r="A14405"/>
      <c r="B14405"/>
    </row>
    <row r="14406" spans="1:2" x14ac:dyDescent="0.25">
      <c r="A14406"/>
      <c r="B14406"/>
    </row>
    <row r="14407" spans="1:2" x14ac:dyDescent="0.25">
      <c r="A14407"/>
      <c r="B14407"/>
    </row>
    <row r="14408" spans="1:2" x14ac:dyDescent="0.25">
      <c r="A14408"/>
      <c r="B14408"/>
    </row>
    <row r="14409" spans="1:2" x14ac:dyDescent="0.25">
      <c r="A14409"/>
      <c r="B14409"/>
    </row>
    <row r="14410" spans="1:2" x14ac:dyDescent="0.25">
      <c r="A14410"/>
      <c r="B14410"/>
    </row>
    <row r="14411" spans="1:2" x14ac:dyDescent="0.25">
      <c r="A14411"/>
      <c r="B14411"/>
    </row>
    <row r="14412" spans="1:2" x14ac:dyDescent="0.25">
      <c r="A14412"/>
      <c r="B14412"/>
    </row>
    <row r="14413" spans="1:2" x14ac:dyDescent="0.25">
      <c r="A14413"/>
      <c r="B14413"/>
    </row>
    <row r="14414" spans="1:2" x14ac:dyDescent="0.25">
      <c r="A14414"/>
      <c r="B14414"/>
    </row>
    <row r="14415" spans="1:2" x14ac:dyDescent="0.25">
      <c r="A14415"/>
      <c r="B14415"/>
    </row>
    <row r="14416" spans="1:2" x14ac:dyDescent="0.25">
      <c r="A14416"/>
      <c r="B14416"/>
    </row>
    <row r="14417" spans="1:2" x14ac:dyDescent="0.25">
      <c r="A14417"/>
      <c r="B14417"/>
    </row>
    <row r="14418" spans="1:2" x14ac:dyDescent="0.25">
      <c r="A14418"/>
      <c r="B14418"/>
    </row>
    <row r="14419" spans="1:2" x14ac:dyDescent="0.25">
      <c r="A14419"/>
      <c r="B14419"/>
    </row>
    <row r="14420" spans="1:2" x14ac:dyDescent="0.25">
      <c r="A14420"/>
      <c r="B14420"/>
    </row>
    <row r="14421" spans="1:2" x14ac:dyDescent="0.25">
      <c r="A14421"/>
      <c r="B14421"/>
    </row>
    <row r="14422" spans="1:2" x14ac:dyDescent="0.25">
      <c r="A14422"/>
      <c r="B14422"/>
    </row>
    <row r="14423" spans="1:2" x14ac:dyDescent="0.25">
      <c r="A14423"/>
      <c r="B14423"/>
    </row>
    <row r="14424" spans="1:2" x14ac:dyDescent="0.25">
      <c r="A14424"/>
      <c r="B14424"/>
    </row>
    <row r="14425" spans="1:2" x14ac:dyDescent="0.25">
      <c r="A14425"/>
      <c r="B14425"/>
    </row>
    <row r="14426" spans="1:2" x14ac:dyDescent="0.25">
      <c r="A14426"/>
      <c r="B14426"/>
    </row>
    <row r="14427" spans="1:2" x14ac:dyDescent="0.25">
      <c r="A14427"/>
      <c r="B14427"/>
    </row>
    <row r="14428" spans="1:2" x14ac:dyDescent="0.25">
      <c r="A14428"/>
      <c r="B14428"/>
    </row>
    <row r="14429" spans="1:2" x14ac:dyDescent="0.25">
      <c r="A14429"/>
      <c r="B14429"/>
    </row>
    <row r="14430" spans="1:2" x14ac:dyDescent="0.25">
      <c r="A14430"/>
      <c r="B14430"/>
    </row>
    <row r="14431" spans="1:2" x14ac:dyDescent="0.25">
      <c r="A14431"/>
      <c r="B14431"/>
    </row>
    <row r="14432" spans="1:2" x14ac:dyDescent="0.25">
      <c r="A14432"/>
      <c r="B14432"/>
    </row>
    <row r="14433" spans="1:2" x14ac:dyDescent="0.25">
      <c r="A14433"/>
      <c r="B14433"/>
    </row>
    <row r="14434" spans="1:2" x14ac:dyDescent="0.25">
      <c r="A14434"/>
      <c r="B14434"/>
    </row>
    <row r="14435" spans="1:2" x14ac:dyDescent="0.25">
      <c r="A14435"/>
      <c r="B14435"/>
    </row>
    <row r="14436" spans="1:2" x14ac:dyDescent="0.25">
      <c r="A14436"/>
      <c r="B14436"/>
    </row>
    <row r="14437" spans="1:2" x14ac:dyDescent="0.25">
      <c r="A14437"/>
      <c r="B14437"/>
    </row>
    <row r="14438" spans="1:2" x14ac:dyDescent="0.25">
      <c r="A14438"/>
      <c r="B14438"/>
    </row>
    <row r="14439" spans="1:2" x14ac:dyDescent="0.25">
      <c r="A14439"/>
      <c r="B14439"/>
    </row>
    <row r="14440" spans="1:2" x14ac:dyDescent="0.25">
      <c r="A14440"/>
      <c r="B14440"/>
    </row>
    <row r="14441" spans="1:2" x14ac:dyDescent="0.25">
      <c r="A14441"/>
      <c r="B14441"/>
    </row>
    <row r="14442" spans="1:2" x14ac:dyDescent="0.25">
      <c r="A14442"/>
      <c r="B14442"/>
    </row>
    <row r="14443" spans="1:2" x14ac:dyDescent="0.25">
      <c r="A14443"/>
      <c r="B14443"/>
    </row>
    <row r="14444" spans="1:2" x14ac:dyDescent="0.25">
      <c r="A14444"/>
      <c r="B14444"/>
    </row>
    <row r="14445" spans="1:2" x14ac:dyDescent="0.25">
      <c r="A14445"/>
      <c r="B14445"/>
    </row>
    <row r="14446" spans="1:2" x14ac:dyDescent="0.25">
      <c r="A14446"/>
      <c r="B14446"/>
    </row>
    <row r="14447" spans="1:2" x14ac:dyDescent="0.25">
      <c r="A14447"/>
      <c r="B14447"/>
    </row>
    <row r="14448" spans="1:2" x14ac:dyDescent="0.25">
      <c r="A14448"/>
      <c r="B14448"/>
    </row>
    <row r="14449" spans="1:2" x14ac:dyDescent="0.25">
      <c r="A14449"/>
      <c r="B14449"/>
    </row>
    <row r="14450" spans="1:2" x14ac:dyDescent="0.25">
      <c r="A14450"/>
      <c r="B14450"/>
    </row>
    <row r="14451" spans="1:2" x14ac:dyDescent="0.25">
      <c r="A14451"/>
      <c r="B14451"/>
    </row>
    <row r="14452" spans="1:2" x14ac:dyDescent="0.25">
      <c r="A14452"/>
      <c r="B14452"/>
    </row>
    <row r="14453" spans="1:2" x14ac:dyDescent="0.25">
      <c r="A14453"/>
      <c r="B14453"/>
    </row>
    <row r="14454" spans="1:2" x14ac:dyDescent="0.25">
      <c r="A14454"/>
      <c r="B14454"/>
    </row>
    <row r="14455" spans="1:2" x14ac:dyDescent="0.25">
      <c r="A14455"/>
      <c r="B14455"/>
    </row>
    <row r="14456" spans="1:2" x14ac:dyDescent="0.25">
      <c r="A14456"/>
      <c r="B14456"/>
    </row>
    <row r="14457" spans="1:2" x14ac:dyDescent="0.25">
      <c r="A14457"/>
      <c r="B14457"/>
    </row>
    <row r="14458" spans="1:2" x14ac:dyDescent="0.25">
      <c r="A14458"/>
      <c r="B14458"/>
    </row>
    <row r="14459" spans="1:2" x14ac:dyDescent="0.25">
      <c r="A14459"/>
      <c r="B14459"/>
    </row>
    <row r="14460" spans="1:2" x14ac:dyDescent="0.25">
      <c r="A14460"/>
      <c r="B14460"/>
    </row>
    <row r="14461" spans="1:2" x14ac:dyDescent="0.25">
      <c r="A14461"/>
      <c r="B14461"/>
    </row>
    <row r="14462" spans="1:2" x14ac:dyDescent="0.25">
      <c r="A14462"/>
      <c r="B14462"/>
    </row>
    <row r="14463" spans="1:2" x14ac:dyDescent="0.25">
      <c r="A14463"/>
      <c r="B14463"/>
    </row>
    <row r="14464" spans="1:2" x14ac:dyDescent="0.25">
      <c r="A14464"/>
      <c r="B14464"/>
    </row>
    <row r="14465" spans="1:2" x14ac:dyDescent="0.25">
      <c r="A14465"/>
      <c r="B14465"/>
    </row>
    <row r="14466" spans="1:2" x14ac:dyDescent="0.25">
      <c r="A14466"/>
      <c r="B14466"/>
    </row>
    <row r="14467" spans="1:2" x14ac:dyDescent="0.25">
      <c r="A14467"/>
      <c r="B14467"/>
    </row>
    <row r="14468" spans="1:2" x14ac:dyDescent="0.25">
      <c r="A14468"/>
      <c r="B14468"/>
    </row>
    <row r="14469" spans="1:2" x14ac:dyDescent="0.25">
      <c r="A14469"/>
      <c r="B14469"/>
    </row>
    <row r="14470" spans="1:2" x14ac:dyDescent="0.25">
      <c r="A14470"/>
      <c r="B14470"/>
    </row>
    <row r="14471" spans="1:2" x14ac:dyDescent="0.25">
      <c r="A14471"/>
      <c r="B14471"/>
    </row>
    <row r="14472" spans="1:2" x14ac:dyDescent="0.25">
      <c r="A14472"/>
      <c r="B14472"/>
    </row>
    <row r="14473" spans="1:2" x14ac:dyDescent="0.25">
      <c r="A14473"/>
      <c r="B14473"/>
    </row>
    <row r="14474" spans="1:2" x14ac:dyDescent="0.25">
      <c r="A14474"/>
      <c r="B14474"/>
    </row>
    <row r="14475" spans="1:2" x14ac:dyDescent="0.25">
      <c r="A14475"/>
      <c r="B14475"/>
    </row>
    <row r="14476" spans="1:2" x14ac:dyDescent="0.25">
      <c r="A14476"/>
      <c r="B14476"/>
    </row>
    <row r="14477" spans="1:2" x14ac:dyDescent="0.25">
      <c r="A14477"/>
      <c r="B14477"/>
    </row>
    <row r="14478" spans="1:2" x14ac:dyDescent="0.25">
      <c r="A14478"/>
      <c r="B14478"/>
    </row>
    <row r="14479" spans="1:2" x14ac:dyDescent="0.25">
      <c r="A14479"/>
      <c r="B14479"/>
    </row>
    <row r="14480" spans="1:2" x14ac:dyDescent="0.25">
      <c r="A14480"/>
      <c r="B14480"/>
    </row>
    <row r="14481" spans="1:2" x14ac:dyDescent="0.25">
      <c r="A14481"/>
      <c r="B14481"/>
    </row>
    <row r="14482" spans="1:2" x14ac:dyDescent="0.25">
      <c r="A14482"/>
      <c r="B14482"/>
    </row>
    <row r="14483" spans="1:2" x14ac:dyDescent="0.25">
      <c r="A14483"/>
      <c r="B14483"/>
    </row>
    <row r="14484" spans="1:2" x14ac:dyDescent="0.25">
      <c r="A14484"/>
      <c r="B14484"/>
    </row>
    <row r="14485" spans="1:2" x14ac:dyDescent="0.25">
      <c r="A14485"/>
      <c r="B14485"/>
    </row>
    <row r="14486" spans="1:2" x14ac:dyDescent="0.25">
      <c r="A14486"/>
      <c r="B14486"/>
    </row>
    <row r="14487" spans="1:2" x14ac:dyDescent="0.25">
      <c r="A14487"/>
      <c r="B14487"/>
    </row>
    <row r="14488" spans="1:2" x14ac:dyDescent="0.25">
      <c r="A14488"/>
      <c r="B14488"/>
    </row>
    <row r="14489" spans="1:2" x14ac:dyDescent="0.25">
      <c r="A14489"/>
      <c r="B14489"/>
    </row>
    <row r="14490" spans="1:2" x14ac:dyDescent="0.25">
      <c r="A14490"/>
      <c r="B14490"/>
    </row>
    <row r="14491" spans="1:2" x14ac:dyDescent="0.25">
      <c r="A14491"/>
      <c r="B14491"/>
    </row>
    <row r="14492" spans="1:2" x14ac:dyDescent="0.25">
      <c r="A14492"/>
      <c r="B14492"/>
    </row>
    <row r="14493" spans="1:2" x14ac:dyDescent="0.25">
      <c r="A14493"/>
      <c r="B14493"/>
    </row>
    <row r="14494" spans="1:2" x14ac:dyDescent="0.25">
      <c r="A14494"/>
      <c r="B14494"/>
    </row>
    <row r="14495" spans="1:2" x14ac:dyDescent="0.25">
      <c r="A14495"/>
      <c r="B14495"/>
    </row>
    <row r="14496" spans="1:2" x14ac:dyDescent="0.25">
      <c r="A14496"/>
      <c r="B14496"/>
    </row>
    <row r="14497" spans="1:2" x14ac:dyDescent="0.25">
      <c r="A14497"/>
      <c r="B14497"/>
    </row>
    <row r="14498" spans="1:2" x14ac:dyDescent="0.25">
      <c r="A14498"/>
      <c r="B14498"/>
    </row>
    <row r="14499" spans="1:2" x14ac:dyDescent="0.25">
      <c r="A14499"/>
      <c r="B14499"/>
    </row>
    <row r="14500" spans="1:2" x14ac:dyDescent="0.25">
      <c r="A14500"/>
      <c r="B14500"/>
    </row>
    <row r="14501" spans="1:2" x14ac:dyDescent="0.25">
      <c r="A14501"/>
      <c r="B14501"/>
    </row>
    <row r="14502" spans="1:2" x14ac:dyDescent="0.25">
      <c r="A14502"/>
      <c r="B14502"/>
    </row>
    <row r="14503" spans="1:2" x14ac:dyDescent="0.25">
      <c r="A14503"/>
      <c r="B14503"/>
    </row>
    <row r="14504" spans="1:2" x14ac:dyDescent="0.25">
      <c r="A14504"/>
      <c r="B14504"/>
    </row>
    <row r="14505" spans="1:2" x14ac:dyDescent="0.25">
      <c r="A14505"/>
      <c r="B14505"/>
    </row>
    <row r="14506" spans="1:2" x14ac:dyDescent="0.25">
      <c r="A14506"/>
      <c r="B14506"/>
    </row>
    <row r="14507" spans="1:2" x14ac:dyDescent="0.25">
      <c r="A14507"/>
      <c r="B14507"/>
    </row>
    <row r="14508" spans="1:2" x14ac:dyDescent="0.25">
      <c r="A14508"/>
      <c r="B14508"/>
    </row>
    <row r="14509" spans="1:2" x14ac:dyDescent="0.25">
      <c r="A14509"/>
      <c r="B14509"/>
    </row>
    <row r="14510" spans="1:2" x14ac:dyDescent="0.25">
      <c r="A14510"/>
      <c r="B14510"/>
    </row>
    <row r="14511" spans="1:2" x14ac:dyDescent="0.25">
      <c r="A14511"/>
      <c r="B14511"/>
    </row>
    <row r="14512" spans="1:2" x14ac:dyDescent="0.25">
      <c r="A14512"/>
      <c r="B14512"/>
    </row>
    <row r="14513" spans="1:2" x14ac:dyDescent="0.25">
      <c r="A14513"/>
      <c r="B14513"/>
    </row>
    <row r="14514" spans="1:2" x14ac:dyDescent="0.25">
      <c r="A14514"/>
      <c r="B14514"/>
    </row>
    <row r="14515" spans="1:2" x14ac:dyDescent="0.25">
      <c r="A14515"/>
      <c r="B14515"/>
    </row>
    <row r="14516" spans="1:2" x14ac:dyDescent="0.25">
      <c r="A14516"/>
      <c r="B14516"/>
    </row>
    <row r="14517" spans="1:2" x14ac:dyDescent="0.25">
      <c r="A14517"/>
      <c r="B14517"/>
    </row>
    <row r="14518" spans="1:2" x14ac:dyDescent="0.25">
      <c r="A14518"/>
      <c r="B14518"/>
    </row>
    <row r="14519" spans="1:2" x14ac:dyDescent="0.25">
      <c r="A14519"/>
      <c r="B14519"/>
    </row>
    <row r="14520" spans="1:2" x14ac:dyDescent="0.25">
      <c r="A14520"/>
      <c r="B14520"/>
    </row>
    <row r="14521" spans="1:2" x14ac:dyDescent="0.25">
      <c r="A14521"/>
      <c r="B14521"/>
    </row>
    <row r="14522" spans="1:2" x14ac:dyDescent="0.25">
      <c r="A14522"/>
      <c r="B14522"/>
    </row>
    <row r="14523" spans="1:2" x14ac:dyDescent="0.25">
      <c r="A14523"/>
      <c r="B14523"/>
    </row>
    <row r="14524" spans="1:2" x14ac:dyDescent="0.25">
      <c r="A14524"/>
      <c r="B14524"/>
    </row>
    <row r="14525" spans="1:2" x14ac:dyDescent="0.25">
      <c r="A14525"/>
      <c r="B14525"/>
    </row>
    <row r="14526" spans="1:2" x14ac:dyDescent="0.25">
      <c r="A14526"/>
      <c r="B14526"/>
    </row>
    <row r="14527" spans="1:2" x14ac:dyDescent="0.25">
      <c r="A14527"/>
      <c r="B14527"/>
    </row>
    <row r="14528" spans="1:2" x14ac:dyDescent="0.25">
      <c r="A14528"/>
      <c r="B14528"/>
    </row>
    <row r="14529" spans="1:2" x14ac:dyDescent="0.25">
      <c r="A14529"/>
      <c r="B14529"/>
    </row>
    <row r="14530" spans="1:2" x14ac:dyDescent="0.25">
      <c r="A14530"/>
      <c r="B14530"/>
    </row>
    <row r="14531" spans="1:2" x14ac:dyDescent="0.25">
      <c r="A14531"/>
      <c r="B14531"/>
    </row>
    <row r="14532" spans="1:2" x14ac:dyDescent="0.25">
      <c r="A14532"/>
      <c r="B14532"/>
    </row>
    <row r="14533" spans="1:2" x14ac:dyDescent="0.25">
      <c r="A14533"/>
      <c r="B14533"/>
    </row>
    <row r="14534" spans="1:2" x14ac:dyDescent="0.25">
      <c r="A14534"/>
      <c r="B14534"/>
    </row>
    <row r="14535" spans="1:2" x14ac:dyDescent="0.25">
      <c r="A14535"/>
      <c r="B14535"/>
    </row>
    <row r="14536" spans="1:2" x14ac:dyDescent="0.25">
      <c r="A14536"/>
      <c r="B14536"/>
    </row>
    <row r="14537" spans="1:2" x14ac:dyDescent="0.25">
      <c r="A14537"/>
      <c r="B14537"/>
    </row>
    <row r="14538" spans="1:2" x14ac:dyDescent="0.25">
      <c r="A14538"/>
      <c r="B14538"/>
    </row>
    <row r="14539" spans="1:2" x14ac:dyDescent="0.25">
      <c r="A14539"/>
      <c r="B14539"/>
    </row>
    <row r="14540" spans="1:2" x14ac:dyDescent="0.25">
      <c r="A14540"/>
      <c r="B14540"/>
    </row>
    <row r="14541" spans="1:2" x14ac:dyDescent="0.25">
      <c r="A14541"/>
      <c r="B14541"/>
    </row>
    <row r="14542" spans="1:2" x14ac:dyDescent="0.25">
      <c r="A14542"/>
      <c r="B14542"/>
    </row>
    <row r="14543" spans="1:2" x14ac:dyDescent="0.25">
      <c r="A14543"/>
      <c r="B14543"/>
    </row>
    <row r="14544" spans="1:2" x14ac:dyDescent="0.25">
      <c r="A14544"/>
      <c r="B14544"/>
    </row>
    <row r="14545" spans="1:2" x14ac:dyDescent="0.25">
      <c r="A14545"/>
      <c r="B14545"/>
    </row>
    <row r="14546" spans="1:2" x14ac:dyDescent="0.25">
      <c r="A14546"/>
      <c r="B14546"/>
    </row>
    <row r="14547" spans="1:2" x14ac:dyDescent="0.25">
      <c r="A14547"/>
      <c r="B14547"/>
    </row>
    <row r="14548" spans="1:2" x14ac:dyDescent="0.25">
      <c r="A14548"/>
      <c r="B14548"/>
    </row>
    <row r="14549" spans="1:2" x14ac:dyDescent="0.25">
      <c r="A14549"/>
      <c r="B14549"/>
    </row>
    <row r="14550" spans="1:2" x14ac:dyDescent="0.25">
      <c r="A14550"/>
      <c r="B14550"/>
    </row>
    <row r="14551" spans="1:2" x14ac:dyDescent="0.25">
      <c r="A14551"/>
      <c r="B14551"/>
    </row>
    <row r="14552" spans="1:2" x14ac:dyDescent="0.25">
      <c r="A14552"/>
      <c r="B14552"/>
    </row>
    <row r="14553" spans="1:2" x14ac:dyDescent="0.25">
      <c r="A14553"/>
      <c r="B14553"/>
    </row>
    <row r="14554" spans="1:2" x14ac:dyDescent="0.25">
      <c r="A14554"/>
      <c r="B14554"/>
    </row>
    <row r="14555" spans="1:2" x14ac:dyDescent="0.25">
      <c r="A14555"/>
      <c r="B14555"/>
    </row>
    <row r="14556" spans="1:2" x14ac:dyDescent="0.25">
      <c r="A14556"/>
      <c r="B14556"/>
    </row>
    <row r="14557" spans="1:2" x14ac:dyDescent="0.25">
      <c r="A14557"/>
      <c r="B14557"/>
    </row>
    <row r="14558" spans="1:2" x14ac:dyDescent="0.25">
      <c r="A14558"/>
      <c r="B14558"/>
    </row>
    <row r="14559" spans="1:2" x14ac:dyDescent="0.25">
      <c r="A14559"/>
      <c r="B14559"/>
    </row>
    <row r="14560" spans="1:2" x14ac:dyDescent="0.25">
      <c r="A14560"/>
      <c r="B14560"/>
    </row>
    <row r="14561" spans="1:2" x14ac:dyDescent="0.25">
      <c r="A14561"/>
      <c r="B14561"/>
    </row>
    <row r="14562" spans="1:2" x14ac:dyDescent="0.25">
      <c r="A14562"/>
      <c r="B14562"/>
    </row>
    <row r="14563" spans="1:2" x14ac:dyDescent="0.25">
      <c r="A14563"/>
      <c r="B14563"/>
    </row>
    <row r="14564" spans="1:2" x14ac:dyDescent="0.25">
      <c r="A14564"/>
      <c r="B14564"/>
    </row>
    <row r="14565" spans="1:2" x14ac:dyDescent="0.25">
      <c r="A14565"/>
      <c r="B14565"/>
    </row>
    <row r="14566" spans="1:2" x14ac:dyDescent="0.25">
      <c r="A14566"/>
      <c r="B14566"/>
    </row>
    <row r="14567" spans="1:2" x14ac:dyDescent="0.25">
      <c r="A14567"/>
      <c r="B14567"/>
    </row>
    <row r="14568" spans="1:2" x14ac:dyDescent="0.25">
      <c r="A14568"/>
      <c r="B14568"/>
    </row>
    <row r="14569" spans="1:2" x14ac:dyDescent="0.25">
      <c r="A14569"/>
      <c r="B14569"/>
    </row>
    <row r="14570" spans="1:2" x14ac:dyDescent="0.25">
      <c r="A14570"/>
      <c r="B14570"/>
    </row>
    <row r="14571" spans="1:2" x14ac:dyDescent="0.25">
      <c r="A14571"/>
      <c r="B14571"/>
    </row>
    <row r="14572" spans="1:2" x14ac:dyDescent="0.25">
      <c r="A14572"/>
      <c r="B14572"/>
    </row>
    <row r="14573" spans="1:2" x14ac:dyDescent="0.25">
      <c r="A14573"/>
      <c r="B14573"/>
    </row>
    <row r="14574" spans="1:2" x14ac:dyDescent="0.25">
      <c r="A14574"/>
      <c r="B14574"/>
    </row>
    <row r="14575" spans="1:2" x14ac:dyDescent="0.25">
      <c r="A14575"/>
      <c r="B14575"/>
    </row>
    <row r="14576" spans="1:2" x14ac:dyDescent="0.25">
      <c r="A14576"/>
      <c r="B14576"/>
    </row>
    <row r="14577" spans="1:2" x14ac:dyDescent="0.25">
      <c r="A14577"/>
      <c r="B14577"/>
    </row>
    <row r="14578" spans="1:2" x14ac:dyDescent="0.25">
      <c r="A14578"/>
      <c r="B14578"/>
    </row>
    <row r="14579" spans="1:2" x14ac:dyDescent="0.25">
      <c r="A14579"/>
      <c r="B14579"/>
    </row>
    <row r="14580" spans="1:2" x14ac:dyDescent="0.25">
      <c r="A14580"/>
      <c r="B14580"/>
    </row>
    <row r="14581" spans="1:2" x14ac:dyDescent="0.25">
      <c r="A14581"/>
      <c r="B14581"/>
    </row>
    <row r="14582" spans="1:2" x14ac:dyDescent="0.25">
      <c r="A14582"/>
      <c r="B14582"/>
    </row>
    <row r="14583" spans="1:2" x14ac:dyDescent="0.25">
      <c r="A14583"/>
      <c r="B14583"/>
    </row>
    <row r="14584" spans="1:2" x14ac:dyDescent="0.25">
      <c r="A14584"/>
      <c r="B14584"/>
    </row>
    <row r="14585" spans="1:2" x14ac:dyDescent="0.25">
      <c r="A14585"/>
      <c r="B14585"/>
    </row>
    <row r="14586" spans="1:2" x14ac:dyDescent="0.25">
      <c r="A14586"/>
      <c r="B14586"/>
    </row>
    <row r="14587" spans="1:2" x14ac:dyDescent="0.25">
      <c r="A14587"/>
      <c r="B14587"/>
    </row>
    <row r="14588" spans="1:2" x14ac:dyDescent="0.25">
      <c r="A14588"/>
      <c r="B14588"/>
    </row>
    <row r="14589" spans="1:2" x14ac:dyDescent="0.25">
      <c r="A14589"/>
      <c r="B14589"/>
    </row>
    <row r="14590" spans="1:2" x14ac:dyDescent="0.25">
      <c r="A14590"/>
      <c r="B14590"/>
    </row>
    <row r="14591" spans="1:2" x14ac:dyDescent="0.25">
      <c r="A14591"/>
      <c r="B14591"/>
    </row>
    <row r="14592" spans="1:2" x14ac:dyDescent="0.25">
      <c r="A14592"/>
      <c r="B14592"/>
    </row>
    <row r="14593" spans="1:2" x14ac:dyDescent="0.25">
      <c r="A14593"/>
      <c r="B14593"/>
    </row>
    <row r="14594" spans="1:2" x14ac:dyDescent="0.25">
      <c r="A14594"/>
      <c r="B14594"/>
    </row>
    <row r="14595" spans="1:2" x14ac:dyDescent="0.25">
      <c r="A14595"/>
      <c r="B14595"/>
    </row>
    <row r="14596" spans="1:2" x14ac:dyDescent="0.25">
      <c r="A14596"/>
      <c r="B14596"/>
    </row>
    <row r="14597" spans="1:2" x14ac:dyDescent="0.25">
      <c r="A14597"/>
      <c r="B14597"/>
    </row>
    <row r="14598" spans="1:2" x14ac:dyDescent="0.25">
      <c r="A14598"/>
      <c r="B14598"/>
    </row>
    <row r="14599" spans="1:2" x14ac:dyDescent="0.25">
      <c r="A14599"/>
      <c r="B14599"/>
    </row>
    <row r="14600" spans="1:2" x14ac:dyDescent="0.25">
      <c r="A14600"/>
      <c r="B14600"/>
    </row>
    <row r="14601" spans="1:2" x14ac:dyDescent="0.25">
      <c r="A14601"/>
      <c r="B14601"/>
    </row>
    <row r="14602" spans="1:2" x14ac:dyDescent="0.25">
      <c r="A14602"/>
      <c r="B14602"/>
    </row>
    <row r="14603" spans="1:2" x14ac:dyDescent="0.25">
      <c r="A14603"/>
      <c r="B14603"/>
    </row>
    <row r="14604" spans="1:2" x14ac:dyDescent="0.25">
      <c r="A14604"/>
      <c r="B14604"/>
    </row>
    <row r="14605" spans="1:2" x14ac:dyDescent="0.25">
      <c r="A14605"/>
      <c r="B14605"/>
    </row>
    <row r="14606" spans="1:2" x14ac:dyDescent="0.25">
      <c r="A14606"/>
      <c r="B14606"/>
    </row>
    <row r="14607" spans="1:2" x14ac:dyDescent="0.25">
      <c r="A14607"/>
      <c r="B14607"/>
    </row>
    <row r="14608" spans="1:2" x14ac:dyDescent="0.25">
      <c r="A14608"/>
      <c r="B14608"/>
    </row>
    <row r="14609" spans="1:2" x14ac:dyDescent="0.25">
      <c r="A14609"/>
      <c r="B14609"/>
    </row>
    <row r="14610" spans="1:2" x14ac:dyDescent="0.25">
      <c r="A14610"/>
      <c r="B14610"/>
    </row>
    <row r="14611" spans="1:2" x14ac:dyDescent="0.25">
      <c r="A14611"/>
      <c r="B14611"/>
    </row>
    <row r="14612" spans="1:2" x14ac:dyDescent="0.25">
      <c r="A14612"/>
      <c r="B14612"/>
    </row>
    <row r="14613" spans="1:2" x14ac:dyDescent="0.25">
      <c r="A14613"/>
      <c r="B14613"/>
    </row>
    <row r="14614" spans="1:2" x14ac:dyDescent="0.25">
      <c r="A14614"/>
      <c r="B14614"/>
    </row>
    <row r="14615" spans="1:2" x14ac:dyDescent="0.25">
      <c r="A14615"/>
      <c r="B14615"/>
    </row>
    <row r="14616" spans="1:2" x14ac:dyDescent="0.25">
      <c r="A14616"/>
      <c r="B14616"/>
    </row>
    <row r="14617" spans="1:2" x14ac:dyDescent="0.25">
      <c r="A14617"/>
      <c r="B14617"/>
    </row>
    <row r="14618" spans="1:2" x14ac:dyDescent="0.25">
      <c r="A14618"/>
      <c r="B14618"/>
    </row>
    <row r="14619" spans="1:2" x14ac:dyDescent="0.25">
      <c r="A14619"/>
      <c r="B14619"/>
    </row>
    <row r="14620" spans="1:2" x14ac:dyDescent="0.25">
      <c r="A14620"/>
      <c r="B14620"/>
    </row>
    <row r="14621" spans="1:2" x14ac:dyDescent="0.25">
      <c r="A14621"/>
      <c r="B14621"/>
    </row>
    <row r="14622" spans="1:2" x14ac:dyDescent="0.25">
      <c r="A14622"/>
      <c r="B14622"/>
    </row>
    <row r="14623" spans="1:2" x14ac:dyDescent="0.25">
      <c r="A14623"/>
      <c r="B14623"/>
    </row>
    <row r="14624" spans="1:2" x14ac:dyDescent="0.25">
      <c r="A14624"/>
      <c r="B14624"/>
    </row>
    <row r="14625" spans="1:2" x14ac:dyDescent="0.25">
      <c r="A14625"/>
      <c r="B14625"/>
    </row>
    <row r="14626" spans="1:2" x14ac:dyDescent="0.25">
      <c r="A14626"/>
      <c r="B14626"/>
    </row>
    <row r="14627" spans="1:2" x14ac:dyDescent="0.25">
      <c r="A14627"/>
      <c r="B14627"/>
    </row>
    <row r="14628" spans="1:2" x14ac:dyDescent="0.25">
      <c r="A14628"/>
      <c r="B14628"/>
    </row>
    <row r="14629" spans="1:2" x14ac:dyDescent="0.25">
      <c r="A14629"/>
      <c r="B14629"/>
    </row>
    <row r="14630" spans="1:2" x14ac:dyDescent="0.25">
      <c r="A14630"/>
      <c r="B14630"/>
    </row>
    <row r="14631" spans="1:2" x14ac:dyDescent="0.25">
      <c r="A14631"/>
      <c r="B14631"/>
    </row>
    <row r="14632" spans="1:2" x14ac:dyDescent="0.25">
      <c r="A14632"/>
      <c r="B14632"/>
    </row>
    <row r="14633" spans="1:2" x14ac:dyDescent="0.25">
      <c r="A14633"/>
      <c r="B14633"/>
    </row>
    <row r="14634" spans="1:2" x14ac:dyDescent="0.25">
      <c r="A14634"/>
      <c r="B14634"/>
    </row>
    <row r="14635" spans="1:2" x14ac:dyDescent="0.25">
      <c r="A14635"/>
      <c r="B14635"/>
    </row>
    <row r="14636" spans="1:2" x14ac:dyDescent="0.25">
      <c r="A14636"/>
      <c r="B14636"/>
    </row>
    <row r="14637" spans="1:2" x14ac:dyDescent="0.25">
      <c r="A14637"/>
      <c r="B14637"/>
    </row>
    <row r="14638" spans="1:2" x14ac:dyDescent="0.25">
      <c r="A14638"/>
      <c r="B14638"/>
    </row>
    <row r="14639" spans="1:2" x14ac:dyDescent="0.25">
      <c r="A14639"/>
      <c r="B14639"/>
    </row>
    <row r="14640" spans="1:2" x14ac:dyDescent="0.25">
      <c r="A14640"/>
      <c r="B14640"/>
    </row>
    <row r="14641" spans="1:2" x14ac:dyDescent="0.25">
      <c r="A14641"/>
      <c r="B14641"/>
    </row>
    <row r="14642" spans="1:2" x14ac:dyDescent="0.25">
      <c r="A14642"/>
      <c r="B14642"/>
    </row>
    <row r="14643" spans="1:2" x14ac:dyDescent="0.25">
      <c r="A14643"/>
      <c r="B14643"/>
    </row>
    <row r="14644" spans="1:2" x14ac:dyDescent="0.25">
      <c r="A14644"/>
      <c r="B14644"/>
    </row>
    <row r="14645" spans="1:2" x14ac:dyDescent="0.25">
      <c r="A14645"/>
      <c r="B14645"/>
    </row>
    <row r="14646" spans="1:2" x14ac:dyDescent="0.25">
      <c r="A14646"/>
      <c r="B14646"/>
    </row>
    <row r="14647" spans="1:2" x14ac:dyDescent="0.25">
      <c r="A14647"/>
      <c r="B14647"/>
    </row>
    <row r="14648" spans="1:2" x14ac:dyDescent="0.25">
      <c r="A14648"/>
      <c r="B14648"/>
    </row>
    <row r="14649" spans="1:2" x14ac:dyDescent="0.25">
      <c r="A14649"/>
      <c r="B14649"/>
    </row>
    <row r="14650" spans="1:2" x14ac:dyDescent="0.25">
      <c r="A14650"/>
      <c r="B14650"/>
    </row>
    <row r="14651" spans="1:2" x14ac:dyDescent="0.25">
      <c r="A14651"/>
      <c r="B14651"/>
    </row>
    <row r="14652" spans="1:2" x14ac:dyDescent="0.25">
      <c r="A14652"/>
      <c r="B14652"/>
    </row>
    <row r="14653" spans="1:2" x14ac:dyDescent="0.25">
      <c r="A14653"/>
      <c r="B14653"/>
    </row>
    <row r="14654" spans="1:2" x14ac:dyDescent="0.25">
      <c r="A14654"/>
      <c r="B14654"/>
    </row>
    <row r="14655" spans="1:2" x14ac:dyDescent="0.25">
      <c r="A14655"/>
      <c r="B14655"/>
    </row>
    <row r="14656" spans="1:2" x14ac:dyDescent="0.25">
      <c r="A14656"/>
      <c r="B14656"/>
    </row>
    <row r="14657" spans="1:2" x14ac:dyDescent="0.25">
      <c r="A14657"/>
      <c r="B14657"/>
    </row>
    <row r="14658" spans="1:2" x14ac:dyDescent="0.25">
      <c r="A14658"/>
      <c r="B14658"/>
    </row>
    <row r="14659" spans="1:2" x14ac:dyDescent="0.25">
      <c r="A14659"/>
      <c r="B14659"/>
    </row>
    <row r="14660" spans="1:2" x14ac:dyDescent="0.25">
      <c r="A14660"/>
      <c r="B14660"/>
    </row>
    <row r="14661" spans="1:2" x14ac:dyDescent="0.25">
      <c r="A14661"/>
      <c r="B14661"/>
    </row>
    <row r="14662" spans="1:2" x14ac:dyDescent="0.25">
      <c r="A14662"/>
      <c r="B14662"/>
    </row>
    <row r="14663" spans="1:2" x14ac:dyDescent="0.25">
      <c r="A14663"/>
      <c r="B14663"/>
    </row>
    <row r="14664" spans="1:2" x14ac:dyDescent="0.25">
      <c r="A14664"/>
      <c r="B14664"/>
    </row>
    <row r="14665" spans="1:2" x14ac:dyDescent="0.25">
      <c r="A14665"/>
      <c r="B14665"/>
    </row>
    <row r="14666" spans="1:2" x14ac:dyDescent="0.25">
      <c r="A14666"/>
      <c r="B14666"/>
    </row>
    <row r="14667" spans="1:2" x14ac:dyDescent="0.25">
      <c r="A14667"/>
      <c r="B14667"/>
    </row>
    <row r="14668" spans="1:2" x14ac:dyDescent="0.25">
      <c r="A14668"/>
      <c r="B14668"/>
    </row>
    <row r="14669" spans="1:2" x14ac:dyDescent="0.25">
      <c r="A14669"/>
      <c r="B14669"/>
    </row>
    <row r="14670" spans="1:2" x14ac:dyDescent="0.25">
      <c r="A14670"/>
      <c r="B14670"/>
    </row>
    <row r="14671" spans="1:2" x14ac:dyDescent="0.25">
      <c r="A14671"/>
      <c r="B14671"/>
    </row>
    <row r="14672" spans="1:2" x14ac:dyDescent="0.25">
      <c r="A14672"/>
      <c r="B14672"/>
    </row>
    <row r="14673" spans="1:2" x14ac:dyDescent="0.25">
      <c r="A14673"/>
      <c r="B14673"/>
    </row>
    <row r="14674" spans="1:2" x14ac:dyDescent="0.25">
      <c r="A14674"/>
      <c r="B14674"/>
    </row>
    <row r="14675" spans="1:2" x14ac:dyDescent="0.25">
      <c r="A14675"/>
      <c r="B14675"/>
    </row>
    <row r="14676" spans="1:2" x14ac:dyDescent="0.25">
      <c r="A14676"/>
      <c r="B14676"/>
    </row>
    <row r="14677" spans="1:2" x14ac:dyDescent="0.25">
      <c r="A14677"/>
      <c r="B14677"/>
    </row>
    <row r="14678" spans="1:2" x14ac:dyDescent="0.25">
      <c r="A14678"/>
      <c r="B14678"/>
    </row>
    <row r="14679" spans="1:2" x14ac:dyDescent="0.25">
      <c r="A14679"/>
      <c r="B14679"/>
    </row>
    <row r="14680" spans="1:2" x14ac:dyDescent="0.25">
      <c r="A14680"/>
      <c r="B14680"/>
    </row>
    <row r="14681" spans="1:2" x14ac:dyDescent="0.25">
      <c r="A14681"/>
      <c r="B14681"/>
    </row>
    <row r="14682" spans="1:2" x14ac:dyDescent="0.25">
      <c r="A14682"/>
      <c r="B14682"/>
    </row>
    <row r="14683" spans="1:2" x14ac:dyDescent="0.25">
      <c r="A14683"/>
      <c r="B14683"/>
    </row>
    <row r="14684" spans="1:2" x14ac:dyDescent="0.25">
      <c r="A14684"/>
      <c r="B14684"/>
    </row>
    <row r="14685" spans="1:2" x14ac:dyDescent="0.25">
      <c r="A14685"/>
      <c r="B14685"/>
    </row>
    <row r="14686" spans="1:2" x14ac:dyDescent="0.25">
      <c r="A14686"/>
      <c r="B14686"/>
    </row>
    <row r="14687" spans="1:2" x14ac:dyDescent="0.25">
      <c r="A14687"/>
      <c r="B14687"/>
    </row>
    <row r="14688" spans="1:2" x14ac:dyDescent="0.25">
      <c r="A14688"/>
      <c r="B14688"/>
    </row>
    <row r="14689" spans="1:2" x14ac:dyDescent="0.25">
      <c r="A14689"/>
      <c r="B14689"/>
    </row>
    <row r="14690" spans="1:2" x14ac:dyDescent="0.25">
      <c r="A14690"/>
      <c r="B14690"/>
    </row>
    <row r="14691" spans="1:2" x14ac:dyDescent="0.25">
      <c r="A14691"/>
      <c r="B14691"/>
    </row>
    <row r="14692" spans="1:2" x14ac:dyDescent="0.25">
      <c r="A14692"/>
      <c r="B14692"/>
    </row>
    <row r="14693" spans="1:2" x14ac:dyDescent="0.25">
      <c r="A14693"/>
      <c r="B14693"/>
    </row>
    <row r="14694" spans="1:2" x14ac:dyDescent="0.25">
      <c r="A14694"/>
      <c r="B14694"/>
    </row>
    <row r="14695" spans="1:2" x14ac:dyDescent="0.25">
      <c r="A14695"/>
      <c r="B14695"/>
    </row>
    <row r="14696" spans="1:2" x14ac:dyDescent="0.25">
      <c r="A14696"/>
      <c r="B14696"/>
    </row>
    <row r="14697" spans="1:2" x14ac:dyDescent="0.25">
      <c r="A14697"/>
      <c r="B14697"/>
    </row>
    <row r="14698" spans="1:2" x14ac:dyDescent="0.25">
      <c r="A14698"/>
      <c r="B14698"/>
    </row>
    <row r="14699" spans="1:2" x14ac:dyDescent="0.25">
      <c r="A14699"/>
      <c r="B14699"/>
    </row>
    <row r="14700" spans="1:2" x14ac:dyDescent="0.25">
      <c r="A14700"/>
      <c r="B14700"/>
    </row>
    <row r="14701" spans="1:2" x14ac:dyDescent="0.25">
      <c r="A14701"/>
      <c r="B14701"/>
    </row>
    <row r="14702" spans="1:2" x14ac:dyDescent="0.25">
      <c r="A14702"/>
      <c r="B14702"/>
    </row>
    <row r="14703" spans="1:2" x14ac:dyDescent="0.25">
      <c r="A14703"/>
      <c r="B14703"/>
    </row>
    <row r="14704" spans="1:2" x14ac:dyDescent="0.25">
      <c r="A14704"/>
      <c r="B14704"/>
    </row>
    <row r="14705" spans="1:2" x14ac:dyDescent="0.25">
      <c r="A14705"/>
      <c r="B14705"/>
    </row>
    <row r="14706" spans="1:2" x14ac:dyDescent="0.25">
      <c r="A14706"/>
      <c r="B14706"/>
    </row>
    <row r="14707" spans="1:2" x14ac:dyDescent="0.25">
      <c r="A14707"/>
      <c r="B14707"/>
    </row>
    <row r="14708" spans="1:2" x14ac:dyDescent="0.25">
      <c r="A14708"/>
      <c r="B14708"/>
    </row>
    <row r="14709" spans="1:2" x14ac:dyDescent="0.25">
      <c r="A14709"/>
      <c r="B14709"/>
    </row>
    <row r="14710" spans="1:2" x14ac:dyDescent="0.25">
      <c r="A14710"/>
      <c r="B14710"/>
    </row>
    <row r="14711" spans="1:2" x14ac:dyDescent="0.25">
      <c r="A14711"/>
      <c r="B14711"/>
    </row>
    <row r="14712" spans="1:2" x14ac:dyDescent="0.25">
      <c r="A14712"/>
      <c r="B14712"/>
    </row>
    <row r="14713" spans="1:2" x14ac:dyDescent="0.25">
      <c r="A14713"/>
      <c r="B14713"/>
    </row>
    <row r="14714" spans="1:2" x14ac:dyDescent="0.25">
      <c r="A14714"/>
      <c r="B14714"/>
    </row>
    <row r="14715" spans="1:2" x14ac:dyDescent="0.25">
      <c r="A14715"/>
      <c r="B14715"/>
    </row>
    <row r="14716" spans="1:2" x14ac:dyDescent="0.25">
      <c r="A14716"/>
      <c r="B14716"/>
    </row>
    <row r="14717" spans="1:2" x14ac:dyDescent="0.25">
      <c r="A14717"/>
      <c r="B14717"/>
    </row>
    <row r="14718" spans="1:2" x14ac:dyDescent="0.25">
      <c r="A14718"/>
      <c r="B14718"/>
    </row>
    <row r="14719" spans="1:2" x14ac:dyDescent="0.25">
      <c r="A14719"/>
      <c r="B14719"/>
    </row>
    <row r="14720" spans="1:2" x14ac:dyDescent="0.25">
      <c r="A14720"/>
      <c r="B14720"/>
    </row>
    <row r="14721" spans="1:2" x14ac:dyDescent="0.25">
      <c r="A14721"/>
      <c r="B14721"/>
    </row>
    <row r="14722" spans="1:2" x14ac:dyDescent="0.25">
      <c r="A14722"/>
      <c r="B14722"/>
    </row>
    <row r="14723" spans="1:2" x14ac:dyDescent="0.25">
      <c r="A14723"/>
      <c r="B14723"/>
    </row>
    <row r="14724" spans="1:2" x14ac:dyDescent="0.25">
      <c r="A14724"/>
      <c r="B14724"/>
    </row>
    <row r="14725" spans="1:2" x14ac:dyDescent="0.25">
      <c r="A14725"/>
      <c r="B14725"/>
    </row>
    <row r="14726" spans="1:2" x14ac:dyDescent="0.25">
      <c r="A14726"/>
      <c r="B14726"/>
    </row>
    <row r="14727" spans="1:2" x14ac:dyDescent="0.25">
      <c r="A14727"/>
      <c r="B14727"/>
    </row>
    <row r="14728" spans="1:2" x14ac:dyDescent="0.25">
      <c r="A14728"/>
      <c r="B14728"/>
    </row>
    <row r="14729" spans="1:2" x14ac:dyDescent="0.25">
      <c r="A14729"/>
      <c r="B14729"/>
    </row>
    <row r="14730" spans="1:2" x14ac:dyDescent="0.25">
      <c r="A14730"/>
      <c r="B14730"/>
    </row>
    <row r="14731" spans="1:2" x14ac:dyDescent="0.25">
      <c r="A14731"/>
      <c r="B14731"/>
    </row>
    <row r="14732" spans="1:2" x14ac:dyDescent="0.25">
      <c r="A14732"/>
      <c r="B14732"/>
    </row>
    <row r="14733" spans="1:2" x14ac:dyDescent="0.25">
      <c r="A14733"/>
      <c r="B14733"/>
    </row>
    <row r="14734" spans="1:2" x14ac:dyDescent="0.25">
      <c r="A14734"/>
      <c r="B14734"/>
    </row>
    <row r="14735" spans="1:2" x14ac:dyDescent="0.25">
      <c r="A14735"/>
      <c r="B14735"/>
    </row>
    <row r="14736" spans="1:2" x14ac:dyDescent="0.25">
      <c r="A14736"/>
      <c r="B14736"/>
    </row>
    <row r="14737" spans="1:2" x14ac:dyDescent="0.25">
      <c r="A14737"/>
      <c r="B14737"/>
    </row>
    <row r="14738" spans="1:2" x14ac:dyDescent="0.25">
      <c r="A14738"/>
      <c r="B14738"/>
    </row>
    <row r="14739" spans="1:2" x14ac:dyDescent="0.25">
      <c r="A14739"/>
      <c r="B14739"/>
    </row>
    <row r="14740" spans="1:2" x14ac:dyDescent="0.25">
      <c r="A14740"/>
      <c r="B14740"/>
    </row>
    <row r="14741" spans="1:2" x14ac:dyDescent="0.25">
      <c r="A14741"/>
      <c r="B14741"/>
    </row>
    <row r="14742" spans="1:2" x14ac:dyDescent="0.25">
      <c r="A14742"/>
      <c r="B14742"/>
    </row>
    <row r="14743" spans="1:2" x14ac:dyDescent="0.25">
      <c r="A14743"/>
      <c r="B14743"/>
    </row>
    <row r="14744" spans="1:2" x14ac:dyDescent="0.25">
      <c r="A14744"/>
      <c r="B14744"/>
    </row>
    <row r="14745" spans="1:2" x14ac:dyDescent="0.25">
      <c r="A14745"/>
      <c r="B14745"/>
    </row>
    <row r="14746" spans="1:2" x14ac:dyDescent="0.25">
      <c r="A14746"/>
      <c r="B14746"/>
    </row>
    <row r="14747" spans="1:2" x14ac:dyDescent="0.25">
      <c r="A14747"/>
      <c r="B14747"/>
    </row>
    <row r="14748" spans="1:2" x14ac:dyDescent="0.25">
      <c r="A14748"/>
      <c r="B14748"/>
    </row>
    <row r="14749" spans="1:2" x14ac:dyDescent="0.25">
      <c r="A14749"/>
      <c r="B14749"/>
    </row>
    <row r="14750" spans="1:2" x14ac:dyDescent="0.25">
      <c r="A14750"/>
      <c r="B14750"/>
    </row>
    <row r="14751" spans="1:2" x14ac:dyDescent="0.25">
      <c r="A14751"/>
      <c r="B14751"/>
    </row>
    <row r="14752" spans="1:2" x14ac:dyDescent="0.25">
      <c r="A14752"/>
      <c r="B14752"/>
    </row>
    <row r="14753" spans="1:2" x14ac:dyDescent="0.25">
      <c r="A14753"/>
      <c r="B14753"/>
    </row>
    <row r="14754" spans="1:2" x14ac:dyDescent="0.25">
      <c r="A14754"/>
      <c r="B14754"/>
    </row>
    <row r="14755" spans="1:2" x14ac:dyDescent="0.25">
      <c r="A14755"/>
      <c r="B14755"/>
    </row>
    <row r="14756" spans="1:2" x14ac:dyDescent="0.25">
      <c r="A14756"/>
      <c r="B14756"/>
    </row>
    <row r="14757" spans="1:2" x14ac:dyDescent="0.25">
      <c r="A14757"/>
      <c r="B14757"/>
    </row>
    <row r="14758" spans="1:2" x14ac:dyDescent="0.25">
      <c r="A14758"/>
      <c r="B14758"/>
    </row>
    <row r="14759" spans="1:2" x14ac:dyDescent="0.25">
      <c r="A14759"/>
      <c r="B14759"/>
    </row>
    <row r="14760" spans="1:2" x14ac:dyDescent="0.25">
      <c r="A14760"/>
      <c r="B14760"/>
    </row>
    <row r="14761" spans="1:2" x14ac:dyDescent="0.25">
      <c r="A14761"/>
      <c r="B14761"/>
    </row>
    <row r="14762" spans="1:2" x14ac:dyDescent="0.25">
      <c r="A14762"/>
      <c r="B14762"/>
    </row>
    <row r="14763" spans="1:2" x14ac:dyDescent="0.25">
      <c r="A14763"/>
      <c r="B14763"/>
    </row>
    <row r="14764" spans="1:2" x14ac:dyDescent="0.25">
      <c r="A14764"/>
      <c r="B14764"/>
    </row>
    <row r="14765" spans="1:2" x14ac:dyDescent="0.25">
      <c r="A14765"/>
      <c r="B14765"/>
    </row>
    <row r="14766" spans="1:2" x14ac:dyDescent="0.25">
      <c r="A14766"/>
      <c r="B14766"/>
    </row>
    <row r="14767" spans="1:2" x14ac:dyDescent="0.25">
      <c r="A14767"/>
      <c r="B14767"/>
    </row>
    <row r="14768" spans="1:2" x14ac:dyDescent="0.25">
      <c r="A14768"/>
      <c r="B14768"/>
    </row>
    <row r="14769" spans="1:2" x14ac:dyDescent="0.25">
      <c r="A14769"/>
      <c r="B14769"/>
    </row>
    <row r="14770" spans="1:2" x14ac:dyDescent="0.25">
      <c r="A14770"/>
      <c r="B14770"/>
    </row>
    <row r="14771" spans="1:2" x14ac:dyDescent="0.25">
      <c r="A14771"/>
      <c r="B14771"/>
    </row>
    <row r="14772" spans="1:2" x14ac:dyDescent="0.25">
      <c r="A14772"/>
      <c r="B14772"/>
    </row>
    <row r="14773" spans="1:2" x14ac:dyDescent="0.25">
      <c r="A14773"/>
      <c r="B14773"/>
    </row>
    <row r="14774" spans="1:2" x14ac:dyDescent="0.25">
      <c r="A14774"/>
      <c r="B14774"/>
    </row>
    <row r="14775" spans="1:2" x14ac:dyDescent="0.25">
      <c r="A14775"/>
      <c r="B14775"/>
    </row>
    <row r="14776" spans="1:2" x14ac:dyDescent="0.25">
      <c r="A14776"/>
      <c r="B14776"/>
    </row>
    <row r="14777" spans="1:2" x14ac:dyDescent="0.25">
      <c r="A14777"/>
      <c r="B14777"/>
    </row>
    <row r="14778" spans="1:2" x14ac:dyDescent="0.25">
      <c r="A14778"/>
      <c r="B14778"/>
    </row>
    <row r="14779" spans="1:2" x14ac:dyDescent="0.25">
      <c r="A14779"/>
      <c r="B14779"/>
    </row>
    <row r="14780" spans="1:2" x14ac:dyDescent="0.25">
      <c r="A14780"/>
      <c r="B14780"/>
    </row>
    <row r="14781" spans="1:2" x14ac:dyDescent="0.25">
      <c r="A14781"/>
      <c r="B14781"/>
    </row>
    <row r="14782" spans="1:2" x14ac:dyDescent="0.25">
      <c r="A14782"/>
      <c r="B14782"/>
    </row>
    <row r="14783" spans="1:2" x14ac:dyDescent="0.25">
      <c r="A14783"/>
      <c r="B14783"/>
    </row>
    <row r="14784" spans="1:2" x14ac:dyDescent="0.25">
      <c r="A14784"/>
      <c r="B14784"/>
    </row>
    <row r="14785" spans="1:2" x14ac:dyDescent="0.25">
      <c r="A14785"/>
      <c r="B14785"/>
    </row>
    <row r="14786" spans="1:2" x14ac:dyDescent="0.25">
      <c r="A14786"/>
      <c r="B14786"/>
    </row>
    <row r="14787" spans="1:2" x14ac:dyDescent="0.25">
      <c r="A14787"/>
      <c r="B14787"/>
    </row>
    <row r="14788" spans="1:2" x14ac:dyDescent="0.25">
      <c r="A14788"/>
      <c r="B14788"/>
    </row>
    <row r="14789" spans="1:2" x14ac:dyDescent="0.25">
      <c r="A14789"/>
      <c r="B14789"/>
    </row>
    <row r="14790" spans="1:2" x14ac:dyDescent="0.25">
      <c r="A14790"/>
      <c r="B14790"/>
    </row>
    <row r="14791" spans="1:2" x14ac:dyDescent="0.25">
      <c r="A14791"/>
      <c r="B14791"/>
    </row>
    <row r="14792" spans="1:2" x14ac:dyDescent="0.25">
      <c r="A14792"/>
      <c r="B14792"/>
    </row>
    <row r="14793" spans="1:2" x14ac:dyDescent="0.25">
      <c r="A14793"/>
      <c r="B14793"/>
    </row>
    <row r="14794" spans="1:2" x14ac:dyDescent="0.25">
      <c r="A14794"/>
      <c r="B14794"/>
    </row>
    <row r="14795" spans="1:2" x14ac:dyDescent="0.25">
      <c r="A14795"/>
      <c r="B14795"/>
    </row>
    <row r="14796" spans="1:2" x14ac:dyDescent="0.25">
      <c r="A14796"/>
      <c r="B14796"/>
    </row>
    <row r="14797" spans="1:2" x14ac:dyDescent="0.25">
      <c r="A14797"/>
      <c r="B14797"/>
    </row>
    <row r="14798" spans="1:2" x14ac:dyDescent="0.25">
      <c r="A14798"/>
      <c r="B14798"/>
    </row>
    <row r="14799" spans="1:2" x14ac:dyDescent="0.25">
      <c r="A14799"/>
      <c r="B14799"/>
    </row>
    <row r="14800" spans="1:2" x14ac:dyDescent="0.25">
      <c r="A14800"/>
      <c r="B14800"/>
    </row>
    <row r="14801" spans="1:2" x14ac:dyDescent="0.25">
      <c r="A14801"/>
      <c r="B14801"/>
    </row>
    <row r="14802" spans="1:2" x14ac:dyDescent="0.25">
      <c r="A14802"/>
      <c r="B14802"/>
    </row>
    <row r="14803" spans="1:2" x14ac:dyDescent="0.25">
      <c r="A14803"/>
      <c r="B14803"/>
    </row>
    <row r="14804" spans="1:2" x14ac:dyDescent="0.25">
      <c r="A14804"/>
      <c r="B14804"/>
    </row>
    <row r="14805" spans="1:2" x14ac:dyDescent="0.25">
      <c r="A14805"/>
      <c r="B14805"/>
    </row>
    <row r="14806" spans="1:2" x14ac:dyDescent="0.25">
      <c r="A14806"/>
      <c r="B14806"/>
    </row>
    <row r="14807" spans="1:2" x14ac:dyDescent="0.25">
      <c r="A14807"/>
      <c r="B14807"/>
    </row>
    <row r="14808" spans="1:2" x14ac:dyDescent="0.25">
      <c r="A14808"/>
      <c r="B14808"/>
    </row>
    <row r="14809" spans="1:2" x14ac:dyDescent="0.25">
      <c r="A14809"/>
      <c r="B14809"/>
    </row>
    <row r="14810" spans="1:2" x14ac:dyDescent="0.25">
      <c r="A14810"/>
      <c r="B14810"/>
    </row>
    <row r="14811" spans="1:2" x14ac:dyDescent="0.25">
      <c r="A14811"/>
      <c r="B14811"/>
    </row>
    <row r="14812" spans="1:2" x14ac:dyDescent="0.25">
      <c r="A14812"/>
      <c r="B14812"/>
    </row>
    <row r="14813" spans="1:2" x14ac:dyDescent="0.25">
      <c r="A14813"/>
      <c r="B14813"/>
    </row>
    <row r="14814" spans="1:2" x14ac:dyDescent="0.25">
      <c r="A14814"/>
      <c r="B14814"/>
    </row>
    <row r="14815" spans="1:2" x14ac:dyDescent="0.25">
      <c r="A14815"/>
      <c r="B14815"/>
    </row>
    <row r="14816" spans="1:2" x14ac:dyDescent="0.25">
      <c r="A14816"/>
      <c r="B14816"/>
    </row>
    <row r="14817" spans="1:2" x14ac:dyDescent="0.25">
      <c r="A14817"/>
      <c r="B14817"/>
    </row>
    <row r="14818" spans="1:2" x14ac:dyDescent="0.25">
      <c r="A14818"/>
      <c r="B14818"/>
    </row>
    <row r="14819" spans="1:2" x14ac:dyDescent="0.25">
      <c r="A14819"/>
      <c r="B14819"/>
    </row>
    <row r="14820" spans="1:2" x14ac:dyDescent="0.25">
      <c r="A14820"/>
      <c r="B14820"/>
    </row>
    <row r="14821" spans="1:2" x14ac:dyDescent="0.25">
      <c r="A14821"/>
      <c r="B14821"/>
    </row>
    <row r="14822" spans="1:2" x14ac:dyDescent="0.25">
      <c r="A14822"/>
      <c r="B14822"/>
    </row>
    <row r="14823" spans="1:2" x14ac:dyDescent="0.25">
      <c r="A14823"/>
      <c r="B14823"/>
    </row>
    <row r="14824" spans="1:2" x14ac:dyDescent="0.25">
      <c r="A14824"/>
      <c r="B14824"/>
    </row>
    <row r="14825" spans="1:2" x14ac:dyDescent="0.25">
      <c r="A14825"/>
      <c r="B14825"/>
    </row>
    <row r="14826" spans="1:2" x14ac:dyDescent="0.25">
      <c r="A14826"/>
      <c r="B14826"/>
    </row>
    <row r="14827" spans="1:2" x14ac:dyDescent="0.25">
      <c r="A14827"/>
      <c r="B14827"/>
    </row>
    <row r="14828" spans="1:2" x14ac:dyDescent="0.25">
      <c r="A14828"/>
      <c r="B14828"/>
    </row>
    <row r="14829" spans="1:2" x14ac:dyDescent="0.25">
      <c r="A14829"/>
      <c r="B14829"/>
    </row>
    <row r="14830" spans="1:2" x14ac:dyDescent="0.25">
      <c r="A14830"/>
      <c r="B14830"/>
    </row>
    <row r="14831" spans="1:2" x14ac:dyDescent="0.25">
      <c r="A14831"/>
      <c r="B14831"/>
    </row>
    <row r="14832" spans="1:2" x14ac:dyDescent="0.25">
      <c r="A14832"/>
      <c r="B14832"/>
    </row>
    <row r="14833" spans="1:2" x14ac:dyDescent="0.25">
      <c r="A14833"/>
      <c r="B14833"/>
    </row>
    <row r="14834" spans="1:2" x14ac:dyDescent="0.25">
      <c r="A14834"/>
      <c r="B14834"/>
    </row>
    <row r="14835" spans="1:2" x14ac:dyDescent="0.25">
      <c r="A14835"/>
      <c r="B14835"/>
    </row>
    <row r="14836" spans="1:2" x14ac:dyDescent="0.25">
      <c r="A14836"/>
      <c r="B14836"/>
    </row>
    <row r="14837" spans="1:2" x14ac:dyDescent="0.25">
      <c r="A14837"/>
      <c r="B14837"/>
    </row>
    <row r="14838" spans="1:2" x14ac:dyDescent="0.25">
      <c r="A14838"/>
      <c r="B14838"/>
    </row>
    <row r="14839" spans="1:2" x14ac:dyDescent="0.25">
      <c r="A14839"/>
      <c r="B14839"/>
    </row>
    <row r="14840" spans="1:2" x14ac:dyDescent="0.25">
      <c r="A14840"/>
      <c r="B14840"/>
    </row>
    <row r="14841" spans="1:2" x14ac:dyDescent="0.25">
      <c r="A14841"/>
      <c r="B14841"/>
    </row>
    <row r="14842" spans="1:2" x14ac:dyDescent="0.25">
      <c r="A14842"/>
      <c r="B14842"/>
    </row>
    <row r="14843" spans="1:2" x14ac:dyDescent="0.25">
      <c r="A14843"/>
      <c r="B14843"/>
    </row>
    <row r="14844" spans="1:2" x14ac:dyDescent="0.25">
      <c r="A14844"/>
      <c r="B14844"/>
    </row>
    <row r="14845" spans="1:2" x14ac:dyDescent="0.25">
      <c r="A14845"/>
      <c r="B14845"/>
    </row>
    <row r="14846" spans="1:2" x14ac:dyDescent="0.25">
      <c r="A14846"/>
      <c r="B14846"/>
    </row>
    <row r="14847" spans="1:2" x14ac:dyDescent="0.25">
      <c r="A14847"/>
      <c r="B14847"/>
    </row>
    <row r="14848" spans="1:2" x14ac:dyDescent="0.25">
      <c r="A14848"/>
      <c r="B14848"/>
    </row>
    <row r="14849" spans="1:2" x14ac:dyDescent="0.25">
      <c r="A14849"/>
      <c r="B14849"/>
    </row>
    <row r="14850" spans="1:2" x14ac:dyDescent="0.25">
      <c r="A14850"/>
      <c r="B14850"/>
    </row>
    <row r="14851" spans="1:2" x14ac:dyDescent="0.25">
      <c r="A14851"/>
      <c r="B14851"/>
    </row>
    <row r="14852" spans="1:2" x14ac:dyDescent="0.25">
      <c r="A14852"/>
      <c r="B14852"/>
    </row>
    <row r="14853" spans="1:2" x14ac:dyDescent="0.25">
      <c r="A14853"/>
      <c r="B14853"/>
    </row>
    <row r="14854" spans="1:2" x14ac:dyDescent="0.25">
      <c r="A14854"/>
      <c r="B14854"/>
    </row>
    <row r="14855" spans="1:2" x14ac:dyDescent="0.25">
      <c r="A14855"/>
      <c r="B14855"/>
    </row>
    <row r="14856" spans="1:2" x14ac:dyDescent="0.25">
      <c r="A14856"/>
      <c r="B14856"/>
    </row>
    <row r="14857" spans="1:2" x14ac:dyDescent="0.25">
      <c r="A14857"/>
      <c r="B14857"/>
    </row>
    <row r="14858" spans="1:2" x14ac:dyDescent="0.25">
      <c r="A14858"/>
      <c r="B14858"/>
    </row>
    <row r="14859" spans="1:2" x14ac:dyDescent="0.25">
      <c r="A14859"/>
      <c r="B14859"/>
    </row>
    <row r="14860" spans="1:2" x14ac:dyDescent="0.25">
      <c r="A14860"/>
      <c r="B14860"/>
    </row>
    <row r="14861" spans="1:2" x14ac:dyDescent="0.25">
      <c r="A14861"/>
      <c r="B14861"/>
    </row>
    <row r="14862" spans="1:2" x14ac:dyDescent="0.25">
      <c r="A14862"/>
      <c r="B14862"/>
    </row>
    <row r="14863" spans="1:2" x14ac:dyDescent="0.25">
      <c r="A14863"/>
      <c r="B14863"/>
    </row>
    <row r="14864" spans="1:2" x14ac:dyDescent="0.25">
      <c r="A14864"/>
      <c r="B14864"/>
    </row>
    <row r="14865" spans="1:2" x14ac:dyDescent="0.25">
      <c r="A14865"/>
      <c r="B14865"/>
    </row>
    <row r="14866" spans="1:2" x14ac:dyDescent="0.25">
      <c r="A14866"/>
      <c r="B14866"/>
    </row>
    <row r="14867" spans="1:2" x14ac:dyDescent="0.25">
      <c r="A14867"/>
      <c r="B14867"/>
    </row>
    <row r="14868" spans="1:2" x14ac:dyDescent="0.25">
      <c r="A14868"/>
      <c r="B14868"/>
    </row>
    <row r="14869" spans="1:2" x14ac:dyDescent="0.25">
      <c r="A14869"/>
      <c r="B14869"/>
    </row>
    <row r="14870" spans="1:2" x14ac:dyDescent="0.25">
      <c r="A14870"/>
      <c r="B14870"/>
    </row>
    <row r="14871" spans="1:2" x14ac:dyDescent="0.25">
      <c r="A14871"/>
      <c r="B14871"/>
    </row>
    <row r="14872" spans="1:2" x14ac:dyDescent="0.25">
      <c r="A14872"/>
      <c r="B14872"/>
    </row>
    <row r="14873" spans="1:2" x14ac:dyDescent="0.25">
      <c r="A14873"/>
      <c r="B14873"/>
    </row>
    <row r="14874" spans="1:2" x14ac:dyDescent="0.25">
      <c r="A14874"/>
      <c r="B14874"/>
    </row>
    <row r="14875" spans="1:2" x14ac:dyDescent="0.25">
      <c r="A14875"/>
      <c r="B14875"/>
    </row>
    <row r="14876" spans="1:2" x14ac:dyDescent="0.25">
      <c r="A14876"/>
      <c r="B14876"/>
    </row>
    <row r="14877" spans="1:2" x14ac:dyDescent="0.25">
      <c r="A14877"/>
      <c r="B14877"/>
    </row>
    <row r="14878" spans="1:2" x14ac:dyDescent="0.25">
      <c r="A14878"/>
      <c r="B14878"/>
    </row>
    <row r="14879" spans="1:2" x14ac:dyDescent="0.25">
      <c r="A14879"/>
      <c r="B14879"/>
    </row>
    <row r="14880" spans="1:2" x14ac:dyDescent="0.25">
      <c r="A14880"/>
      <c r="B14880"/>
    </row>
    <row r="14881" spans="1:2" x14ac:dyDescent="0.25">
      <c r="A14881"/>
      <c r="B14881"/>
    </row>
    <row r="14882" spans="1:2" x14ac:dyDescent="0.25">
      <c r="A14882"/>
      <c r="B14882"/>
    </row>
    <row r="14883" spans="1:2" x14ac:dyDescent="0.25">
      <c r="A14883"/>
      <c r="B14883"/>
    </row>
    <row r="14884" spans="1:2" x14ac:dyDescent="0.25">
      <c r="A14884"/>
      <c r="B14884"/>
    </row>
    <row r="14885" spans="1:2" x14ac:dyDescent="0.25">
      <c r="A14885"/>
      <c r="B14885"/>
    </row>
    <row r="14886" spans="1:2" x14ac:dyDescent="0.25">
      <c r="A14886"/>
      <c r="B14886"/>
    </row>
    <row r="14887" spans="1:2" x14ac:dyDescent="0.25">
      <c r="A14887"/>
      <c r="B14887"/>
    </row>
    <row r="14888" spans="1:2" x14ac:dyDescent="0.25">
      <c r="A14888"/>
      <c r="B14888"/>
    </row>
    <row r="14889" spans="1:2" x14ac:dyDescent="0.25">
      <c r="A14889"/>
      <c r="B14889"/>
    </row>
    <row r="14890" spans="1:2" x14ac:dyDescent="0.25">
      <c r="A14890"/>
      <c r="B14890"/>
    </row>
    <row r="14891" spans="1:2" x14ac:dyDescent="0.25">
      <c r="A14891"/>
      <c r="B14891"/>
    </row>
    <row r="14892" spans="1:2" x14ac:dyDescent="0.25">
      <c r="A14892"/>
      <c r="B14892"/>
    </row>
    <row r="14893" spans="1:2" x14ac:dyDescent="0.25">
      <c r="A14893"/>
      <c r="B14893"/>
    </row>
    <row r="14894" spans="1:2" x14ac:dyDescent="0.25">
      <c r="A14894"/>
      <c r="B14894"/>
    </row>
    <row r="14895" spans="1:2" x14ac:dyDescent="0.25">
      <c r="A14895"/>
      <c r="B14895"/>
    </row>
    <row r="14896" spans="1:2" x14ac:dyDescent="0.25">
      <c r="A14896"/>
      <c r="B14896"/>
    </row>
    <row r="14897" spans="1:2" x14ac:dyDescent="0.25">
      <c r="A14897"/>
      <c r="B14897"/>
    </row>
    <row r="14898" spans="1:2" x14ac:dyDescent="0.25">
      <c r="A14898"/>
      <c r="B14898"/>
    </row>
    <row r="14899" spans="1:2" x14ac:dyDescent="0.25">
      <c r="A14899"/>
      <c r="B14899"/>
    </row>
    <row r="14900" spans="1:2" x14ac:dyDescent="0.25">
      <c r="A14900"/>
      <c r="B14900"/>
    </row>
    <row r="14901" spans="1:2" x14ac:dyDescent="0.25">
      <c r="A14901"/>
      <c r="B14901"/>
    </row>
    <row r="14902" spans="1:2" x14ac:dyDescent="0.25">
      <c r="A14902"/>
      <c r="B14902"/>
    </row>
    <row r="14903" spans="1:2" x14ac:dyDescent="0.25">
      <c r="A14903"/>
      <c r="B14903"/>
    </row>
    <row r="14904" spans="1:2" x14ac:dyDescent="0.25">
      <c r="A14904"/>
      <c r="B14904"/>
    </row>
    <row r="14905" spans="1:2" x14ac:dyDescent="0.25">
      <c r="A14905"/>
      <c r="B14905"/>
    </row>
    <row r="14906" spans="1:2" x14ac:dyDescent="0.25">
      <c r="A14906"/>
      <c r="B14906"/>
    </row>
    <row r="14907" spans="1:2" x14ac:dyDescent="0.25">
      <c r="A14907"/>
      <c r="B14907"/>
    </row>
    <row r="14908" spans="1:2" x14ac:dyDescent="0.25">
      <c r="A14908"/>
      <c r="B14908"/>
    </row>
    <row r="14909" spans="1:2" x14ac:dyDescent="0.25">
      <c r="A14909"/>
      <c r="B14909"/>
    </row>
    <row r="14910" spans="1:2" x14ac:dyDescent="0.25">
      <c r="A14910"/>
      <c r="B14910"/>
    </row>
    <row r="14911" spans="1:2" x14ac:dyDescent="0.25">
      <c r="A14911"/>
      <c r="B14911"/>
    </row>
    <row r="14912" spans="1:2" x14ac:dyDescent="0.25">
      <c r="A14912"/>
      <c r="B14912"/>
    </row>
    <row r="14913" spans="1:2" x14ac:dyDescent="0.25">
      <c r="A14913"/>
      <c r="B14913"/>
    </row>
    <row r="14914" spans="1:2" x14ac:dyDescent="0.25">
      <c r="A14914"/>
      <c r="B14914"/>
    </row>
    <row r="14915" spans="1:2" x14ac:dyDescent="0.25">
      <c r="A14915"/>
      <c r="B14915"/>
    </row>
    <row r="14916" spans="1:2" x14ac:dyDescent="0.25">
      <c r="A14916"/>
      <c r="B14916"/>
    </row>
    <row r="14917" spans="1:2" x14ac:dyDescent="0.25">
      <c r="A14917"/>
      <c r="B14917"/>
    </row>
    <row r="14918" spans="1:2" x14ac:dyDescent="0.25">
      <c r="A14918"/>
      <c r="B14918"/>
    </row>
    <row r="14919" spans="1:2" x14ac:dyDescent="0.25">
      <c r="A14919"/>
      <c r="B14919"/>
    </row>
    <row r="14920" spans="1:2" x14ac:dyDescent="0.25">
      <c r="A14920"/>
      <c r="B14920"/>
    </row>
    <row r="14921" spans="1:2" x14ac:dyDescent="0.25">
      <c r="A14921"/>
      <c r="B14921"/>
    </row>
    <row r="14922" spans="1:2" x14ac:dyDescent="0.25">
      <c r="A14922"/>
      <c r="B14922"/>
    </row>
    <row r="14923" spans="1:2" x14ac:dyDescent="0.25">
      <c r="A14923"/>
      <c r="B14923"/>
    </row>
    <row r="14924" spans="1:2" x14ac:dyDescent="0.25">
      <c r="A14924"/>
      <c r="B14924"/>
    </row>
    <row r="14925" spans="1:2" x14ac:dyDescent="0.25">
      <c r="A14925"/>
      <c r="B14925"/>
    </row>
    <row r="14926" spans="1:2" x14ac:dyDescent="0.25">
      <c r="A14926"/>
      <c r="B14926"/>
    </row>
    <row r="14927" spans="1:2" x14ac:dyDescent="0.25">
      <c r="A14927"/>
      <c r="B14927"/>
    </row>
    <row r="14928" spans="1:2" x14ac:dyDescent="0.25">
      <c r="A14928"/>
      <c r="B14928"/>
    </row>
    <row r="14929" spans="1:2" x14ac:dyDescent="0.25">
      <c r="A14929"/>
      <c r="B14929"/>
    </row>
    <row r="14930" spans="1:2" x14ac:dyDescent="0.25">
      <c r="A14930"/>
      <c r="B14930"/>
    </row>
    <row r="14931" spans="1:2" x14ac:dyDescent="0.25">
      <c r="A14931"/>
      <c r="B14931"/>
    </row>
    <row r="14932" spans="1:2" x14ac:dyDescent="0.25">
      <c r="A14932"/>
      <c r="B14932"/>
    </row>
    <row r="14933" spans="1:2" x14ac:dyDescent="0.25">
      <c r="A14933"/>
      <c r="B14933"/>
    </row>
    <row r="14934" spans="1:2" x14ac:dyDescent="0.25">
      <c r="A14934"/>
      <c r="B14934"/>
    </row>
    <row r="14935" spans="1:2" x14ac:dyDescent="0.25">
      <c r="A14935"/>
      <c r="B14935"/>
    </row>
    <row r="14936" spans="1:2" x14ac:dyDescent="0.25">
      <c r="A14936"/>
      <c r="B14936"/>
    </row>
    <row r="14937" spans="1:2" x14ac:dyDescent="0.25">
      <c r="A14937"/>
      <c r="B14937"/>
    </row>
    <row r="14938" spans="1:2" x14ac:dyDescent="0.25">
      <c r="A14938"/>
      <c r="B14938"/>
    </row>
    <row r="14939" spans="1:2" x14ac:dyDescent="0.25">
      <c r="A14939"/>
      <c r="B14939"/>
    </row>
    <row r="14940" spans="1:2" x14ac:dyDescent="0.25">
      <c r="A14940"/>
      <c r="B14940"/>
    </row>
    <row r="14941" spans="1:2" x14ac:dyDescent="0.25">
      <c r="A14941"/>
      <c r="B14941"/>
    </row>
    <row r="14942" spans="1:2" x14ac:dyDescent="0.25">
      <c r="A14942"/>
      <c r="B14942"/>
    </row>
    <row r="14943" spans="1:2" x14ac:dyDescent="0.25">
      <c r="A14943"/>
      <c r="B14943"/>
    </row>
    <row r="14944" spans="1:2" x14ac:dyDescent="0.25">
      <c r="A14944"/>
      <c r="B14944"/>
    </row>
    <row r="14945" spans="1:2" x14ac:dyDescent="0.25">
      <c r="A14945"/>
      <c r="B14945"/>
    </row>
    <row r="14946" spans="1:2" x14ac:dyDescent="0.25">
      <c r="A14946"/>
      <c r="B14946"/>
    </row>
    <row r="14947" spans="1:2" x14ac:dyDescent="0.25">
      <c r="A14947"/>
      <c r="B14947"/>
    </row>
    <row r="14948" spans="1:2" x14ac:dyDescent="0.25">
      <c r="A14948"/>
      <c r="B14948"/>
    </row>
    <row r="14949" spans="1:2" x14ac:dyDescent="0.25">
      <c r="A14949"/>
      <c r="B14949"/>
    </row>
    <row r="14950" spans="1:2" x14ac:dyDescent="0.25">
      <c r="A14950"/>
      <c r="B14950"/>
    </row>
    <row r="14951" spans="1:2" x14ac:dyDescent="0.25">
      <c r="A14951"/>
      <c r="B14951"/>
    </row>
    <row r="14952" spans="1:2" x14ac:dyDescent="0.25">
      <c r="A14952"/>
      <c r="B14952"/>
    </row>
    <row r="14953" spans="1:2" x14ac:dyDescent="0.25">
      <c r="A14953"/>
      <c r="B14953"/>
    </row>
    <row r="14954" spans="1:2" x14ac:dyDescent="0.25">
      <c r="A14954"/>
      <c r="B14954"/>
    </row>
    <row r="14955" spans="1:2" x14ac:dyDescent="0.25">
      <c r="A14955"/>
      <c r="B14955"/>
    </row>
    <row r="14956" spans="1:2" x14ac:dyDescent="0.25">
      <c r="A14956"/>
      <c r="B14956"/>
    </row>
    <row r="14957" spans="1:2" x14ac:dyDescent="0.25">
      <c r="A14957"/>
      <c r="B14957"/>
    </row>
    <row r="14958" spans="1:2" x14ac:dyDescent="0.25">
      <c r="A14958"/>
      <c r="B14958"/>
    </row>
    <row r="14959" spans="1:2" x14ac:dyDescent="0.25">
      <c r="A14959"/>
      <c r="B14959"/>
    </row>
    <row r="14960" spans="1:2" x14ac:dyDescent="0.25">
      <c r="A14960"/>
      <c r="B14960"/>
    </row>
    <row r="14961" spans="1:2" x14ac:dyDescent="0.25">
      <c r="A14961"/>
      <c r="B14961"/>
    </row>
    <row r="14962" spans="1:2" x14ac:dyDescent="0.25">
      <c r="A14962"/>
      <c r="B14962"/>
    </row>
    <row r="14963" spans="1:2" x14ac:dyDescent="0.25">
      <c r="A14963"/>
      <c r="B14963"/>
    </row>
    <row r="14964" spans="1:2" x14ac:dyDescent="0.25">
      <c r="A14964"/>
      <c r="B14964"/>
    </row>
    <row r="14965" spans="1:2" x14ac:dyDescent="0.25">
      <c r="A14965"/>
      <c r="B14965"/>
    </row>
    <row r="14966" spans="1:2" x14ac:dyDescent="0.25">
      <c r="A14966"/>
      <c r="B14966"/>
    </row>
    <row r="14967" spans="1:2" x14ac:dyDescent="0.25">
      <c r="A14967"/>
      <c r="B14967"/>
    </row>
    <row r="14968" spans="1:2" x14ac:dyDescent="0.25">
      <c r="A14968"/>
      <c r="B14968"/>
    </row>
    <row r="14969" spans="1:2" x14ac:dyDescent="0.25">
      <c r="A14969"/>
      <c r="B14969"/>
    </row>
    <row r="14970" spans="1:2" x14ac:dyDescent="0.25">
      <c r="A14970"/>
      <c r="B14970"/>
    </row>
    <row r="14971" spans="1:2" x14ac:dyDescent="0.25">
      <c r="A14971"/>
      <c r="B14971"/>
    </row>
    <row r="14972" spans="1:2" x14ac:dyDescent="0.25">
      <c r="A14972"/>
      <c r="B14972"/>
    </row>
    <row r="14973" spans="1:2" x14ac:dyDescent="0.25">
      <c r="A14973"/>
      <c r="B14973"/>
    </row>
    <row r="14974" spans="1:2" x14ac:dyDescent="0.25">
      <c r="A14974"/>
      <c r="B14974"/>
    </row>
    <row r="14975" spans="1:2" x14ac:dyDescent="0.25">
      <c r="A14975"/>
      <c r="B14975"/>
    </row>
    <row r="14976" spans="1:2" x14ac:dyDescent="0.25">
      <c r="A14976"/>
      <c r="B14976"/>
    </row>
    <row r="14977" spans="1:2" x14ac:dyDescent="0.25">
      <c r="A14977"/>
      <c r="B14977"/>
    </row>
    <row r="14978" spans="1:2" x14ac:dyDescent="0.25">
      <c r="A14978"/>
      <c r="B14978"/>
    </row>
    <row r="14979" spans="1:2" x14ac:dyDescent="0.25">
      <c r="A14979"/>
      <c r="B14979"/>
    </row>
    <row r="14980" spans="1:2" x14ac:dyDescent="0.25">
      <c r="A14980"/>
      <c r="B14980"/>
    </row>
    <row r="14981" spans="1:2" x14ac:dyDescent="0.25">
      <c r="A14981"/>
      <c r="B14981"/>
    </row>
    <row r="14982" spans="1:2" x14ac:dyDescent="0.25">
      <c r="A14982"/>
      <c r="B14982"/>
    </row>
    <row r="14983" spans="1:2" x14ac:dyDescent="0.25">
      <c r="A14983"/>
      <c r="B14983"/>
    </row>
    <row r="14984" spans="1:2" x14ac:dyDescent="0.25">
      <c r="A14984"/>
      <c r="B14984"/>
    </row>
    <row r="14985" spans="1:2" x14ac:dyDescent="0.25">
      <c r="A14985"/>
      <c r="B14985"/>
    </row>
    <row r="14986" spans="1:2" x14ac:dyDescent="0.25">
      <c r="A14986"/>
      <c r="B14986"/>
    </row>
    <row r="14987" spans="1:2" x14ac:dyDescent="0.25">
      <c r="A14987"/>
      <c r="B14987"/>
    </row>
    <row r="14988" spans="1:2" x14ac:dyDescent="0.25">
      <c r="A14988"/>
      <c r="B14988"/>
    </row>
    <row r="14989" spans="1:2" x14ac:dyDescent="0.25">
      <c r="A14989"/>
      <c r="B14989"/>
    </row>
    <row r="14990" spans="1:2" x14ac:dyDescent="0.25">
      <c r="A14990"/>
      <c r="B14990"/>
    </row>
    <row r="14991" spans="1:2" x14ac:dyDescent="0.25">
      <c r="A14991"/>
      <c r="B14991"/>
    </row>
    <row r="14992" spans="1:2" x14ac:dyDescent="0.25">
      <c r="A14992"/>
      <c r="B14992"/>
    </row>
    <row r="14993" spans="1:2" x14ac:dyDescent="0.25">
      <c r="A14993"/>
      <c r="B14993"/>
    </row>
    <row r="14994" spans="1:2" x14ac:dyDescent="0.25">
      <c r="A14994"/>
      <c r="B14994"/>
    </row>
    <row r="14995" spans="1:2" x14ac:dyDescent="0.25">
      <c r="A14995"/>
      <c r="B14995"/>
    </row>
    <row r="14996" spans="1:2" x14ac:dyDescent="0.25">
      <c r="A14996"/>
      <c r="B14996"/>
    </row>
    <row r="14997" spans="1:2" x14ac:dyDescent="0.25">
      <c r="A14997"/>
      <c r="B14997"/>
    </row>
    <row r="14998" spans="1:2" x14ac:dyDescent="0.25">
      <c r="A14998"/>
      <c r="B14998"/>
    </row>
    <row r="14999" spans="1:2" x14ac:dyDescent="0.25">
      <c r="A14999"/>
      <c r="B14999"/>
    </row>
    <row r="15000" spans="1:2" x14ac:dyDescent="0.25">
      <c r="A15000"/>
      <c r="B15000"/>
    </row>
    <row r="15001" spans="1:2" x14ac:dyDescent="0.25">
      <c r="A15001"/>
      <c r="B15001"/>
    </row>
    <row r="15002" spans="1:2" x14ac:dyDescent="0.25">
      <c r="A15002"/>
      <c r="B15002"/>
    </row>
    <row r="15003" spans="1:2" x14ac:dyDescent="0.25">
      <c r="A15003"/>
      <c r="B15003"/>
    </row>
    <row r="15004" spans="1:2" x14ac:dyDescent="0.25">
      <c r="A15004"/>
      <c r="B15004"/>
    </row>
    <row r="15005" spans="1:2" x14ac:dyDescent="0.25">
      <c r="A15005"/>
      <c r="B15005"/>
    </row>
    <row r="15006" spans="1:2" x14ac:dyDescent="0.25">
      <c r="A15006"/>
      <c r="B15006"/>
    </row>
    <row r="15007" spans="1:2" x14ac:dyDescent="0.25">
      <c r="A15007"/>
      <c r="B15007"/>
    </row>
    <row r="15008" spans="1:2" x14ac:dyDescent="0.25">
      <c r="A15008"/>
      <c r="B15008"/>
    </row>
    <row r="15009" spans="1:2" x14ac:dyDescent="0.25">
      <c r="A15009"/>
      <c r="B15009"/>
    </row>
    <row r="15010" spans="1:2" x14ac:dyDescent="0.25">
      <c r="A15010"/>
      <c r="B15010"/>
    </row>
    <row r="15011" spans="1:2" x14ac:dyDescent="0.25">
      <c r="A15011"/>
      <c r="B15011"/>
    </row>
    <row r="15012" spans="1:2" x14ac:dyDescent="0.25">
      <c r="A15012"/>
      <c r="B15012"/>
    </row>
    <row r="15013" spans="1:2" x14ac:dyDescent="0.25">
      <c r="A15013"/>
      <c r="B15013"/>
    </row>
    <row r="15014" spans="1:2" x14ac:dyDescent="0.25">
      <c r="A15014"/>
      <c r="B15014"/>
    </row>
    <row r="15015" spans="1:2" x14ac:dyDescent="0.25">
      <c r="A15015"/>
      <c r="B15015"/>
    </row>
    <row r="15016" spans="1:2" x14ac:dyDescent="0.25">
      <c r="A15016"/>
      <c r="B15016"/>
    </row>
    <row r="15017" spans="1:2" x14ac:dyDescent="0.25">
      <c r="A15017"/>
      <c r="B15017"/>
    </row>
    <row r="15018" spans="1:2" x14ac:dyDescent="0.25">
      <c r="A15018"/>
      <c r="B15018"/>
    </row>
    <row r="15019" spans="1:2" x14ac:dyDescent="0.25">
      <c r="A15019"/>
      <c r="B15019"/>
    </row>
    <row r="15020" spans="1:2" x14ac:dyDescent="0.25">
      <c r="A15020"/>
      <c r="B15020"/>
    </row>
    <row r="15021" spans="1:2" x14ac:dyDescent="0.25">
      <c r="A15021"/>
      <c r="B15021"/>
    </row>
    <row r="15022" spans="1:2" x14ac:dyDescent="0.25">
      <c r="A15022"/>
      <c r="B15022"/>
    </row>
    <row r="15023" spans="1:2" x14ac:dyDescent="0.25">
      <c r="A15023"/>
      <c r="B15023"/>
    </row>
    <row r="15024" spans="1:2" x14ac:dyDescent="0.25">
      <c r="A15024"/>
      <c r="B15024"/>
    </row>
    <row r="15025" spans="1:2" x14ac:dyDescent="0.25">
      <c r="A15025"/>
      <c r="B15025"/>
    </row>
    <row r="15026" spans="1:2" x14ac:dyDescent="0.25">
      <c r="A15026"/>
      <c r="B15026"/>
    </row>
    <row r="15027" spans="1:2" x14ac:dyDescent="0.25">
      <c r="A15027"/>
      <c r="B15027"/>
    </row>
    <row r="15028" spans="1:2" x14ac:dyDescent="0.25">
      <c r="A15028"/>
      <c r="B15028"/>
    </row>
    <row r="15029" spans="1:2" x14ac:dyDescent="0.25">
      <c r="A15029"/>
      <c r="B15029"/>
    </row>
    <row r="15030" spans="1:2" x14ac:dyDescent="0.25">
      <c r="A15030"/>
      <c r="B15030"/>
    </row>
    <row r="15031" spans="1:2" x14ac:dyDescent="0.25">
      <c r="A15031"/>
      <c r="B15031"/>
    </row>
    <row r="15032" spans="1:2" x14ac:dyDescent="0.25">
      <c r="A15032"/>
      <c r="B15032"/>
    </row>
    <row r="15033" spans="1:2" x14ac:dyDescent="0.25">
      <c r="A15033"/>
      <c r="B15033"/>
    </row>
    <row r="15034" spans="1:2" x14ac:dyDescent="0.25">
      <c r="A15034"/>
      <c r="B15034"/>
    </row>
    <row r="15035" spans="1:2" x14ac:dyDescent="0.25">
      <c r="A15035"/>
      <c r="B15035"/>
    </row>
    <row r="15036" spans="1:2" x14ac:dyDescent="0.25">
      <c r="A15036"/>
      <c r="B15036"/>
    </row>
    <row r="15037" spans="1:2" x14ac:dyDescent="0.25">
      <c r="A15037"/>
      <c r="B15037"/>
    </row>
    <row r="15038" spans="1:2" x14ac:dyDescent="0.25">
      <c r="A15038"/>
      <c r="B15038"/>
    </row>
    <row r="15039" spans="1:2" x14ac:dyDescent="0.25">
      <c r="A15039"/>
      <c r="B15039"/>
    </row>
    <row r="15040" spans="1:2" x14ac:dyDescent="0.25">
      <c r="A15040"/>
      <c r="B15040"/>
    </row>
    <row r="15041" spans="1:2" x14ac:dyDescent="0.25">
      <c r="A15041"/>
      <c r="B15041"/>
    </row>
    <row r="15042" spans="1:2" x14ac:dyDescent="0.25">
      <c r="A15042"/>
      <c r="B15042"/>
    </row>
    <row r="15043" spans="1:2" x14ac:dyDescent="0.25">
      <c r="A15043"/>
      <c r="B15043"/>
    </row>
    <row r="15044" spans="1:2" x14ac:dyDescent="0.25">
      <c r="A15044"/>
      <c r="B15044"/>
    </row>
    <row r="15045" spans="1:2" x14ac:dyDescent="0.25">
      <c r="A15045"/>
      <c r="B15045"/>
    </row>
    <row r="15046" spans="1:2" x14ac:dyDescent="0.25">
      <c r="A15046"/>
      <c r="B15046"/>
    </row>
    <row r="15047" spans="1:2" x14ac:dyDescent="0.25">
      <c r="A15047"/>
      <c r="B15047"/>
    </row>
    <row r="15048" spans="1:2" x14ac:dyDescent="0.25">
      <c r="A15048"/>
      <c r="B15048"/>
    </row>
    <row r="15049" spans="1:2" x14ac:dyDescent="0.25">
      <c r="A15049"/>
      <c r="B15049"/>
    </row>
    <row r="15050" spans="1:2" x14ac:dyDescent="0.25">
      <c r="A15050"/>
      <c r="B15050"/>
    </row>
    <row r="15051" spans="1:2" x14ac:dyDescent="0.25">
      <c r="A15051"/>
      <c r="B15051"/>
    </row>
    <row r="15052" spans="1:2" x14ac:dyDescent="0.25">
      <c r="A15052"/>
      <c r="B15052"/>
    </row>
    <row r="15053" spans="1:2" x14ac:dyDescent="0.25">
      <c r="A15053"/>
      <c r="B15053"/>
    </row>
    <row r="15054" spans="1:2" x14ac:dyDescent="0.25">
      <c r="A15054"/>
      <c r="B15054"/>
    </row>
    <row r="15055" spans="1:2" x14ac:dyDescent="0.25">
      <c r="A15055"/>
      <c r="B15055"/>
    </row>
    <row r="15056" spans="1:2" x14ac:dyDescent="0.25">
      <c r="A15056"/>
      <c r="B15056"/>
    </row>
    <row r="15057" spans="1:2" x14ac:dyDescent="0.25">
      <c r="A15057"/>
      <c r="B15057"/>
    </row>
    <row r="15058" spans="1:2" x14ac:dyDescent="0.25">
      <c r="A15058"/>
      <c r="B15058"/>
    </row>
    <row r="15059" spans="1:2" x14ac:dyDescent="0.25">
      <c r="A15059"/>
      <c r="B15059"/>
    </row>
    <row r="15060" spans="1:2" x14ac:dyDescent="0.25">
      <c r="A15060"/>
      <c r="B15060"/>
    </row>
    <row r="15061" spans="1:2" x14ac:dyDescent="0.25">
      <c r="A15061"/>
      <c r="B15061"/>
    </row>
    <row r="15062" spans="1:2" x14ac:dyDescent="0.25">
      <c r="A15062"/>
      <c r="B15062"/>
    </row>
    <row r="15063" spans="1:2" x14ac:dyDescent="0.25">
      <c r="A15063"/>
      <c r="B15063"/>
    </row>
    <row r="15064" spans="1:2" x14ac:dyDescent="0.25">
      <c r="A15064"/>
      <c r="B15064"/>
    </row>
    <row r="15065" spans="1:2" x14ac:dyDescent="0.25">
      <c r="A15065"/>
      <c r="B15065"/>
    </row>
    <row r="15066" spans="1:2" x14ac:dyDescent="0.25">
      <c r="A15066"/>
      <c r="B15066"/>
    </row>
    <row r="15067" spans="1:2" x14ac:dyDescent="0.25">
      <c r="A15067"/>
      <c r="B15067"/>
    </row>
    <row r="15068" spans="1:2" x14ac:dyDescent="0.25">
      <c r="A15068"/>
      <c r="B15068"/>
    </row>
    <row r="15069" spans="1:2" x14ac:dyDescent="0.25">
      <c r="A15069"/>
      <c r="B15069"/>
    </row>
    <row r="15070" spans="1:2" x14ac:dyDescent="0.25">
      <c r="A15070"/>
      <c r="B15070"/>
    </row>
    <row r="15071" spans="1:2" x14ac:dyDescent="0.25">
      <c r="A15071"/>
      <c r="B15071"/>
    </row>
    <row r="15072" spans="1:2" x14ac:dyDescent="0.25">
      <c r="A15072"/>
      <c r="B15072"/>
    </row>
    <row r="15073" spans="1:2" x14ac:dyDescent="0.25">
      <c r="A15073"/>
      <c r="B15073"/>
    </row>
    <row r="15074" spans="1:2" x14ac:dyDescent="0.25">
      <c r="A15074"/>
      <c r="B15074"/>
    </row>
    <row r="15075" spans="1:2" x14ac:dyDescent="0.25">
      <c r="A15075"/>
      <c r="B15075"/>
    </row>
    <row r="15076" spans="1:2" x14ac:dyDescent="0.25">
      <c r="A15076"/>
      <c r="B15076"/>
    </row>
    <row r="15077" spans="1:2" x14ac:dyDescent="0.25">
      <c r="A15077"/>
      <c r="B15077"/>
    </row>
    <row r="15078" spans="1:2" x14ac:dyDescent="0.25">
      <c r="A15078"/>
      <c r="B15078"/>
    </row>
    <row r="15079" spans="1:2" x14ac:dyDescent="0.25">
      <c r="A15079"/>
      <c r="B15079"/>
    </row>
    <row r="15080" spans="1:2" x14ac:dyDescent="0.25">
      <c r="A15080"/>
      <c r="B15080"/>
    </row>
    <row r="15081" spans="1:2" x14ac:dyDescent="0.25">
      <c r="A15081"/>
      <c r="B15081"/>
    </row>
    <row r="15082" spans="1:2" x14ac:dyDescent="0.25">
      <c r="A15082"/>
      <c r="B15082"/>
    </row>
    <row r="15083" spans="1:2" x14ac:dyDescent="0.25">
      <c r="A15083"/>
      <c r="B15083"/>
    </row>
    <row r="15084" spans="1:2" x14ac:dyDescent="0.25">
      <c r="A15084"/>
      <c r="B15084"/>
    </row>
    <row r="15085" spans="1:2" x14ac:dyDescent="0.25">
      <c r="A15085"/>
      <c r="B15085"/>
    </row>
    <row r="15086" spans="1:2" x14ac:dyDescent="0.25">
      <c r="A15086"/>
      <c r="B15086"/>
    </row>
    <row r="15087" spans="1:2" x14ac:dyDescent="0.25">
      <c r="A15087"/>
      <c r="B15087"/>
    </row>
    <row r="15088" spans="1:2" x14ac:dyDescent="0.25">
      <c r="A15088"/>
      <c r="B15088"/>
    </row>
    <row r="15089" spans="1:2" x14ac:dyDescent="0.25">
      <c r="A15089"/>
      <c r="B15089"/>
    </row>
    <row r="15090" spans="1:2" x14ac:dyDescent="0.25">
      <c r="A15090"/>
      <c r="B15090"/>
    </row>
    <row r="15091" spans="1:2" x14ac:dyDescent="0.25">
      <c r="A15091"/>
      <c r="B15091"/>
    </row>
    <row r="15092" spans="1:2" x14ac:dyDescent="0.25">
      <c r="A15092"/>
      <c r="B15092"/>
    </row>
    <row r="15093" spans="1:2" x14ac:dyDescent="0.25">
      <c r="A15093"/>
      <c r="B15093"/>
    </row>
    <row r="15094" spans="1:2" x14ac:dyDescent="0.25">
      <c r="A15094"/>
      <c r="B15094"/>
    </row>
    <row r="15095" spans="1:2" x14ac:dyDescent="0.25">
      <c r="A15095"/>
      <c r="B15095"/>
    </row>
    <row r="15096" spans="1:2" x14ac:dyDescent="0.25">
      <c r="A15096"/>
      <c r="B15096"/>
    </row>
    <row r="15097" spans="1:2" x14ac:dyDescent="0.25">
      <c r="A15097"/>
      <c r="B15097"/>
    </row>
    <row r="15098" spans="1:2" x14ac:dyDescent="0.25">
      <c r="A15098"/>
      <c r="B15098"/>
    </row>
    <row r="15099" spans="1:2" x14ac:dyDescent="0.25">
      <c r="A15099"/>
      <c r="B15099"/>
    </row>
    <row r="15100" spans="1:2" x14ac:dyDescent="0.25">
      <c r="A15100"/>
      <c r="B15100"/>
    </row>
    <row r="15101" spans="1:2" x14ac:dyDescent="0.25">
      <c r="A15101"/>
      <c r="B15101"/>
    </row>
    <row r="15102" spans="1:2" x14ac:dyDescent="0.25">
      <c r="A15102"/>
      <c r="B15102"/>
    </row>
    <row r="15103" spans="1:2" x14ac:dyDescent="0.25">
      <c r="A15103"/>
      <c r="B15103"/>
    </row>
    <row r="15104" spans="1:2" x14ac:dyDescent="0.25">
      <c r="A15104"/>
      <c r="B15104"/>
    </row>
    <row r="15105" spans="1:2" x14ac:dyDescent="0.25">
      <c r="A15105"/>
      <c r="B15105"/>
    </row>
    <row r="15106" spans="1:2" x14ac:dyDescent="0.25">
      <c r="A15106"/>
      <c r="B15106"/>
    </row>
    <row r="15107" spans="1:2" x14ac:dyDescent="0.25">
      <c r="A15107"/>
      <c r="B15107"/>
    </row>
    <row r="15108" spans="1:2" x14ac:dyDescent="0.25">
      <c r="A15108"/>
      <c r="B15108"/>
    </row>
    <row r="15109" spans="1:2" x14ac:dyDescent="0.25">
      <c r="A15109"/>
      <c r="B15109"/>
    </row>
    <row r="15110" spans="1:2" x14ac:dyDescent="0.25">
      <c r="A15110"/>
      <c r="B15110"/>
    </row>
    <row r="15111" spans="1:2" x14ac:dyDescent="0.25">
      <c r="A15111"/>
      <c r="B15111"/>
    </row>
    <row r="15112" spans="1:2" x14ac:dyDescent="0.25">
      <c r="A15112"/>
      <c r="B15112"/>
    </row>
    <row r="15113" spans="1:2" x14ac:dyDescent="0.25">
      <c r="A15113"/>
      <c r="B15113"/>
    </row>
    <row r="15114" spans="1:2" x14ac:dyDescent="0.25">
      <c r="A15114"/>
      <c r="B15114"/>
    </row>
    <row r="15115" spans="1:2" x14ac:dyDescent="0.25">
      <c r="A15115"/>
      <c r="B15115"/>
    </row>
    <row r="15116" spans="1:2" x14ac:dyDescent="0.25">
      <c r="A15116"/>
      <c r="B15116"/>
    </row>
    <row r="15117" spans="1:2" x14ac:dyDescent="0.25">
      <c r="A15117"/>
      <c r="B15117"/>
    </row>
    <row r="15118" spans="1:2" x14ac:dyDescent="0.25">
      <c r="A15118"/>
      <c r="B15118"/>
    </row>
    <row r="15119" spans="1:2" x14ac:dyDescent="0.25">
      <c r="A15119"/>
      <c r="B15119"/>
    </row>
    <row r="15120" spans="1:2" x14ac:dyDescent="0.25">
      <c r="A15120"/>
      <c r="B15120"/>
    </row>
    <row r="15121" spans="1:2" x14ac:dyDescent="0.25">
      <c r="A15121"/>
      <c r="B15121"/>
    </row>
    <row r="15122" spans="1:2" x14ac:dyDescent="0.25">
      <c r="A15122"/>
      <c r="B15122"/>
    </row>
    <row r="15123" spans="1:2" x14ac:dyDescent="0.25">
      <c r="A15123"/>
      <c r="B15123"/>
    </row>
    <row r="15124" spans="1:2" x14ac:dyDescent="0.25">
      <c r="A15124"/>
      <c r="B15124"/>
    </row>
    <row r="15125" spans="1:2" x14ac:dyDescent="0.25">
      <c r="A15125"/>
      <c r="B15125"/>
    </row>
    <row r="15126" spans="1:2" x14ac:dyDescent="0.25">
      <c r="A15126"/>
      <c r="B15126"/>
    </row>
    <row r="15127" spans="1:2" x14ac:dyDescent="0.25">
      <c r="A15127"/>
      <c r="B15127"/>
    </row>
    <row r="15128" spans="1:2" x14ac:dyDescent="0.25">
      <c r="A15128"/>
      <c r="B15128"/>
    </row>
    <row r="15129" spans="1:2" x14ac:dyDescent="0.25">
      <c r="A15129"/>
      <c r="B15129"/>
    </row>
    <row r="15130" spans="1:2" x14ac:dyDescent="0.25">
      <c r="A15130"/>
      <c r="B15130"/>
    </row>
    <row r="15131" spans="1:2" x14ac:dyDescent="0.25">
      <c r="A15131"/>
      <c r="B15131"/>
    </row>
    <row r="15132" spans="1:2" x14ac:dyDescent="0.25">
      <c r="A15132"/>
      <c r="B15132"/>
    </row>
    <row r="15133" spans="1:2" x14ac:dyDescent="0.25">
      <c r="A15133"/>
      <c r="B15133"/>
    </row>
    <row r="15134" spans="1:2" x14ac:dyDescent="0.25">
      <c r="A15134"/>
      <c r="B15134"/>
    </row>
    <row r="15135" spans="1:2" x14ac:dyDescent="0.25">
      <c r="A15135"/>
      <c r="B15135"/>
    </row>
    <row r="15136" spans="1:2" x14ac:dyDescent="0.25">
      <c r="A15136"/>
      <c r="B15136"/>
    </row>
    <row r="15137" spans="1:2" x14ac:dyDescent="0.25">
      <c r="A15137"/>
      <c r="B15137"/>
    </row>
    <row r="15138" spans="1:2" x14ac:dyDescent="0.25">
      <c r="A15138"/>
      <c r="B15138"/>
    </row>
    <row r="15139" spans="1:2" x14ac:dyDescent="0.25">
      <c r="A15139"/>
      <c r="B15139"/>
    </row>
    <row r="15140" spans="1:2" x14ac:dyDescent="0.25">
      <c r="A15140"/>
      <c r="B15140"/>
    </row>
    <row r="15141" spans="1:2" x14ac:dyDescent="0.25">
      <c r="A15141"/>
      <c r="B15141"/>
    </row>
    <row r="15142" spans="1:2" x14ac:dyDescent="0.25">
      <c r="A15142"/>
      <c r="B15142"/>
    </row>
    <row r="15143" spans="1:2" x14ac:dyDescent="0.25">
      <c r="A15143"/>
      <c r="B15143"/>
    </row>
    <row r="15144" spans="1:2" x14ac:dyDescent="0.25">
      <c r="A15144"/>
      <c r="B15144"/>
    </row>
    <row r="15145" spans="1:2" x14ac:dyDescent="0.25">
      <c r="A15145"/>
      <c r="B15145"/>
    </row>
    <row r="15146" spans="1:2" x14ac:dyDescent="0.25">
      <c r="A15146"/>
      <c r="B15146"/>
    </row>
    <row r="15147" spans="1:2" x14ac:dyDescent="0.25">
      <c r="A15147"/>
      <c r="B15147"/>
    </row>
    <row r="15148" spans="1:2" x14ac:dyDescent="0.25">
      <c r="A15148"/>
      <c r="B15148"/>
    </row>
    <row r="15149" spans="1:2" x14ac:dyDescent="0.25">
      <c r="A15149"/>
      <c r="B15149"/>
    </row>
    <row r="15150" spans="1:2" x14ac:dyDescent="0.25">
      <c r="A15150"/>
      <c r="B15150"/>
    </row>
    <row r="15151" spans="1:2" x14ac:dyDescent="0.25">
      <c r="A15151"/>
      <c r="B15151"/>
    </row>
    <row r="15152" spans="1:2" x14ac:dyDescent="0.25">
      <c r="A15152"/>
      <c r="B15152"/>
    </row>
    <row r="15153" spans="1:2" x14ac:dyDescent="0.25">
      <c r="A15153"/>
      <c r="B15153"/>
    </row>
    <row r="15154" spans="1:2" x14ac:dyDescent="0.25">
      <c r="A15154"/>
      <c r="B15154"/>
    </row>
    <row r="15155" spans="1:2" x14ac:dyDescent="0.25">
      <c r="A15155"/>
      <c r="B15155"/>
    </row>
    <row r="15156" spans="1:2" x14ac:dyDescent="0.25">
      <c r="A15156"/>
      <c r="B15156"/>
    </row>
    <row r="15157" spans="1:2" x14ac:dyDescent="0.25">
      <c r="A15157"/>
      <c r="B15157"/>
    </row>
    <row r="15158" spans="1:2" x14ac:dyDescent="0.25">
      <c r="A15158"/>
      <c r="B15158"/>
    </row>
    <row r="15159" spans="1:2" x14ac:dyDescent="0.25">
      <c r="A15159"/>
      <c r="B15159"/>
    </row>
    <row r="15160" spans="1:2" x14ac:dyDescent="0.25">
      <c r="A15160"/>
      <c r="B15160"/>
    </row>
    <row r="15161" spans="1:2" x14ac:dyDescent="0.25">
      <c r="A15161"/>
      <c r="B15161"/>
    </row>
    <row r="15162" spans="1:2" x14ac:dyDescent="0.25">
      <c r="A15162"/>
      <c r="B15162"/>
    </row>
    <row r="15163" spans="1:2" x14ac:dyDescent="0.25">
      <c r="A15163"/>
      <c r="B15163"/>
    </row>
    <row r="15164" spans="1:2" x14ac:dyDescent="0.25">
      <c r="A15164"/>
      <c r="B15164"/>
    </row>
    <row r="15165" spans="1:2" x14ac:dyDescent="0.25">
      <c r="A15165"/>
      <c r="B15165"/>
    </row>
    <row r="15166" spans="1:2" x14ac:dyDescent="0.25">
      <c r="A15166"/>
      <c r="B15166"/>
    </row>
    <row r="15167" spans="1:2" x14ac:dyDescent="0.25">
      <c r="A15167"/>
      <c r="B15167"/>
    </row>
    <row r="15168" spans="1:2" x14ac:dyDescent="0.25">
      <c r="A15168"/>
      <c r="B15168"/>
    </row>
    <row r="15169" spans="1:2" x14ac:dyDescent="0.25">
      <c r="A15169"/>
      <c r="B15169"/>
    </row>
    <row r="15170" spans="1:2" x14ac:dyDescent="0.25">
      <c r="A15170"/>
      <c r="B15170"/>
    </row>
    <row r="15171" spans="1:2" x14ac:dyDescent="0.25">
      <c r="A15171"/>
      <c r="B15171"/>
    </row>
    <row r="15172" spans="1:2" x14ac:dyDescent="0.25">
      <c r="A15172"/>
      <c r="B15172"/>
    </row>
    <row r="15173" spans="1:2" x14ac:dyDescent="0.25">
      <c r="A15173"/>
      <c r="B15173"/>
    </row>
    <row r="15174" spans="1:2" x14ac:dyDescent="0.25">
      <c r="A15174"/>
      <c r="B15174"/>
    </row>
    <row r="15175" spans="1:2" x14ac:dyDescent="0.25">
      <c r="A15175"/>
      <c r="B15175"/>
    </row>
    <row r="15176" spans="1:2" x14ac:dyDescent="0.25">
      <c r="A15176"/>
      <c r="B15176"/>
    </row>
    <row r="15177" spans="1:2" x14ac:dyDescent="0.25">
      <c r="A15177"/>
      <c r="B15177"/>
    </row>
    <row r="15178" spans="1:2" x14ac:dyDescent="0.25">
      <c r="A15178"/>
      <c r="B15178"/>
    </row>
    <row r="15179" spans="1:2" x14ac:dyDescent="0.25">
      <c r="A15179"/>
      <c r="B15179"/>
    </row>
    <row r="15180" spans="1:2" x14ac:dyDescent="0.25">
      <c r="A15180"/>
      <c r="B15180"/>
    </row>
    <row r="15181" spans="1:2" x14ac:dyDescent="0.25">
      <c r="A15181"/>
      <c r="B15181"/>
    </row>
    <row r="15182" spans="1:2" x14ac:dyDescent="0.25">
      <c r="A15182"/>
      <c r="B15182"/>
    </row>
    <row r="15183" spans="1:2" x14ac:dyDescent="0.25">
      <c r="A15183"/>
      <c r="B15183"/>
    </row>
    <row r="15184" spans="1:2" x14ac:dyDescent="0.25">
      <c r="A15184"/>
      <c r="B15184"/>
    </row>
    <row r="15185" spans="1:2" x14ac:dyDescent="0.25">
      <c r="A15185"/>
      <c r="B15185"/>
    </row>
    <row r="15186" spans="1:2" x14ac:dyDescent="0.25">
      <c r="A15186"/>
      <c r="B15186"/>
    </row>
    <row r="15187" spans="1:2" x14ac:dyDescent="0.25">
      <c r="A15187"/>
      <c r="B15187"/>
    </row>
    <row r="15188" spans="1:2" x14ac:dyDescent="0.25">
      <c r="A15188"/>
      <c r="B15188"/>
    </row>
    <row r="15189" spans="1:2" x14ac:dyDescent="0.25">
      <c r="A15189"/>
      <c r="B15189"/>
    </row>
    <row r="15190" spans="1:2" x14ac:dyDescent="0.25">
      <c r="A15190"/>
      <c r="B15190"/>
    </row>
    <row r="15191" spans="1:2" x14ac:dyDescent="0.25">
      <c r="A15191"/>
      <c r="B15191"/>
    </row>
    <row r="15192" spans="1:2" x14ac:dyDescent="0.25">
      <c r="A15192"/>
      <c r="B15192"/>
    </row>
    <row r="15193" spans="1:2" x14ac:dyDescent="0.25">
      <c r="A15193"/>
      <c r="B15193"/>
    </row>
    <row r="15194" spans="1:2" x14ac:dyDescent="0.25">
      <c r="A15194"/>
      <c r="B15194"/>
    </row>
    <row r="15195" spans="1:2" x14ac:dyDescent="0.25">
      <c r="A15195"/>
      <c r="B15195"/>
    </row>
    <row r="15196" spans="1:2" x14ac:dyDescent="0.25">
      <c r="A15196"/>
      <c r="B15196"/>
    </row>
    <row r="15197" spans="1:2" x14ac:dyDescent="0.25">
      <c r="A15197"/>
      <c r="B15197"/>
    </row>
    <row r="15198" spans="1:2" x14ac:dyDescent="0.25">
      <c r="A15198"/>
      <c r="B15198"/>
    </row>
    <row r="15199" spans="1:2" x14ac:dyDescent="0.25">
      <c r="A15199"/>
      <c r="B15199"/>
    </row>
    <row r="15200" spans="1:2" x14ac:dyDescent="0.25">
      <c r="A15200"/>
      <c r="B15200"/>
    </row>
    <row r="15201" spans="1:2" x14ac:dyDescent="0.25">
      <c r="A15201"/>
      <c r="B15201"/>
    </row>
    <row r="15202" spans="1:2" x14ac:dyDescent="0.25">
      <c r="A15202"/>
      <c r="B15202"/>
    </row>
    <row r="15203" spans="1:2" x14ac:dyDescent="0.25">
      <c r="A15203"/>
      <c r="B15203"/>
    </row>
    <row r="15204" spans="1:2" x14ac:dyDescent="0.25">
      <c r="A15204"/>
      <c r="B15204"/>
    </row>
    <row r="15205" spans="1:2" x14ac:dyDescent="0.25">
      <c r="A15205"/>
      <c r="B15205"/>
    </row>
    <row r="15206" spans="1:2" x14ac:dyDescent="0.25">
      <c r="A15206"/>
      <c r="B15206"/>
    </row>
    <row r="15207" spans="1:2" x14ac:dyDescent="0.25">
      <c r="A15207"/>
      <c r="B15207"/>
    </row>
    <row r="15208" spans="1:2" x14ac:dyDescent="0.25">
      <c r="A15208"/>
      <c r="B15208"/>
    </row>
    <row r="15209" spans="1:2" x14ac:dyDescent="0.25">
      <c r="A15209"/>
      <c r="B15209"/>
    </row>
    <row r="15210" spans="1:2" x14ac:dyDescent="0.25">
      <c r="A15210"/>
      <c r="B15210"/>
    </row>
    <row r="15211" spans="1:2" x14ac:dyDescent="0.25">
      <c r="A15211"/>
      <c r="B15211"/>
    </row>
    <row r="15212" spans="1:2" x14ac:dyDescent="0.25">
      <c r="A15212"/>
      <c r="B15212"/>
    </row>
    <row r="15213" spans="1:2" x14ac:dyDescent="0.25">
      <c r="A15213"/>
      <c r="B15213"/>
    </row>
    <row r="15214" spans="1:2" x14ac:dyDescent="0.25">
      <c r="A15214"/>
      <c r="B15214"/>
    </row>
    <row r="15215" spans="1:2" x14ac:dyDescent="0.25">
      <c r="A15215"/>
      <c r="B15215"/>
    </row>
    <row r="15216" spans="1:2" x14ac:dyDescent="0.25">
      <c r="A15216"/>
      <c r="B15216"/>
    </row>
    <row r="15217" spans="1:2" x14ac:dyDescent="0.25">
      <c r="A15217"/>
      <c r="B15217"/>
    </row>
    <row r="15218" spans="1:2" x14ac:dyDescent="0.25">
      <c r="A15218"/>
      <c r="B15218"/>
    </row>
    <row r="15219" spans="1:2" x14ac:dyDescent="0.25">
      <c r="A15219"/>
      <c r="B15219"/>
    </row>
    <row r="15220" spans="1:2" x14ac:dyDescent="0.25">
      <c r="A15220"/>
      <c r="B15220"/>
    </row>
    <row r="15221" spans="1:2" x14ac:dyDescent="0.25">
      <c r="A15221"/>
      <c r="B15221"/>
    </row>
    <row r="15222" spans="1:2" x14ac:dyDescent="0.25">
      <c r="A15222"/>
      <c r="B15222"/>
    </row>
    <row r="15223" spans="1:2" x14ac:dyDescent="0.25">
      <c r="A15223"/>
      <c r="B15223"/>
    </row>
    <row r="15224" spans="1:2" x14ac:dyDescent="0.25">
      <c r="A15224"/>
      <c r="B15224"/>
    </row>
    <row r="15225" spans="1:2" x14ac:dyDescent="0.25">
      <c r="A15225"/>
      <c r="B15225"/>
    </row>
    <row r="15226" spans="1:2" x14ac:dyDescent="0.25">
      <c r="A15226"/>
      <c r="B15226"/>
    </row>
    <row r="15227" spans="1:2" x14ac:dyDescent="0.25">
      <c r="A15227"/>
      <c r="B15227"/>
    </row>
    <row r="15228" spans="1:2" x14ac:dyDescent="0.25">
      <c r="A15228"/>
      <c r="B15228"/>
    </row>
    <row r="15229" spans="1:2" x14ac:dyDescent="0.25">
      <c r="A15229"/>
      <c r="B15229"/>
    </row>
    <row r="15230" spans="1:2" x14ac:dyDescent="0.25">
      <c r="A15230"/>
      <c r="B15230"/>
    </row>
    <row r="15231" spans="1:2" x14ac:dyDescent="0.25">
      <c r="A15231"/>
      <c r="B15231"/>
    </row>
    <row r="15232" spans="1:2" x14ac:dyDescent="0.25">
      <c r="A15232"/>
      <c r="B15232"/>
    </row>
    <row r="15233" spans="1:2" x14ac:dyDescent="0.25">
      <c r="A15233"/>
      <c r="B15233"/>
    </row>
    <row r="15234" spans="1:2" x14ac:dyDescent="0.25">
      <c r="A15234"/>
      <c r="B15234"/>
    </row>
    <row r="15235" spans="1:2" x14ac:dyDescent="0.25">
      <c r="A15235"/>
      <c r="B15235"/>
    </row>
    <row r="15236" spans="1:2" x14ac:dyDescent="0.25">
      <c r="A15236"/>
      <c r="B15236"/>
    </row>
    <row r="15237" spans="1:2" x14ac:dyDescent="0.25">
      <c r="A15237"/>
      <c r="B15237"/>
    </row>
    <row r="15238" spans="1:2" x14ac:dyDescent="0.25">
      <c r="A15238"/>
      <c r="B15238"/>
    </row>
    <row r="15239" spans="1:2" x14ac:dyDescent="0.25">
      <c r="A15239"/>
      <c r="B15239"/>
    </row>
    <row r="15240" spans="1:2" x14ac:dyDescent="0.25">
      <c r="A15240"/>
      <c r="B15240"/>
    </row>
    <row r="15241" spans="1:2" x14ac:dyDescent="0.25">
      <c r="A15241"/>
      <c r="B15241"/>
    </row>
    <row r="15242" spans="1:2" x14ac:dyDescent="0.25">
      <c r="A15242"/>
      <c r="B15242"/>
    </row>
    <row r="15243" spans="1:2" x14ac:dyDescent="0.25">
      <c r="A15243"/>
      <c r="B15243"/>
    </row>
    <row r="15244" spans="1:2" x14ac:dyDescent="0.25">
      <c r="A15244"/>
      <c r="B15244"/>
    </row>
    <row r="15245" spans="1:2" x14ac:dyDescent="0.25">
      <c r="A15245"/>
      <c r="B15245"/>
    </row>
    <row r="15246" spans="1:2" x14ac:dyDescent="0.25">
      <c r="A15246"/>
      <c r="B15246"/>
    </row>
    <row r="15247" spans="1:2" x14ac:dyDescent="0.25">
      <c r="A15247"/>
      <c r="B15247"/>
    </row>
    <row r="15248" spans="1:2" x14ac:dyDescent="0.25">
      <c r="A15248"/>
      <c r="B15248"/>
    </row>
    <row r="15249" spans="1:2" x14ac:dyDescent="0.25">
      <c r="A15249"/>
      <c r="B15249"/>
    </row>
    <row r="15250" spans="1:2" x14ac:dyDescent="0.25">
      <c r="A15250"/>
      <c r="B15250"/>
    </row>
    <row r="15251" spans="1:2" x14ac:dyDescent="0.25">
      <c r="A15251"/>
      <c r="B15251"/>
    </row>
    <row r="15252" spans="1:2" x14ac:dyDescent="0.25">
      <c r="A15252"/>
      <c r="B15252"/>
    </row>
    <row r="15253" spans="1:2" x14ac:dyDescent="0.25">
      <c r="A15253"/>
      <c r="B15253"/>
    </row>
    <row r="15254" spans="1:2" x14ac:dyDescent="0.25">
      <c r="A15254"/>
      <c r="B15254"/>
    </row>
    <row r="15255" spans="1:2" x14ac:dyDescent="0.25">
      <c r="A15255"/>
      <c r="B15255"/>
    </row>
    <row r="15256" spans="1:2" x14ac:dyDescent="0.25">
      <c r="A15256"/>
      <c r="B15256"/>
    </row>
    <row r="15257" spans="1:2" x14ac:dyDescent="0.25">
      <c r="A15257"/>
      <c r="B15257"/>
    </row>
    <row r="15258" spans="1:2" x14ac:dyDescent="0.25">
      <c r="A15258"/>
      <c r="B15258"/>
    </row>
    <row r="15259" spans="1:2" x14ac:dyDescent="0.25">
      <c r="A15259"/>
      <c r="B15259"/>
    </row>
    <row r="15260" spans="1:2" x14ac:dyDescent="0.25">
      <c r="A15260"/>
      <c r="B15260"/>
    </row>
    <row r="15261" spans="1:2" x14ac:dyDescent="0.25">
      <c r="A15261"/>
      <c r="B15261"/>
    </row>
    <row r="15262" spans="1:2" x14ac:dyDescent="0.25">
      <c r="A15262"/>
      <c r="B15262"/>
    </row>
    <row r="15263" spans="1:2" x14ac:dyDescent="0.25">
      <c r="A15263"/>
      <c r="B15263"/>
    </row>
    <row r="15264" spans="1:2" x14ac:dyDescent="0.25">
      <c r="A15264"/>
      <c r="B15264"/>
    </row>
    <row r="15265" spans="1:2" x14ac:dyDescent="0.25">
      <c r="A15265"/>
      <c r="B15265"/>
    </row>
    <row r="15266" spans="1:2" x14ac:dyDescent="0.25">
      <c r="A15266"/>
      <c r="B15266"/>
    </row>
    <row r="15267" spans="1:2" x14ac:dyDescent="0.25">
      <c r="A15267"/>
      <c r="B15267"/>
    </row>
    <row r="15268" spans="1:2" x14ac:dyDescent="0.25">
      <c r="A15268"/>
      <c r="B15268"/>
    </row>
    <row r="15269" spans="1:2" x14ac:dyDescent="0.25">
      <c r="A15269"/>
      <c r="B15269"/>
    </row>
    <row r="15270" spans="1:2" x14ac:dyDescent="0.25">
      <c r="A15270"/>
      <c r="B15270"/>
    </row>
    <row r="15271" spans="1:2" x14ac:dyDescent="0.25">
      <c r="A15271"/>
      <c r="B15271"/>
    </row>
    <row r="15272" spans="1:2" x14ac:dyDescent="0.25">
      <c r="A15272"/>
      <c r="B15272"/>
    </row>
    <row r="15273" spans="1:2" x14ac:dyDescent="0.25">
      <c r="A15273"/>
      <c r="B15273"/>
    </row>
    <row r="15274" spans="1:2" x14ac:dyDescent="0.25">
      <c r="A15274"/>
      <c r="B15274"/>
    </row>
    <row r="15275" spans="1:2" x14ac:dyDescent="0.25">
      <c r="A15275"/>
      <c r="B15275"/>
    </row>
    <row r="15276" spans="1:2" x14ac:dyDescent="0.25">
      <c r="A15276"/>
      <c r="B15276"/>
    </row>
    <row r="15277" spans="1:2" x14ac:dyDescent="0.25">
      <c r="A15277"/>
      <c r="B15277"/>
    </row>
    <row r="15278" spans="1:2" x14ac:dyDescent="0.25">
      <c r="A15278"/>
      <c r="B15278"/>
    </row>
    <row r="15279" spans="1:2" x14ac:dyDescent="0.25">
      <c r="A15279"/>
      <c r="B15279"/>
    </row>
    <row r="15280" spans="1:2" x14ac:dyDescent="0.25">
      <c r="A15280"/>
      <c r="B15280"/>
    </row>
    <row r="15281" spans="1:2" x14ac:dyDescent="0.25">
      <c r="A15281"/>
      <c r="B15281"/>
    </row>
    <row r="15282" spans="1:2" x14ac:dyDescent="0.25">
      <c r="A15282"/>
      <c r="B15282"/>
    </row>
    <row r="15283" spans="1:2" x14ac:dyDescent="0.25">
      <c r="A15283"/>
      <c r="B15283"/>
    </row>
    <row r="15284" spans="1:2" x14ac:dyDescent="0.25">
      <c r="A15284"/>
      <c r="B15284"/>
    </row>
    <row r="15285" spans="1:2" x14ac:dyDescent="0.25">
      <c r="A15285"/>
      <c r="B15285"/>
    </row>
    <row r="15286" spans="1:2" x14ac:dyDescent="0.25">
      <c r="A15286"/>
      <c r="B15286"/>
    </row>
    <row r="15287" spans="1:2" x14ac:dyDescent="0.25">
      <c r="A15287"/>
      <c r="B15287"/>
    </row>
    <row r="15288" spans="1:2" x14ac:dyDescent="0.25">
      <c r="A15288"/>
      <c r="B15288"/>
    </row>
    <row r="15289" spans="1:2" x14ac:dyDescent="0.25">
      <c r="A15289"/>
      <c r="B15289"/>
    </row>
    <row r="15290" spans="1:2" x14ac:dyDescent="0.25">
      <c r="A15290"/>
      <c r="B15290"/>
    </row>
    <row r="15291" spans="1:2" x14ac:dyDescent="0.25">
      <c r="A15291"/>
      <c r="B15291"/>
    </row>
    <row r="15292" spans="1:2" x14ac:dyDescent="0.25">
      <c r="A15292"/>
      <c r="B15292"/>
    </row>
    <row r="15293" spans="1:2" x14ac:dyDescent="0.25">
      <c r="A15293"/>
      <c r="B15293"/>
    </row>
    <row r="15294" spans="1:2" x14ac:dyDescent="0.25">
      <c r="A15294"/>
      <c r="B15294"/>
    </row>
    <row r="15295" spans="1:2" x14ac:dyDescent="0.25">
      <c r="A15295"/>
      <c r="B15295"/>
    </row>
    <row r="15296" spans="1:2" x14ac:dyDescent="0.25">
      <c r="A15296"/>
      <c r="B15296"/>
    </row>
    <row r="15297" spans="1:2" x14ac:dyDescent="0.25">
      <c r="A15297"/>
      <c r="B15297"/>
    </row>
    <row r="15298" spans="1:2" x14ac:dyDescent="0.25">
      <c r="A15298"/>
      <c r="B15298"/>
    </row>
    <row r="15299" spans="1:2" x14ac:dyDescent="0.25">
      <c r="A15299"/>
      <c r="B15299"/>
    </row>
    <row r="15300" spans="1:2" x14ac:dyDescent="0.25">
      <c r="A15300"/>
      <c r="B15300"/>
    </row>
    <row r="15301" spans="1:2" x14ac:dyDescent="0.25">
      <c r="A15301"/>
      <c r="B15301"/>
    </row>
    <row r="15302" spans="1:2" x14ac:dyDescent="0.25">
      <c r="A15302"/>
      <c r="B15302"/>
    </row>
    <row r="15303" spans="1:2" x14ac:dyDescent="0.25">
      <c r="A15303"/>
      <c r="B15303"/>
    </row>
    <row r="15304" spans="1:2" x14ac:dyDescent="0.25">
      <c r="A15304"/>
      <c r="B15304"/>
    </row>
    <row r="15305" spans="1:2" x14ac:dyDescent="0.25">
      <c r="A15305"/>
      <c r="B15305"/>
    </row>
    <row r="15306" spans="1:2" x14ac:dyDescent="0.25">
      <c r="A15306"/>
      <c r="B15306"/>
    </row>
    <row r="15307" spans="1:2" x14ac:dyDescent="0.25">
      <c r="A15307"/>
      <c r="B15307"/>
    </row>
    <row r="15308" spans="1:2" x14ac:dyDescent="0.25">
      <c r="A15308"/>
      <c r="B15308"/>
    </row>
    <row r="15309" spans="1:2" x14ac:dyDescent="0.25">
      <c r="A15309"/>
      <c r="B15309"/>
    </row>
    <row r="15310" spans="1:2" x14ac:dyDescent="0.25">
      <c r="A15310"/>
      <c r="B15310"/>
    </row>
    <row r="15311" spans="1:2" x14ac:dyDescent="0.25">
      <c r="A15311"/>
      <c r="B15311"/>
    </row>
    <row r="15312" spans="1:2" x14ac:dyDescent="0.25">
      <c r="A15312"/>
      <c r="B15312"/>
    </row>
    <row r="15313" spans="1:2" x14ac:dyDescent="0.25">
      <c r="A15313"/>
      <c r="B15313"/>
    </row>
    <row r="15314" spans="1:2" x14ac:dyDescent="0.25">
      <c r="A15314"/>
      <c r="B15314"/>
    </row>
    <row r="15315" spans="1:2" x14ac:dyDescent="0.25">
      <c r="A15315"/>
      <c r="B15315"/>
    </row>
    <row r="15316" spans="1:2" x14ac:dyDescent="0.25">
      <c r="A15316"/>
      <c r="B15316"/>
    </row>
    <row r="15317" spans="1:2" x14ac:dyDescent="0.25">
      <c r="A15317"/>
      <c r="B15317"/>
    </row>
    <row r="15318" spans="1:2" x14ac:dyDescent="0.25">
      <c r="A15318"/>
      <c r="B15318"/>
    </row>
    <row r="15319" spans="1:2" x14ac:dyDescent="0.25">
      <c r="A15319"/>
      <c r="B15319"/>
    </row>
    <row r="15320" spans="1:2" x14ac:dyDescent="0.25">
      <c r="A15320"/>
      <c r="B15320"/>
    </row>
    <row r="15321" spans="1:2" x14ac:dyDescent="0.25">
      <c r="A15321"/>
      <c r="B15321"/>
    </row>
    <row r="15322" spans="1:2" x14ac:dyDescent="0.25">
      <c r="A15322"/>
      <c r="B15322"/>
    </row>
    <row r="15323" spans="1:2" x14ac:dyDescent="0.25">
      <c r="A15323"/>
      <c r="B15323"/>
    </row>
    <row r="15324" spans="1:2" x14ac:dyDescent="0.25">
      <c r="A15324"/>
      <c r="B15324"/>
    </row>
    <row r="15325" spans="1:2" x14ac:dyDescent="0.25">
      <c r="A15325"/>
      <c r="B15325"/>
    </row>
    <row r="15326" spans="1:2" x14ac:dyDescent="0.25">
      <c r="A15326"/>
      <c r="B15326"/>
    </row>
    <row r="15327" spans="1:2" x14ac:dyDescent="0.25">
      <c r="A15327"/>
      <c r="B15327"/>
    </row>
    <row r="15328" spans="1:2" x14ac:dyDescent="0.25">
      <c r="A15328"/>
      <c r="B15328"/>
    </row>
    <row r="15329" spans="1:2" x14ac:dyDescent="0.25">
      <c r="A15329"/>
      <c r="B15329"/>
    </row>
    <row r="15330" spans="1:2" x14ac:dyDescent="0.25">
      <c r="A15330"/>
      <c r="B15330"/>
    </row>
    <row r="15331" spans="1:2" x14ac:dyDescent="0.25">
      <c r="A15331"/>
      <c r="B15331"/>
    </row>
    <row r="15332" spans="1:2" x14ac:dyDescent="0.25">
      <c r="A15332"/>
      <c r="B15332"/>
    </row>
    <row r="15333" spans="1:2" x14ac:dyDescent="0.25">
      <c r="A15333"/>
      <c r="B15333"/>
    </row>
    <row r="15334" spans="1:2" x14ac:dyDescent="0.25">
      <c r="A15334"/>
      <c r="B15334"/>
    </row>
    <row r="15335" spans="1:2" x14ac:dyDescent="0.25">
      <c r="A15335"/>
      <c r="B15335"/>
    </row>
    <row r="15336" spans="1:2" x14ac:dyDescent="0.25">
      <c r="A15336"/>
      <c r="B15336"/>
    </row>
    <row r="15337" spans="1:2" x14ac:dyDescent="0.25">
      <c r="A15337"/>
      <c r="B15337"/>
    </row>
    <row r="15338" spans="1:2" x14ac:dyDescent="0.25">
      <c r="A15338"/>
      <c r="B15338"/>
    </row>
    <row r="15339" spans="1:2" x14ac:dyDescent="0.25">
      <c r="A15339"/>
      <c r="B15339"/>
    </row>
    <row r="15340" spans="1:2" x14ac:dyDescent="0.25">
      <c r="A15340"/>
      <c r="B15340"/>
    </row>
    <row r="15341" spans="1:2" x14ac:dyDescent="0.25">
      <c r="A15341"/>
      <c r="B15341"/>
    </row>
    <row r="15342" spans="1:2" x14ac:dyDescent="0.25">
      <c r="A15342"/>
      <c r="B15342"/>
    </row>
    <row r="15343" spans="1:2" x14ac:dyDescent="0.25">
      <c r="A15343"/>
      <c r="B15343"/>
    </row>
    <row r="15344" spans="1:2" x14ac:dyDescent="0.25">
      <c r="A15344"/>
      <c r="B15344"/>
    </row>
    <row r="15345" spans="1:2" x14ac:dyDescent="0.25">
      <c r="A15345"/>
      <c r="B15345"/>
    </row>
    <row r="15346" spans="1:2" x14ac:dyDescent="0.25">
      <c r="A15346"/>
      <c r="B15346"/>
    </row>
    <row r="15347" spans="1:2" x14ac:dyDescent="0.25">
      <c r="A15347"/>
      <c r="B15347"/>
    </row>
    <row r="15348" spans="1:2" x14ac:dyDescent="0.25">
      <c r="A15348"/>
      <c r="B15348"/>
    </row>
    <row r="15349" spans="1:2" x14ac:dyDescent="0.25">
      <c r="A15349"/>
      <c r="B15349"/>
    </row>
    <row r="15350" spans="1:2" x14ac:dyDescent="0.25">
      <c r="A15350"/>
      <c r="B15350"/>
    </row>
    <row r="15351" spans="1:2" x14ac:dyDescent="0.25">
      <c r="A15351"/>
      <c r="B15351"/>
    </row>
    <row r="15352" spans="1:2" x14ac:dyDescent="0.25">
      <c r="A15352"/>
      <c r="B15352"/>
    </row>
    <row r="15353" spans="1:2" x14ac:dyDescent="0.25">
      <c r="A15353"/>
      <c r="B15353"/>
    </row>
    <row r="15354" spans="1:2" x14ac:dyDescent="0.25">
      <c r="A15354"/>
      <c r="B15354"/>
    </row>
    <row r="15355" spans="1:2" x14ac:dyDescent="0.25">
      <c r="A15355"/>
      <c r="B15355"/>
    </row>
    <row r="15356" spans="1:2" x14ac:dyDescent="0.25">
      <c r="A15356"/>
      <c r="B15356"/>
    </row>
    <row r="15357" spans="1:2" x14ac:dyDescent="0.25">
      <c r="A15357"/>
      <c r="B15357"/>
    </row>
    <row r="15358" spans="1:2" x14ac:dyDescent="0.25">
      <c r="A15358"/>
      <c r="B15358"/>
    </row>
    <row r="15359" spans="1:2" x14ac:dyDescent="0.25">
      <c r="A15359"/>
      <c r="B15359"/>
    </row>
    <row r="15360" spans="1:2" x14ac:dyDescent="0.25">
      <c r="A15360"/>
      <c r="B15360"/>
    </row>
    <row r="15361" spans="1:2" x14ac:dyDescent="0.25">
      <c r="A15361"/>
      <c r="B15361"/>
    </row>
    <row r="15362" spans="1:2" x14ac:dyDescent="0.25">
      <c r="A15362"/>
      <c r="B15362"/>
    </row>
    <row r="15363" spans="1:2" x14ac:dyDescent="0.25">
      <c r="A15363"/>
      <c r="B15363"/>
    </row>
    <row r="15364" spans="1:2" x14ac:dyDescent="0.25">
      <c r="A15364"/>
      <c r="B15364"/>
    </row>
    <row r="15365" spans="1:2" x14ac:dyDescent="0.25">
      <c r="A15365"/>
      <c r="B15365"/>
    </row>
    <row r="15366" spans="1:2" x14ac:dyDescent="0.25">
      <c r="A15366"/>
      <c r="B15366"/>
    </row>
    <row r="15367" spans="1:2" x14ac:dyDescent="0.25">
      <c r="A15367"/>
      <c r="B15367"/>
    </row>
    <row r="15368" spans="1:2" x14ac:dyDescent="0.25">
      <c r="A15368"/>
      <c r="B15368"/>
    </row>
    <row r="15369" spans="1:2" x14ac:dyDescent="0.25">
      <c r="A15369"/>
      <c r="B15369"/>
    </row>
    <row r="15370" spans="1:2" x14ac:dyDescent="0.25">
      <c r="A15370"/>
      <c r="B15370"/>
    </row>
    <row r="15371" spans="1:2" x14ac:dyDescent="0.25">
      <c r="A15371"/>
      <c r="B15371"/>
    </row>
    <row r="15372" spans="1:2" x14ac:dyDescent="0.25">
      <c r="A15372"/>
      <c r="B15372"/>
    </row>
    <row r="15373" spans="1:2" x14ac:dyDescent="0.25">
      <c r="A15373"/>
      <c r="B15373"/>
    </row>
    <row r="15374" spans="1:2" x14ac:dyDescent="0.25">
      <c r="A15374"/>
      <c r="B15374"/>
    </row>
    <row r="15375" spans="1:2" x14ac:dyDescent="0.25">
      <c r="A15375"/>
      <c r="B15375"/>
    </row>
    <row r="15376" spans="1:2" x14ac:dyDescent="0.25">
      <c r="A15376"/>
      <c r="B15376"/>
    </row>
    <row r="15377" spans="1:2" x14ac:dyDescent="0.25">
      <c r="A15377"/>
      <c r="B15377"/>
    </row>
    <row r="15378" spans="1:2" x14ac:dyDescent="0.25">
      <c r="A15378"/>
      <c r="B15378"/>
    </row>
    <row r="15379" spans="1:2" x14ac:dyDescent="0.25">
      <c r="A15379"/>
      <c r="B15379"/>
    </row>
    <row r="15380" spans="1:2" x14ac:dyDescent="0.25">
      <c r="A15380"/>
      <c r="B15380"/>
    </row>
    <row r="15381" spans="1:2" x14ac:dyDescent="0.25">
      <c r="A15381"/>
      <c r="B15381"/>
    </row>
    <row r="15382" spans="1:2" x14ac:dyDescent="0.25">
      <c r="A15382"/>
      <c r="B15382"/>
    </row>
    <row r="15383" spans="1:2" x14ac:dyDescent="0.25">
      <c r="A15383"/>
      <c r="B15383"/>
    </row>
    <row r="15384" spans="1:2" x14ac:dyDescent="0.25">
      <c r="A15384"/>
      <c r="B15384"/>
    </row>
    <row r="15385" spans="1:2" x14ac:dyDescent="0.25">
      <c r="A15385"/>
      <c r="B15385"/>
    </row>
    <row r="15386" spans="1:2" x14ac:dyDescent="0.25">
      <c r="A15386"/>
      <c r="B15386"/>
    </row>
    <row r="15387" spans="1:2" x14ac:dyDescent="0.25">
      <c r="A15387"/>
      <c r="B15387"/>
    </row>
    <row r="15388" spans="1:2" x14ac:dyDescent="0.25">
      <c r="A15388"/>
      <c r="B15388"/>
    </row>
    <row r="15389" spans="1:2" x14ac:dyDescent="0.25">
      <c r="A15389"/>
      <c r="B15389"/>
    </row>
    <row r="15390" spans="1:2" x14ac:dyDescent="0.25">
      <c r="A15390"/>
      <c r="B15390"/>
    </row>
    <row r="15391" spans="1:2" x14ac:dyDescent="0.25">
      <c r="A15391"/>
      <c r="B15391"/>
    </row>
    <row r="15392" spans="1:2" x14ac:dyDescent="0.25">
      <c r="A15392"/>
      <c r="B15392"/>
    </row>
    <row r="15393" spans="1:2" x14ac:dyDescent="0.25">
      <c r="A15393"/>
      <c r="B15393"/>
    </row>
    <row r="15394" spans="1:2" x14ac:dyDescent="0.25">
      <c r="A15394"/>
      <c r="B15394"/>
    </row>
    <row r="15395" spans="1:2" x14ac:dyDescent="0.25">
      <c r="A15395"/>
      <c r="B15395"/>
    </row>
    <row r="15396" spans="1:2" x14ac:dyDescent="0.25">
      <c r="A15396"/>
      <c r="B15396"/>
    </row>
    <row r="15397" spans="1:2" x14ac:dyDescent="0.25">
      <c r="A15397"/>
      <c r="B15397"/>
    </row>
    <row r="15398" spans="1:2" x14ac:dyDescent="0.25">
      <c r="A15398"/>
      <c r="B15398"/>
    </row>
    <row r="15399" spans="1:2" x14ac:dyDescent="0.25">
      <c r="A15399"/>
      <c r="B15399"/>
    </row>
    <row r="15400" spans="1:2" x14ac:dyDescent="0.25">
      <c r="A15400"/>
      <c r="B15400"/>
    </row>
    <row r="15401" spans="1:2" x14ac:dyDescent="0.25">
      <c r="A15401"/>
      <c r="B15401"/>
    </row>
    <row r="15402" spans="1:2" x14ac:dyDescent="0.25">
      <c r="A15402"/>
      <c r="B15402"/>
    </row>
    <row r="15403" spans="1:2" x14ac:dyDescent="0.25">
      <c r="A15403"/>
      <c r="B15403"/>
    </row>
    <row r="15404" spans="1:2" x14ac:dyDescent="0.25">
      <c r="A15404"/>
      <c r="B15404"/>
    </row>
    <row r="15405" spans="1:2" x14ac:dyDescent="0.25">
      <c r="A15405"/>
      <c r="B15405"/>
    </row>
    <row r="15406" spans="1:2" x14ac:dyDescent="0.25">
      <c r="A15406"/>
      <c r="B15406"/>
    </row>
    <row r="15407" spans="1:2" x14ac:dyDescent="0.25">
      <c r="A15407"/>
      <c r="B15407"/>
    </row>
    <row r="15408" spans="1:2" x14ac:dyDescent="0.25">
      <c r="A15408"/>
      <c r="B15408"/>
    </row>
    <row r="15409" spans="1:2" x14ac:dyDescent="0.25">
      <c r="A15409"/>
      <c r="B15409"/>
    </row>
    <row r="15410" spans="1:2" x14ac:dyDescent="0.25">
      <c r="A15410"/>
      <c r="B15410"/>
    </row>
    <row r="15411" spans="1:2" x14ac:dyDescent="0.25">
      <c r="A15411"/>
      <c r="B15411"/>
    </row>
    <row r="15412" spans="1:2" x14ac:dyDescent="0.25">
      <c r="A15412"/>
      <c r="B15412"/>
    </row>
    <row r="15413" spans="1:2" x14ac:dyDescent="0.25">
      <c r="A15413"/>
      <c r="B15413"/>
    </row>
    <row r="15414" spans="1:2" x14ac:dyDescent="0.25">
      <c r="A15414"/>
      <c r="B15414"/>
    </row>
    <row r="15415" spans="1:2" x14ac:dyDescent="0.25">
      <c r="A15415"/>
      <c r="B15415"/>
    </row>
    <row r="15416" spans="1:2" x14ac:dyDescent="0.25">
      <c r="A15416"/>
      <c r="B15416"/>
    </row>
    <row r="15417" spans="1:2" x14ac:dyDescent="0.25">
      <c r="A15417"/>
      <c r="B15417"/>
    </row>
    <row r="15418" spans="1:2" x14ac:dyDescent="0.25">
      <c r="A15418"/>
      <c r="B15418"/>
    </row>
    <row r="15419" spans="1:2" x14ac:dyDescent="0.25">
      <c r="A15419"/>
      <c r="B15419"/>
    </row>
    <row r="15420" spans="1:2" x14ac:dyDescent="0.25">
      <c r="A15420"/>
      <c r="B15420"/>
    </row>
    <row r="15421" spans="1:2" x14ac:dyDescent="0.25">
      <c r="A15421"/>
      <c r="B15421"/>
    </row>
    <row r="15422" spans="1:2" x14ac:dyDescent="0.25">
      <c r="A15422"/>
      <c r="B15422"/>
    </row>
    <row r="15423" spans="1:2" x14ac:dyDescent="0.25">
      <c r="A15423"/>
      <c r="B15423"/>
    </row>
    <row r="15424" spans="1:2" x14ac:dyDescent="0.25">
      <c r="A15424"/>
      <c r="B15424"/>
    </row>
    <row r="15425" spans="1:2" x14ac:dyDescent="0.25">
      <c r="A15425"/>
      <c r="B15425"/>
    </row>
    <row r="15426" spans="1:2" x14ac:dyDescent="0.25">
      <c r="A15426"/>
      <c r="B15426"/>
    </row>
    <row r="15427" spans="1:2" x14ac:dyDescent="0.25">
      <c r="A15427"/>
      <c r="B15427"/>
    </row>
    <row r="15428" spans="1:2" x14ac:dyDescent="0.25">
      <c r="A15428"/>
      <c r="B15428"/>
    </row>
    <row r="15429" spans="1:2" x14ac:dyDescent="0.25">
      <c r="A15429"/>
      <c r="B15429"/>
    </row>
    <row r="15430" spans="1:2" x14ac:dyDescent="0.25">
      <c r="A15430"/>
      <c r="B15430"/>
    </row>
    <row r="15431" spans="1:2" x14ac:dyDescent="0.25">
      <c r="A15431"/>
      <c r="B15431"/>
    </row>
    <row r="15432" spans="1:2" x14ac:dyDescent="0.25">
      <c r="A15432"/>
      <c r="B15432"/>
    </row>
    <row r="15433" spans="1:2" x14ac:dyDescent="0.25">
      <c r="A15433"/>
      <c r="B15433"/>
    </row>
    <row r="15434" spans="1:2" x14ac:dyDescent="0.25">
      <c r="A15434"/>
      <c r="B15434"/>
    </row>
    <row r="15435" spans="1:2" x14ac:dyDescent="0.25">
      <c r="A15435"/>
      <c r="B15435"/>
    </row>
    <row r="15436" spans="1:2" x14ac:dyDescent="0.25">
      <c r="A15436"/>
      <c r="B15436"/>
    </row>
    <row r="15437" spans="1:2" x14ac:dyDescent="0.25">
      <c r="A15437"/>
      <c r="B15437"/>
    </row>
    <row r="15438" spans="1:2" x14ac:dyDescent="0.25">
      <c r="A15438"/>
      <c r="B15438"/>
    </row>
    <row r="15439" spans="1:2" x14ac:dyDescent="0.25">
      <c r="A15439"/>
      <c r="B15439"/>
    </row>
    <row r="15440" spans="1:2" x14ac:dyDescent="0.25">
      <c r="A15440"/>
      <c r="B15440"/>
    </row>
    <row r="15441" spans="1:2" x14ac:dyDescent="0.25">
      <c r="A15441"/>
      <c r="B15441"/>
    </row>
    <row r="15442" spans="1:2" x14ac:dyDescent="0.25">
      <c r="A15442"/>
      <c r="B15442"/>
    </row>
    <row r="15443" spans="1:2" x14ac:dyDescent="0.25">
      <c r="A15443"/>
      <c r="B15443"/>
    </row>
    <row r="15444" spans="1:2" x14ac:dyDescent="0.25">
      <c r="A15444"/>
      <c r="B15444"/>
    </row>
    <row r="15445" spans="1:2" x14ac:dyDescent="0.25">
      <c r="A15445"/>
      <c r="B15445"/>
    </row>
    <row r="15446" spans="1:2" x14ac:dyDescent="0.25">
      <c r="A15446"/>
      <c r="B15446"/>
    </row>
    <row r="15447" spans="1:2" x14ac:dyDescent="0.25">
      <c r="A15447"/>
      <c r="B15447"/>
    </row>
    <row r="15448" spans="1:2" x14ac:dyDescent="0.25">
      <c r="A15448"/>
      <c r="B15448"/>
    </row>
    <row r="15449" spans="1:2" x14ac:dyDescent="0.25">
      <c r="A15449"/>
      <c r="B15449"/>
    </row>
    <row r="15450" spans="1:2" x14ac:dyDescent="0.25">
      <c r="A15450"/>
      <c r="B15450"/>
    </row>
    <row r="15451" spans="1:2" x14ac:dyDescent="0.25">
      <c r="A15451"/>
      <c r="B15451"/>
    </row>
    <row r="15452" spans="1:2" x14ac:dyDescent="0.25">
      <c r="A15452"/>
      <c r="B15452"/>
    </row>
    <row r="15453" spans="1:2" x14ac:dyDescent="0.25">
      <c r="A15453"/>
      <c r="B15453"/>
    </row>
    <row r="15454" spans="1:2" x14ac:dyDescent="0.25">
      <c r="A15454"/>
      <c r="B15454"/>
    </row>
    <row r="15455" spans="1:2" x14ac:dyDescent="0.25">
      <c r="A15455"/>
      <c r="B15455"/>
    </row>
    <row r="15456" spans="1:2" x14ac:dyDescent="0.25">
      <c r="A15456"/>
      <c r="B15456"/>
    </row>
    <row r="15457" spans="1:2" x14ac:dyDescent="0.25">
      <c r="A15457"/>
      <c r="B15457"/>
    </row>
    <row r="15458" spans="1:2" x14ac:dyDescent="0.25">
      <c r="A15458"/>
      <c r="B15458"/>
    </row>
    <row r="15459" spans="1:2" x14ac:dyDescent="0.25">
      <c r="A15459"/>
      <c r="B15459"/>
    </row>
    <row r="15460" spans="1:2" x14ac:dyDescent="0.25">
      <c r="A15460"/>
      <c r="B15460"/>
    </row>
    <row r="15461" spans="1:2" x14ac:dyDescent="0.25">
      <c r="A15461"/>
      <c r="B15461"/>
    </row>
    <row r="15462" spans="1:2" x14ac:dyDescent="0.25">
      <c r="A15462"/>
      <c r="B15462"/>
    </row>
    <row r="15463" spans="1:2" x14ac:dyDescent="0.25">
      <c r="A15463"/>
      <c r="B15463"/>
    </row>
    <row r="15464" spans="1:2" x14ac:dyDescent="0.25">
      <c r="A15464"/>
      <c r="B15464"/>
    </row>
    <row r="15465" spans="1:2" x14ac:dyDescent="0.25">
      <c r="A15465"/>
      <c r="B15465"/>
    </row>
    <row r="15466" spans="1:2" x14ac:dyDescent="0.25">
      <c r="A15466"/>
      <c r="B15466"/>
    </row>
    <row r="15467" spans="1:2" x14ac:dyDescent="0.25">
      <c r="A15467"/>
      <c r="B15467"/>
    </row>
    <row r="15468" spans="1:2" x14ac:dyDescent="0.25">
      <c r="A15468"/>
      <c r="B15468"/>
    </row>
    <row r="15469" spans="1:2" x14ac:dyDescent="0.25">
      <c r="A15469"/>
      <c r="B15469"/>
    </row>
    <row r="15470" spans="1:2" x14ac:dyDescent="0.25">
      <c r="A15470"/>
      <c r="B15470"/>
    </row>
    <row r="15471" spans="1:2" x14ac:dyDescent="0.25">
      <c r="A15471"/>
      <c r="B15471"/>
    </row>
    <row r="15472" spans="1:2" x14ac:dyDescent="0.25">
      <c r="A15472"/>
      <c r="B15472"/>
    </row>
    <row r="15473" spans="1:2" x14ac:dyDescent="0.25">
      <c r="A15473"/>
      <c r="B15473"/>
    </row>
    <row r="15474" spans="1:2" x14ac:dyDescent="0.25">
      <c r="A15474"/>
      <c r="B15474"/>
    </row>
    <row r="15475" spans="1:2" x14ac:dyDescent="0.25">
      <c r="A15475"/>
      <c r="B15475"/>
    </row>
    <row r="15476" spans="1:2" x14ac:dyDescent="0.25">
      <c r="A15476"/>
      <c r="B15476"/>
    </row>
    <row r="15477" spans="1:2" x14ac:dyDescent="0.25">
      <c r="A15477"/>
      <c r="B15477"/>
    </row>
    <row r="15478" spans="1:2" x14ac:dyDescent="0.25">
      <c r="A15478"/>
      <c r="B15478"/>
    </row>
    <row r="15479" spans="1:2" x14ac:dyDescent="0.25">
      <c r="A15479"/>
      <c r="B15479"/>
    </row>
    <row r="15480" spans="1:2" x14ac:dyDescent="0.25">
      <c r="A15480"/>
      <c r="B15480"/>
    </row>
    <row r="15481" spans="1:2" x14ac:dyDescent="0.25">
      <c r="A15481"/>
      <c r="B15481"/>
    </row>
    <row r="15482" spans="1:2" x14ac:dyDescent="0.25">
      <c r="A15482"/>
      <c r="B15482"/>
    </row>
    <row r="15483" spans="1:2" x14ac:dyDescent="0.25">
      <c r="A15483"/>
      <c r="B15483"/>
    </row>
    <row r="15484" spans="1:2" x14ac:dyDescent="0.25">
      <c r="A15484"/>
      <c r="B15484"/>
    </row>
    <row r="15485" spans="1:2" x14ac:dyDescent="0.25">
      <c r="A15485"/>
      <c r="B15485"/>
    </row>
    <row r="15486" spans="1:2" x14ac:dyDescent="0.25">
      <c r="A15486"/>
      <c r="B15486"/>
    </row>
    <row r="15487" spans="1:2" x14ac:dyDescent="0.25">
      <c r="A15487"/>
      <c r="B15487"/>
    </row>
    <row r="15488" spans="1:2" x14ac:dyDescent="0.25">
      <c r="A15488"/>
      <c r="B15488"/>
    </row>
    <row r="15489" spans="1:2" x14ac:dyDescent="0.25">
      <c r="A15489"/>
      <c r="B15489"/>
    </row>
    <row r="15490" spans="1:2" x14ac:dyDescent="0.25">
      <c r="A15490"/>
      <c r="B15490"/>
    </row>
    <row r="15491" spans="1:2" x14ac:dyDescent="0.25">
      <c r="A15491"/>
      <c r="B15491"/>
    </row>
    <row r="15492" spans="1:2" x14ac:dyDescent="0.25">
      <c r="A15492"/>
      <c r="B15492"/>
    </row>
    <row r="15493" spans="1:2" x14ac:dyDescent="0.25">
      <c r="A15493"/>
      <c r="B15493"/>
    </row>
    <row r="15494" spans="1:2" x14ac:dyDescent="0.25">
      <c r="A15494"/>
      <c r="B15494"/>
    </row>
    <row r="15495" spans="1:2" x14ac:dyDescent="0.25">
      <c r="A15495"/>
      <c r="B15495"/>
    </row>
    <row r="15496" spans="1:2" x14ac:dyDescent="0.25">
      <c r="A15496"/>
      <c r="B15496"/>
    </row>
    <row r="15497" spans="1:2" x14ac:dyDescent="0.25">
      <c r="A15497"/>
      <c r="B15497"/>
    </row>
    <row r="15498" spans="1:2" x14ac:dyDescent="0.25">
      <c r="A15498"/>
      <c r="B15498"/>
    </row>
    <row r="15499" spans="1:2" x14ac:dyDescent="0.25">
      <c r="A15499"/>
      <c r="B15499"/>
    </row>
    <row r="15500" spans="1:2" x14ac:dyDescent="0.25">
      <c r="A15500"/>
      <c r="B15500"/>
    </row>
    <row r="15501" spans="1:2" x14ac:dyDescent="0.25">
      <c r="A15501"/>
      <c r="B15501"/>
    </row>
    <row r="15502" spans="1:2" x14ac:dyDescent="0.25">
      <c r="A15502"/>
      <c r="B15502"/>
    </row>
    <row r="15503" spans="1:2" x14ac:dyDescent="0.25">
      <c r="A15503"/>
      <c r="B15503"/>
    </row>
    <row r="15504" spans="1:2" x14ac:dyDescent="0.25">
      <c r="A15504"/>
      <c r="B15504"/>
    </row>
    <row r="15505" spans="1:2" x14ac:dyDescent="0.25">
      <c r="A15505"/>
      <c r="B15505"/>
    </row>
    <row r="15506" spans="1:2" x14ac:dyDescent="0.25">
      <c r="A15506"/>
      <c r="B15506"/>
    </row>
    <row r="15507" spans="1:2" x14ac:dyDescent="0.25">
      <c r="A15507"/>
      <c r="B15507"/>
    </row>
    <row r="15508" spans="1:2" x14ac:dyDescent="0.25">
      <c r="A15508"/>
      <c r="B15508"/>
    </row>
    <row r="15509" spans="1:2" x14ac:dyDescent="0.25">
      <c r="A15509"/>
      <c r="B15509"/>
    </row>
    <row r="15510" spans="1:2" x14ac:dyDescent="0.25">
      <c r="A15510"/>
      <c r="B15510"/>
    </row>
    <row r="15511" spans="1:2" x14ac:dyDescent="0.25">
      <c r="A15511"/>
      <c r="B15511"/>
    </row>
    <row r="15512" spans="1:2" x14ac:dyDescent="0.25">
      <c r="A15512"/>
      <c r="B15512"/>
    </row>
    <row r="15513" spans="1:2" x14ac:dyDescent="0.25">
      <c r="A15513"/>
      <c r="B15513"/>
    </row>
    <row r="15514" spans="1:2" x14ac:dyDescent="0.25">
      <c r="A15514"/>
      <c r="B15514"/>
    </row>
    <row r="15515" spans="1:2" x14ac:dyDescent="0.25">
      <c r="A15515"/>
      <c r="B15515"/>
    </row>
    <row r="15516" spans="1:2" x14ac:dyDescent="0.25">
      <c r="A15516"/>
      <c r="B15516"/>
    </row>
    <row r="15517" spans="1:2" x14ac:dyDescent="0.25">
      <c r="A15517"/>
      <c r="B15517"/>
    </row>
    <row r="15518" spans="1:2" x14ac:dyDescent="0.25">
      <c r="A15518"/>
      <c r="B15518"/>
    </row>
    <row r="15519" spans="1:2" x14ac:dyDescent="0.25">
      <c r="A15519"/>
      <c r="B15519"/>
    </row>
    <row r="15520" spans="1:2" x14ac:dyDescent="0.25">
      <c r="A15520"/>
      <c r="B15520"/>
    </row>
    <row r="15521" spans="1:2" x14ac:dyDescent="0.25">
      <c r="A15521"/>
      <c r="B15521"/>
    </row>
    <row r="15522" spans="1:2" x14ac:dyDescent="0.25">
      <c r="A15522"/>
      <c r="B15522"/>
    </row>
    <row r="15523" spans="1:2" x14ac:dyDescent="0.25">
      <c r="A15523"/>
      <c r="B15523"/>
    </row>
    <row r="15524" spans="1:2" x14ac:dyDescent="0.25">
      <c r="A15524"/>
      <c r="B15524"/>
    </row>
    <row r="15525" spans="1:2" x14ac:dyDescent="0.25">
      <c r="A15525"/>
      <c r="B15525"/>
    </row>
    <row r="15526" spans="1:2" x14ac:dyDescent="0.25">
      <c r="A15526"/>
      <c r="B15526"/>
    </row>
    <row r="15527" spans="1:2" x14ac:dyDescent="0.25">
      <c r="A15527"/>
      <c r="B15527"/>
    </row>
    <row r="15528" spans="1:2" x14ac:dyDescent="0.25">
      <c r="A15528"/>
      <c r="B15528"/>
    </row>
    <row r="15529" spans="1:2" x14ac:dyDescent="0.25">
      <c r="A15529"/>
      <c r="B15529"/>
    </row>
    <row r="15530" spans="1:2" x14ac:dyDescent="0.25">
      <c r="A15530"/>
      <c r="B15530"/>
    </row>
    <row r="15531" spans="1:2" x14ac:dyDescent="0.25">
      <c r="A15531"/>
      <c r="B15531"/>
    </row>
    <row r="15532" spans="1:2" x14ac:dyDescent="0.25">
      <c r="A15532"/>
      <c r="B15532"/>
    </row>
    <row r="15533" spans="1:2" x14ac:dyDescent="0.25">
      <c r="A15533"/>
      <c r="B15533"/>
    </row>
    <row r="15534" spans="1:2" x14ac:dyDescent="0.25">
      <c r="A15534"/>
      <c r="B15534"/>
    </row>
    <row r="15535" spans="1:2" x14ac:dyDescent="0.25">
      <c r="A15535"/>
      <c r="B15535"/>
    </row>
    <row r="15536" spans="1:2" x14ac:dyDescent="0.25">
      <c r="A15536"/>
      <c r="B15536"/>
    </row>
    <row r="15537" spans="1:2" x14ac:dyDescent="0.25">
      <c r="A15537"/>
      <c r="B15537"/>
    </row>
    <row r="15538" spans="1:2" x14ac:dyDescent="0.25">
      <c r="A15538"/>
      <c r="B15538"/>
    </row>
    <row r="15539" spans="1:2" x14ac:dyDescent="0.25">
      <c r="A15539"/>
      <c r="B15539"/>
    </row>
    <row r="15540" spans="1:2" x14ac:dyDescent="0.25">
      <c r="A15540"/>
      <c r="B15540"/>
    </row>
    <row r="15541" spans="1:2" x14ac:dyDescent="0.25">
      <c r="A15541"/>
      <c r="B15541"/>
    </row>
    <row r="15542" spans="1:2" x14ac:dyDescent="0.25">
      <c r="A15542"/>
      <c r="B15542"/>
    </row>
    <row r="15543" spans="1:2" x14ac:dyDescent="0.25">
      <c r="A15543"/>
      <c r="B15543"/>
    </row>
    <row r="15544" spans="1:2" x14ac:dyDescent="0.25">
      <c r="A15544"/>
      <c r="B15544"/>
    </row>
    <row r="15545" spans="1:2" x14ac:dyDescent="0.25">
      <c r="A15545"/>
      <c r="B15545"/>
    </row>
    <row r="15546" spans="1:2" x14ac:dyDescent="0.25">
      <c r="A15546"/>
      <c r="B15546"/>
    </row>
    <row r="15547" spans="1:2" x14ac:dyDescent="0.25">
      <c r="A15547"/>
      <c r="B15547"/>
    </row>
    <row r="15548" spans="1:2" x14ac:dyDescent="0.25">
      <c r="A15548"/>
      <c r="B15548"/>
    </row>
    <row r="15549" spans="1:2" x14ac:dyDescent="0.25">
      <c r="A15549"/>
      <c r="B15549"/>
    </row>
    <row r="15550" spans="1:2" x14ac:dyDescent="0.25">
      <c r="A15550"/>
      <c r="B15550"/>
    </row>
    <row r="15551" spans="1:2" x14ac:dyDescent="0.25">
      <c r="A15551"/>
      <c r="B15551"/>
    </row>
    <row r="15552" spans="1:2" x14ac:dyDescent="0.25">
      <c r="A15552"/>
      <c r="B15552"/>
    </row>
    <row r="15553" spans="1:2" x14ac:dyDescent="0.25">
      <c r="A15553"/>
      <c r="B15553"/>
    </row>
    <row r="15554" spans="1:2" x14ac:dyDescent="0.25">
      <c r="A15554"/>
      <c r="B15554"/>
    </row>
    <row r="15555" spans="1:2" x14ac:dyDescent="0.25">
      <c r="A15555"/>
      <c r="B15555"/>
    </row>
    <row r="15556" spans="1:2" x14ac:dyDescent="0.25">
      <c r="A15556"/>
      <c r="B15556"/>
    </row>
    <row r="15557" spans="1:2" x14ac:dyDescent="0.25">
      <c r="A15557"/>
      <c r="B15557"/>
    </row>
    <row r="15558" spans="1:2" x14ac:dyDescent="0.25">
      <c r="A15558"/>
      <c r="B15558"/>
    </row>
    <row r="15559" spans="1:2" x14ac:dyDescent="0.25">
      <c r="A15559"/>
      <c r="B15559"/>
    </row>
    <row r="15560" spans="1:2" x14ac:dyDescent="0.25">
      <c r="A15560"/>
      <c r="B15560"/>
    </row>
    <row r="15561" spans="1:2" x14ac:dyDescent="0.25">
      <c r="A15561"/>
      <c r="B15561"/>
    </row>
    <row r="15562" spans="1:2" x14ac:dyDescent="0.25">
      <c r="A15562"/>
      <c r="B15562"/>
    </row>
    <row r="15563" spans="1:2" x14ac:dyDescent="0.25">
      <c r="A15563"/>
      <c r="B15563"/>
    </row>
    <row r="15564" spans="1:2" x14ac:dyDescent="0.25">
      <c r="A15564"/>
      <c r="B15564"/>
    </row>
    <row r="15565" spans="1:2" x14ac:dyDescent="0.25">
      <c r="A15565"/>
      <c r="B15565"/>
    </row>
    <row r="15566" spans="1:2" x14ac:dyDescent="0.25">
      <c r="A15566"/>
      <c r="B15566"/>
    </row>
    <row r="15567" spans="1:2" x14ac:dyDescent="0.25">
      <c r="A15567"/>
      <c r="B15567"/>
    </row>
    <row r="15568" spans="1:2" x14ac:dyDescent="0.25">
      <c r="A15568"/>
      <c r="B15568"/>
    </row>
    <row r="15569" spans="1:2" x14ac:dyDescent="0.25">
      <c r="A15569"/>
      <c r="B15569"/>
    </row>
    <row r="15570" spans="1:2" x14ac:dyDescent="0.25">
      <c r="A15570"/>
      <c r="B15570"/>
    </row>
    <row r="15571" spans="1:2" x14ac:dyDescent="0.25">
      <c r="A15571"/>
      <c r="B15571"/>
    </row>
    <row r="15572" spans="1:2" x14ac:dyDescent="0.25">
      <c r="A15572"/>
      <c r="B15572"/>
    </row>
    <row r="15573" spans="1:2" x14ac:dyDescent="0.25">
      <c r="A15573"/>
      <c r="B15573"/>
    </row>
    <row r="15574" spans="1:2" x14ac:dyDescent="0.25">
      <c r="A15574"/>
      <c r="B15574"/>
    </row>
    <row r="15575" spans="1:2" x14ac:dyDescent="0.25">
      <c r="A15575"/>
      <c r="B15575"/>
    </row>
    <row r="15576" spans="1:2" x14ac:dyDescent="0.25">
      <c r="A15576"/>
      <c r="B15576"/>
    </row>
    <row r="15577" spans="1:2" x14ac:dyDescent="0.25">
      <c r="A15577"/>
      <c r="B15577"/>
    </row>
    <row r="15578" spans="1:2" x14ac:dyDescent="0.25">
      <c r="A15578"/>
      <c r="B15578"/>
    </row>
    <row r="15579" spans="1:2" x14ac:dyDescent="0.25">
      <c r="A15579"/>
      <c r="B15579"/>
    </row>
    <row r="15580" spans="1:2" x14ac:dyDescent="0.25">
      <c r="A15580"/>
      <c r="B15580"/>
    </row>
    <row r="15581" spans="1:2" x14ac:dyDescent="0.25">
      <c r="A15581"/>
      <c r="B15581"/>
    </row>
    <row r="15582" spans="1:2" x14ac:dyDescent="0.25">
      <c r="A15582"/>
      <c r="B15582"/>
    </row>
    <row r="15583" spans="1:2" x14ac:dyDescent="0.25">
      <c r="A15583"/>
      <c r="B15583"/>
    </row>
    <row r="15584" spans="1:2" x14ac:dyDescent="0.25">
      <c r="A15584"/>
      <c r="B15584"/>
    </row>
    <row r="15585" spans="1:2" x14ac:dyDescent="0.25">
      <c r="A15585"/>
      <c r="B15585"/>
    </row>
    <row r="15586" spans="1:2" x14ac:dyDescent="0.25">
      <c r="A15586"/>
      <c r="B15586"/>
    </row>
    <row r="15587" spans="1:2" x14ac:dyDescent="0.25">
      <c r="A15587"/>
      <c r="B15587"/>
    </row>
    <row r="15588" spans="1:2" x14ac:dyDescent="0.25">
      <c r="A15588"/>
      <c r="B15588"/>
    </row>
    <row r="15589" spans="1:2" x14ac:dyDescent="0.25">
      <c r="A15589"/>
      <c r="B15589"/>
    </row>
    <row r="15590" spans="1:2" x14ac:dyDescent="0.25">
      <c r="A15590"/>
      <c r="B15590"/>
    </row>
    <row r="15591" spans="1:2" x14ac:dyDescent="0.25">
      <c r="A15591"/>
      <c r="B15591"/>
    </row>
    <row r="15592" spans="1:2" x14ac:dyDescent="0.25">
      <c r="A15592"/>
      <c r="B15592"/>
    </row>
    <row r="15593" spans="1:2" x14ac:dyDescent="0.25">
      <c r="A15593"/>
      <c r="B15593"/>
    </row>
    <row r="15594" spans="1:2" x14ac:dyDescent="0.25">
      <c r="A15594"/>
      <c r="B15594"/>
    </row>
    <row r="15595" spans="1:2" x14ac:dyDescent="0.25">
      <c r="A15595"/>
      <c r="B15595"/>
    </row>
    <row r="15596" spans="1:2" x14ac:dyDescent="0.25">
      <c r="A15596"/>
      <c r="B15596"/>
    </row>
    <row r="15597" spans="1:2" x14ac:dyDescent="0.25">
      <c r="A15597"/>
      <c r="B15597"/>
    </row>
    <row r="15598" spans="1:2" x14ac:dyDescent="0.25">
      <c r="A15598"/>
      <c r="B15598"/>
    </row>
    <row r="15599" spans="1:2" x14ac:dyDescent="0.25">
      <c r="A15599"/>
      <c r="B15599"/>
    </row>
    <row r="15600" spans="1:2" x14ac:dyDescent="0.25">
      <c r="A15600"/>
      <c r="B15600"/>
    </row>
    <row r="15601" spans="1:2" x14ac:dyDescent="0.25">
      <c r="A15601"/>
      <c r="B15601"/>
    </row>
    <row r="15602" spans="1:2" x14ac:dyDescent="0.25">
      <c r="A15602"/>
      <c r="B15602"/>
    </row>
    <row r="15603" spans="1:2" x14ac:dyDescent="0.25">
      <c r="A15603"/>
      <c r="B15603"/>
    </row>
    <row r="15604" spans="1:2" x14ac:dyDescent="0.25">
      <c r="A15604"/>
      <c r="B15604"/>
    </row>
    <row r="15605" spans="1:2" x14ac:dyDescent="0.25">
      <c r="A15605"/>
      <c r="B15605"/>
    </row>
    <row r="15606" spans="1:2" x14ac:dyDescent="0.25">
      <c r="A15606"/>
      <c r="B15606"/>
    </row>
    <row r="15607" spans="1:2" x14ac:dyDescent="0.25">
      <c r="A15607"/>
      <c r="B15607"/>
    </row>
    <row r="15608" spans="1:2" x14ac:dyDescent="0.25">
      <c r="A15608"/>
      <c r="B15608"/>
    </row>
    <row r="15609" spans="1:2" x14ac:dyDescent="0.25">
      <c r="A15609"/>
      <c r="B15609"/>
    </row>
    <row r="15610" spans="1:2" x14ac:dyDescent="0.25">
      <c r="A15610"/>
      <c r="B15610"/>
    </row>
    <row r="15611" spans="1:2" x14ac:dyDescent="0.25">
      <c r="A15611"/>
      <c r="B15611"/>
    </row>
    <row r="15612" spans="1:2" x14ac:dyDescent="0.25">
      <c r="A15612"/>
      <c r="B15612"/>
    </row>
    <row r="15613" spans="1:2" x14ac:dyDescent="0.25">
      <c r="A15613"/>
      <c r="B15613"/>
    </row>
    <row r="15614" spans="1:2" x14ac:dyDescent="0.25">
      <c r="A15614"/>
      <c r="B15614"/>
    </row>
    <row r="15615" spans="1:2" x14ac:dyDescent="0.25">
      <c r="A15615"/>
      <c r="B15615"/>
    </row>
    <row r="15616" spans="1:2" x14ac:dyDescent="0.25">
      <c r="A15616"/>
      <c r="B15616"/>
    </row>
    <row r="15617" spans="1:2" x14ac:dyDescent="0.25">
      <c r="A15617"/>
      <c r="B15617"/>
    </row>
    <row r="15618" spans="1:2" x14ac:dyDescent="0.25">
      <c r="A15618"/>
      <c r="B15618"/>
    </row>
    <row r="15619" spans="1:2" x14ac:dyDescent="0.25">
      <c r="A15619"/>
      <c r="B15619"/>
    </row>
    <row r="15620" spans="1:2" x14ac:dyDescent="0.25">
      <c r="A15620"/>
      <c r="B15620"/>
    </row>
    <row r="15621" spans="1:2" x14ac:dyDescent="0.25">
      <c r="A15621"/>
      <c r="B15621"/>
    </row>
    <row r="15622" spans="1:2" x14ac:dyDescent="0.25">
      <c r="A15622"/>
      <c r="B15622"/>
    </row>
    <row r="15623" spans="1:2" x14ac:dyDescent="0.25">
      <c r="A15623"/>
      <c r="B15623"/>
    </row>
    <row r="15624" spans="1:2" x14ac:dyDescent="0.25">
      <c r="A15624"/>
      <c r="B15624"/>
    </row>
    <row r="15625" spans="1:2" x14ac:dyDescent="0.25">
      <c r="A15625"/>
      <c r="B15625"/>
    </row>
    <row r="15626" spans="1:2" x14ac:dyDescent="0.25">
      <c r="A15626"/>
      <c r="B15626"/>
    </row>
    <row r="15627" spans="1:2" x14ac:dyDescent="0.25">
      <c r="A15627"/>
      <c r="B15627"/>
    </row>
    <row r="15628" spans="1:2" x14ac:dyDescent="0.25">
      <c r="A15628"/>
      <c r="B15628"/>
    </row>
    <row r="15629" spans="1:2" x14ac:dyDescent="0.25">
      <c r="A15629"/>
      <c r="B15629"/>
    </row>
    <row r="15630" spans="1:2" x14ac:dyDescent="0.25">
      <c r="A15630"/>
      <c r="B15630"/>
    </row>
    <row r="15631" spans="1:2" x14ac:dyDescent="0.25">
      <c r="A15631"/>
      <c r="B15631"/>
    </row>
    <row r="15632" spans="1:2" x14ac:dyDescent="0.25">
      <c r="A15632"/>
      <c r="B15632"/>
    </row>
    <row r="15633" spans="1:2" x14ac:dyDescent="0.25">
      <c r="A15633"/>
      <c r="B15633"/>
    </row>
    <row r="15634" spans="1:2" x14ac:dyDescent="0.25">
      <c r="A15634"/>
      <c r="B15634"/>
    </row>
    <row r="15635" spans="1:2" x14ac:dyDescent="0.25">
      <c r="A15635"/>
      <c r="B15635"/>
    </row>
    <row r="15636" spans="1:2" x14ac:dyDescent="0.25">
      <c r="A15636"/>
      <c r="B15636"/>
    </row>
    <row r="15637" spans="1:2" x14ac:dyDescent="0.25">
      <c r="A15637"/>
      <c r="B15637"/>
    </row>
    <row r="15638" spans="1:2" x14ac:dyDescent="0.25">
      <c r="A15638"/>
      <c r="B15638"/>
    </row>
    <row r="15639" spans="1:2" x14ac:dyDescent="0.25">
      <c r="A15639"/>
      <c r="B15639"/>
    </row>
    <row r="15640" spans="1:2" x14ac:dyDescent="0.25">
      <c r="A15640"/>
      <c r="B15640"/>
    </row>
    <row r="15641" spans="1:2" x14ac:dyDescent="0.25">
      <c r="A15641"/>
      <c r="B15641"/>
    </row>
    <row r="15642" spans="1:2" x14ac:dyDescent="0.25">
      <c r="A15642"/>
      <c r="B15642"/>
    </row>
    <row r="15643" spans="1:2" x14ac:dyDescent="0.25">
      <c r="A15643"/>
      <c r="B15643"/>
    </row>
    <row r="15644" spans="1:2" x14ac:dyDescent="0.25">
      <c r="A15644"/>
      <c r="B15644"/>
    </row>
    <row r="15645" spans="1:2" x14ac:dyDescent="0.25">
      <c r="A15645"/>
      <c r="B15645"/>
    </row>
    <row r="15646" spans="1:2" x14ac:dyDescent="0.25">
      <c r="A15646"/>
      <c r="B15646"/>
    </row>
    <row r="15647" spans="1:2" x14ac:dyDescent="0.25">
      <c r="A15647"/>
      <c r="B15647"/>
    </row>
    <row r="15648" spans="1:2" x14ac:dyDescent="0.25">
      <c r="A15648"/>
      <c r="B15648"/>
    </row>
    <row r="15649" spans="1:2" x14ac:dyDescent="0.25">
      <c r="A15649"/>
      <c r="B15649"/>
    </row>
    <row r="15650" spans="1:2" x14ac:dyDescent="0.25">
      <c r="A15650"/>
      <c r="B15650"/>
    </row>
    <row r="15651" spans="1:2" x14ac:dyDescent="0.25">
      <c r="A15651"/>
      <c r="B15651"/>
    </row>
    <row r="15652" spans="1:2" x14ac:dyDescent="0.25">
      <c r="A15652"/>
      <c r="B15652"/>
    </row>
    <row r="15653" spans="1:2" x14ac:dyDescent="0.25">
      <c r="A15653"/>
      <c r="B15653"/>
    </row>
    <row r="15654" spans="1:2" x14ac:dyDescent="0.25">
      <c r="A15654"/>
      <c r="B15654"/>
    </row>
    <row r="15655" spans="1:2" x14ac:dyDescent="0.25">
      <c r="A15655"/>
      <c r="B15655"/>
    </row>
    <row r="15656" spans="1:2" x14ac:dyDescent="0.25">
      <c r="A15656"/>
      <c r="B15656"/>
    </row>
    <row r="15657" spans="1:2" x14ac:dyDescent="0.25">
      <c r="A15657"/>
      <c r="B15657"/>
    </row>
    <row r="15658" spans="1:2" x14ac:dyDescent="0.25">
      <c r="A15658"/>
      <c r="B15658"/>
    </row>
    <row r="15659" spans="1:2" x14ac:dyDescent="0.25">
      <c r="A15659"/>
      <c r="B15659"/>
    </row>
    <row r="15660" spans="1:2" x14ac:dyDescent="0.25">
      <c r="A15660"/>
      <c r="B15660"/>
    </row>
    <row r="15661" spans="1:2" x14ac:dyDescent="0.25">
      <c r="A15661"/>
      <c r="B15661"/>
    </row>
    <row r="15662" spans="1:2" x14ac:dyDescent="0.25">
      <c r="A15662"/>
      <c r="B15662"/>
    </row>
    <row r="15663" spans="1:2" x14ac:dyDescent="0.25">
      <c r="A15663"/>
      <c r="B15663"/>
    </row>
    <row r="15664" spans="1:2" x14ac:dyDescent="0.25">
      <c r="A15664"/>
      <c r="B15664"/>
    </row>
    <row r="15665" spans="1:2" x14ac:dyDescent="0.25">
      <c r="A15665"/>
      <c r="B15665"/>
    </row>
    <row r="15666" spans="1:2" x14ac:dyDescent="0.25">
      <c r="A15666"/>
      <c r="B15666"/>
    </row>
    <row r="15667" spans="1:2" x14ac:dyDescent="0.25">
      <c r="A15667"/>
      <c r="B15667"/>
    </row>
    <row r="15668" spans="1:2" x14ac:dyDescent="0.25">
      <c r="A15668"/>
      <c r="B15668"/>
    </row>
    <row r="15669" spans="1:2" x14ac:dyDescent="0.25">
      <c r="A15669"/>
      <c r="B15669"/>
    </row>
    <row r="15670" spans="1:2" x14ac:dyDescent="0.25">
      <c r="A15670"/>
      <c r="B15670"/>
    </row>
    <row r="15671" spans="1:2" x14ac:dyDescent="0.25">
      <c r="A15671"/>
      <c r="B15671"/>
    </row>
    <row r="15672" spans="1:2" x14ac:dyDescent="0.25">
      <c r="A15672"/>
      <c r="B15672"/>
    </row>
    <row r="15673" spans="1:2" x14ac:dyDescent="0.25">
      <c r="A15673"/>
      <c r="B15673"/>
    </row>
    <row r="15674" spans="1:2" x14ac:dyDescent="0.25">
      <c r="A15674"/>
      <c r="B15674"/>
    </row>
    <row r="15675" spans="1:2" x14ac:dyDescent="0.25">
      <c r="A15675"/>
      <c r="B15675"/>
    </row>
    <row r="15676" spans="1:2" x14ac:dyDescent="0.25">
      <c r="A15676"/>
      <c r="B15676"/>
    </row>
    <row r="15677" spans="1:2" x14ac:dyDescent="0.25">
      <c r="A15677"/>
      <c r="B15677"/>
    </row>
    <row r="15678" spans="1:2" x14ac:dyDescent="0.25">
      <c r="A15678"/>
      <c r="B15678"/>
    </row>
    <row r="15679" spans="1:2" x14ac:dyDescent="0.25">
      <c r="A15679"/>
      <c r="B15679"/>
    </row>
    <row r="15680" spans="1:2" x14ac:dyDescent="0.25">
      <c r="A15680"/>
      <c r="B15680"/>
    </row>
    <row r="15681" spans="1:2" x14ac:dyDescent="0.25">
      <c r="A15681"/>
      <c r="B15681"/>
    </row>
    <row r="15682" spans="1:2" x14ac:dyDescent="0.25">
      <c r="A15682"/>
      <c r="B15682"/>
    </row>
    <row r="15683" spans="1:2" x14ac:dyDescent="0.25">
      <c r="A15683"/>
      <c r="B15683"/>
    </row>
    <row r="15684" spans="1:2" x14ac:dyDescent="0.25">
      <c r="A15684"/>
      <c r="B15684"/>
    </row>
    <row r="15685" spans="1:2" x14ac:dyDescent="0.25">
      <c r="A15685"/>
      <c r="B15685"/>
    </row>
    <row r="15686" spans="1:2" x14ac:dyDescent="0.25">
      <c r="A15686"/>
      <c r="B15686"/>
    </row>
    <row r="15687" spans="1:2" x14ac:dyDescent="0.25">
      <c r="A15687"/>
      <c r="B15687"/>
    </row>
    <row r="15688" spans="1:2" x14ac:dyDescent="0.25">
      <c r="A15688"/>
      <c r="B15688"/>
    </row>
    <row r="15689" spans="1:2" x14ac:dyDescent="0.25">
      <c r="A15689"/>
      <c r="B15689"/>
    </row>
    <row r="15690" spans="1:2" x14ac:dyDescent="0.25">
      <c r="A15690"/>
      <c r="B15690"/>
    </row>
    <row r="15691" spans="1:2" x14ac:dyDescent="0.25">
      <c r="A15691"/>
      <c r="B15691"/>
    </row>
    <row r="15692" spans="1:2" x14ac:dyDescent="0.25">
      <c r="A15692"/>
      <c r="B15692"/>
    </row>
    <row r="15693" spans="1:2" x14ac:dyDescent="0.25">
      <c r="A15693"/>
      <c r="B15693"/>
    </row>
    <row r="15694" spans="1:2" x14ac:dyDescent="0.25">
      <c r="A15694"/>
      <c r="B15694"/>
    </row>
    <row r="15695" spans="1:2" x14ac:dyDescent="0.25">
      <c r="A15695"/>
      <c r="B15695"/>
    </row>
    <row r="15696" spans="1:2" x14ac:dyDescent="0.25">
      <c r="A15696"/>
      <c r="B15696"/>
    </row>
    <row r="15697" spans="1:2" x14ac:dyDescent="0.25">
      <c r="A15697"/>
      <c r="B15697"/>
    </row>
    <row r="15698" spans="1:2" x14ac:dyDescent="0.25">
      <c r="A15698"/>
      <c r="B15698"/>
    </row>
    <row r="15699" spans="1:2" x14ac:dyDescent="0.25">
      <c r="A15699"/>
      <c r="B15699"/>
    </row>
    <row r="15700" spans="1:2" x14ac:dyDescent="0.25">
      <c r="A15700"/>
      <c r="B15700"/>
    </row>
    <row r="15701" spans="1:2" x14ac:dyDescent="0.25">
      <c r="A15701"/>
      <c r="B15701"/>
    </row>
    <row r="15702" spans="1:2" x14ac:dyDescent="0.25">
      <c r="A15702"/>
      <c r="B15702"/>
    </row>
    <row r="15703" spans="1:2" x14ac:dyDescent="0.25">
      <c r="A15703"/>
      <c r="B15703"/>
    </row>
    <row r="15704" spans="1:2" x14ac:dyDescent="0.25">
      <c r="A15704"/>
      <c r="B15704"/>
    </row>
    <row r="15705" spans="1:2" x14ac:dyDescent="0.25">
      <c r="A15705"/>
      <c r="B15705"/>
    </row>
    <row r="15706" spans="1:2" x14ac:dyDescent="0.25">
      <c r="A15706"/>
      <c r="B15706"/>
    </row>
    <row r="15707" spans="1:2" x14ac:dyDescent="0.25">
      <c r="A15707"/>
      <c r="B15707"/>
    </row>
    <row r="15708" spans="1:2" x14ac:dyDescent="0.25">
      <c r="A15708"/>
      <c r="B15708"/>
    </row>
    <row r="15709" spans="1:2" x14ac:dyDescent="0.25">
      <c r="A15709"/>
      <c r="B15709"/>
    </row>
    <row r="15710" spans="1:2" x14ac:dyDescent="0.25">
      <c r="A15710"/>
      <c r="B15710"/>
    </row>
    <row r="15711" spans="1:2" x14ac:dyDescent="0.25">
      <c r="A15711"/>
      <c r="B15711"/>
    </row>
    <row r="15712" spans="1:2" x14ac:dyDescent="0.25">
      <c r="A15712"/>
      <c r="B15712"/>
    </row>
    <row r="15713" spans="1:2" x14ac:dyDescent="0.25">
      <c r="A15713"/>
      <c r="B15713"/>
    </row>
    <row r="15714" spans="1:2" x14ac:dyDescent="0.25">
      <c r="A15714"/>
      <c r="B15714"/>
    </row>
    <row r="15715" spans="1:2" x14ac:dyDescent="0.25">
      <c r="A15715"/>
      <c r="B15715"/>
    </row>
    <row r="15716" spans="1:2" x14ac:dyDescent="0.25">
      <c r="A15716"/>
      <c r="B15716"/>
    </row>
    <row r="15717" spans="1:2" x14ac:dyDescent="0.25">
      <c r="A15717"/>
      <c r="B15717"/>
    </row>
    <row r="15718" spans="1:2" x14ac:dyDescent="0.25">
      <c r="A15718"/>
      <c r="B15718"/>
    </row>
    <row r="15719" spans="1:2" x14ac:dyDescent="0.25">
      <c r="A15719"/>
      <c r="B15719"/>
    </row>
    <row r="15720" spans="1:2" x14ac:dyDescent="0.25">
      <c r="A15720"/>
      <c r="B15720"/>
    </row>
    <row r="15721" spans="1:2" x14ac:dyDescent="0.25">
      <c r="A15721"/>
      <c r="B15721"/>
    </row>
    <row r="15722" spans="1:2" x14ac:dyDescent="0.25">
      <c r="A15722"/>
      <c r="B15722"/>
    </row>
    <row r="15723" spans="1:2" x14ac:dyDescent="0.25">
      <c r="A15723"/>
      <c r="B15723"/>
    </row>
    <row r="15724" spans="1:2" x14ac:dyDescent="0.25">
      <c r="A15724"/>
      <c r="B15724"/>
    </row>
    <row r="15725" spans="1:2" x14ac:dyDescent="0.25">
      <c r="A15725"/>
      <c r="B15725"/>
    </row>
    <row r="15726" spans="1:2" x14ac:dyDescent="0.25">
      <c r="A15726"/>
      <c r="B15726"/>
    </row>
    <row r="15727" spans="1:2" x14ac:dyDescent="0.25">
      <c r="A15727"/>
      <c r="B15727"/>
    </row>
    <row r="15728" spans="1:2" x14ac:dyDescent="0.25">
      <c r="A15728"/>
      <c r="B15728"/>
    </row>
    <row r="15729" spans="1:2" x14ac:dyDescent="0.25">
      <c r="A15729"/>
      <c r="B15729"/>
    </row>
    <row r="15730" spans="1:2" x14ac:dyDescent="0.25">
      <c r="A15730"/>
      <c r="B15730"/>
    </row>
    <row r="15731" spans="1:2" x14ac:dyDescent="0.25">
      <c r="A15731"/>
      <c r="B15731"/>
    </row>
    <row r="15732" spans="1:2" x14ac:dyDescent="0.25">
      <c r="A15732"/>
      <c r="B15732"/>
    </row>
    <row r="15733" spans="1:2" x14ac:dyDescent="0.25">
      <c r="A15733"/>
      <c r="B15733"/>
    </row>
    <row r="15734" spans="1:2" x14ac:dyDescent="0.25">
      <c r="A15734"/>
      <c r="B15734"/>
    </row>
    <row r="15735" spans="1:2" x14ac:dyDescent="0.25">
      <c r="A15735"/>
      <c r="B15735"/>
    </row>
    <row r="15736" spans="1:2" x14ac:dyDescent="0.25">
      <c r="A15736"/>
      <c r="B15736"/>
    </row>
    <row r="15737" spans="1:2" x14ac:dyDescent="0.25">
      <c r="A15737"/>
      <c r="B15737"/>
    </row>
    <row r="15738" spans="1:2" x14ac:dyDescent="0.25">
      <c r="A15738"/>
      <c r="B15738"/>
    </row>
    <row r="15739" spans="1:2" x14ac:dyDescent="0.25">
      <c r="A15739"/>
      <c r="B15739"/>
    </row>
    <row r="15740" spans="1:2" x14ac:dyDescent="0.25">
      <c r="A15740"/>
      <c r="B15740"/>
    </row>
    <row r="15741" spans="1:2" x14ac:dyDescent="0.25">
      <c r="A15741"/>
      <c r="B15741"/>
    </row>
    <row r="15742" spans="1:2" x14ac:dyDescent="0.25">
      <c r="A15742"/>
      <c r="B15742"/>
    </row>
    <row r="15743" spans="1:2" x14ac:dyDescent="0.25">
      <c r="A15743"/>
      <c r="B15743"/>
    </row>
    <row r="15744" spans="1:2" x14ac:dyDescent="0.25">
      <c r="A15744"/>
      <c r="B15744"/>
    </row>
    <row r="15745" spans="1:2" x14ac:dyDescent="0.25">
      <c r="A15745"/>
      <c r="B15745"/>
    </row>
    <row r="15746" spans="1:2" x14ac:dyDescent="0.25">
      <c r="A15746"/>
      <c r="B15746"/>
    </row>
    <row r="15747" spans="1:2" x14ac:dyDescent="0.25">
      <c r="A15747"/>
      <c r="B15747"/>
    </row>
    <row r="15748" spans="1:2" x14ac:dyDescent="0.25">
      <c r="A15748"/>
      <c r="B15748"/>
    </row>
    <row r="15749" spans="1:2" x14ac:dyDescent="0.25">
      <c r="A15749"/>
      <c r="B15749"/>
    </row>
    <row r="15750" spans="1:2" x14ac:dyDescent="0.25">
      <c r="A15750"/>
      <c r="B15750"/>
    </row>
    <row r="15751" spans="1:2" x14ac:dyDescent="0.25">
      <c r="A15751"/>
      <c r="B15751"/>
    </row>
    <row r="15752" spans="1:2" x14ac:dyDescent="0.25">
      <c r="A15752"/>
      <c r="B15752"/>
    </row>
    <row r="15753" spans="1:2" x14ac:dyDescent="0.25">
      <c r="A15753"/>
      <c r="B15753"/>
    </row>
    <row r="15754" spans="1:2" x14ac:dyDescent="0.25">
      <c r="A15754"/>
      <c r="B15754"/>
    </row>
    <row r="15755" spans="1:2" x14ac:dyDescent="0.25">
      <c r="A15755"/>
      <c r="B15755"/>
    </row>
    <row r="15756" spans="1:2" x14ac:dyDescent="0.25">
      <c r="A15756"/>
      <c r="B15756"/>
    </row>
    <row r="15757" spans="1:2" x14ac:dyDescent="0.25">
      <c r="A15757"/>
      <c r="B15757"/>
    </row>
    <row r="15758" spans="1:2" x14ac:dyDescent="0.25">
      <c r="A15758"/>
      <c r="B15758"/>
    </row>
    <row r="15759" spans="1:2" x14ac:dyDescent="0.25">
      <c r="A15759"/>
      <c r="B15759"/>
    </row>
    <row r="15760" spans="1:2" x14ac:dyDescent="0.25">
      <c r="A15760"/>
      <c r="B15760"/>
    </row>
    <row r="15761" spans="1:2" x14ac:dyDescent="0.25">
      <c r="A15761"/>
      <c r="B15761"/>
    </row>
    <row r="15762" spans="1:2" x14ac:dyDescent="0.25">
      <c r="A15762"/>
      <c r="B15762"/>
    </row>
    <row r="15763" spans="1:2" x14ac:dyDescent="0.25">
      <c r="A15763"/>
      <c r="B15763"/>
    </row>
    <row r="15764" spans="1:2" x14ac:dyDescent="0.25">
      <c r="A15764"/>
      <c r="B15764"/>
    </row>
    <row r="15765" spans="1:2" x14ac:dyDescent="0.25">
      <c r="A15765"/>
      <c r="B15765"/>
    </row>
    <row r="15766" spans="1:2" x14ac:dyDescent="0.25">
      <c r="A15766"/>
      <c r="B15766"/>
    </row>
    <row r="15767" spans="1:2" x14ac:dyDescent="0.25">
      <c r="A15767"/>
      <c r="B15767"/>
    </row>
    <row r="15768" spans="1:2" x14ac:dyDescent="0.25">
      <c r="A15768"/>
      <c r="B15768"/>
    </row>
    <row r="15769" spans="1:2" x14ac:dyDescent="0.25">
      <c r="A15769"/>
      <c r="B15769"/>
    </row>
    <row r="15770" spans="1:2" x14ac:dyDescent="0.25">
      <c r="A15770"/>
      <c r="B15770"/>
    </row>
    <row r="15771" spans="1:2" x14ac:dyDescent="0.25">
      <c r="A15771"/>
      <c r="B15771"/>
    </row>
    <row r="15772" spans="1:2" x14ac:dyDescent="0.25">
      <c r="A15772"/>
      <c r="B15772"/>
    </row>
    <row r="15773" spans="1:2" x14ac:dyDescent="0.25">
      <c r="A15773"/>
      <c r="B15773"/>
    </row>
    <row r="15774" spans="1:2" x14ac:dyDescent="0.25">
      <c r="A15774"/>
      <c r="B15774"/>
    </row>
    <row r="15775" spans="1:2" x14ac:dyDescent="0.25">
      <c r="A15775"/>
      <c r="B15775"/>
    </row>
    <row r="15776" spans="1:2" x14ac:dyDescent="0.25">
      <c r="A15776"/>
      <c r="B15776"/>
    </row>
    <row r="15777" spans="1:2" x14ac:dyDescent="0.25">
      <c r="A15777"/>
      <c r="B15777"/>
    </row>
    <row r="15778" spans="1:2" x14ac:dyDescent="0.25">
      <c r="A15778"/>
      <c r="B15778"/>
    </row>
    <row r="15779" spans="1:2" x14ac:dyDescent="0.25">
      <c r="A15779"/>
      <c r="B15779"/>
    </row>
    <row r="15780" spans="1:2" x14ac:dyDescent="0.25">
      <c r="A15780"/>
      <c r="B15780"/>
    </row>
    <row r="15781" spans="1:2" x14ac:dyDescent="0.25">
      <c r="A15781"/>
      <c r="B15781"/>
    </row>
    <row r="15782" spans="1:2" x14ac:dyDescent="0.25">
      <c r="A15782"/>
      <c r="B15782"/>
    </row>
    <row r="15783" spans="1:2" x14ac:dyDescent="0.25">
      <c r="A15783"/>
      <c r="B15783"/>
    </row>
    <row r="15784" spans="1:2" x14ac:dyDescent="0.25">
      <c r="A15784"/>
      <c r="B15784"/>
    </row>
    <row r="15785" spans="1:2" x14ac:dyDescent="0.25">
      <c r="A15785"/>
      <c r="B15785"/>
    </row>
    <row r="15786" spans="1:2" x14ac:dyDescent="0.25">
      <c r="A15786"/>
      <c r="B15786"/>
    </row>
    <row r="15787" spans="1:2" x14ac:dyDescent="0.25">
      <c r="A15787"/>
      <c r="B15787"/>
    </row>
    <row r="15788" spans="1:2" x14ac:dyDescent="0.25">
      <c r="A15788"/>
      <c r="B15788"/>
    </row>
    <row r="15789" spans="1:2" x14ac:dyDescent="0.25">
      <c r="A15789"/>
      <c r="B15789"/>
    </row>
    <row r="15790" spans="1:2" x14ac:dyDescent="0.25">
      <c r="A15790"/>
      <c r="B15790"/>
    </row>
    <row r="15791" spans="1:2" x14ac:dyDescent="0.25">
      <c r="A15791"/>
      <c r="B15791"/>
    </row>
    <row r="15792" spans="1:2" x14ac:dyDescent="0.25">
      <c r="A15792"/>
      <c r="B15792"/>
    </row>
    <row r="15793" spans="1:2" x14ac:dyDescent="0.25">
      <c r="A15793"/>
      <c r="B15793"/>
    </row>
    <row r="15794" spans="1:2" x14ac:dyDescent="0.25">
      <c r="A15794"/>
      <c r="B15794"/>
    </row>
    <row r="15795" spans="1:2" x14ac:dyDescent="0.25">
      <c r="A15795"/>
      <c r="B15795"/>
    </row>
    <row r="15796" spans="1:2" x14ac:dyDescent="0.25">
      <c r="A15796"/>
      <c r="B15796"/>
    </row>
    <row r="15797" spans="1:2" x14ac:dyDescent="0.25">
      <c r="A15797"/>
      <c r="B15797"/>
    </row>
    <row r="15798" spans="1:2" x14ac:dyDescent="0.25">
      <c r="A15798"/>
      <c r="B15798"/>
    </row>
    <row r="15799" spans="1:2" x14ac:dyDescent="0.25">
      <c r="A15799"/>
      <c r="B15799"/>
    </row>
    <row r="15800" spans="1:2" x14ac:dyDescent="0.25">
      <c r="A15800"/>
      <c r="B15800"/>
    </row>
    <row r="15801" spans="1:2" x14ac:dyDescent="0.25">
      <c r="A15801"/>
      <c r="B15801"/>
    </row>
    <row r="15802" spans="1:2" x14ac:dyDescent="0.25">
      <c r="A15802"/>
      <c r="B15802"/>
    </row>
    <row r="15803" spans="1:2" x14ac:dyDescent="0.25">
      <c r="A15803"/>
      <c r="B15803"/>
    </row>
    <row r="15804" spans="1:2" x14ac:dyDescent="0.25">
      <c r="A15804"/>
      <c r="B15804"/>
    </row>
    <row r="15805" spans="1:2" x14ac:dyDescent="0.25">
      <c r="A15805"/>
      <c r="B15805"/>
    </row>
    <row r="15806" spans="1:2" x14ac:dyDescent="0.25">
      <c r="A15806"/>
      <c r="B15806"/>
    </row>
    <row r="15807" spans="1:2" x14ac:dyDescent="0.25">
      <c r="A15807"/>
      <c r="B15807"/>
    </row>
    <row r="15808" spans="1:2" x14ac:dyDescent="0.25">
      <c r="A15808"/>
      <c r="B15808"/>
    </row>
    <row r="15809" spans="1:2" x14ac:dyDescent="0.25">
      <c r="A15809"/>
      <c r="B15809"/>
    </row>
    <row r="15810" spans="1:2" x14ac:dyDescent="0.25">
      <c r="A15810"/>
      <c r="B15810"/>
    </row>
    <row r="15811" spans="1:2" x14ac:dyDescent="0.25">
      <c r="A15811"/>
      <c r="B15811"/>
    </row>
    <row r="15812" spans="1:2" x14ac:dyDescent="0.25">
      <c r="A15812"/>
      <c r="B15812"/>
    </row>
    <row r="15813" spans="1:2" x14ac:dyDescent="0.25">
      <c r="A15813"/>
      <c r="B15813"/>
    </row>
    <row r="15814" spans="1:2" x14ac:dyDescent="0.25">
      <c r="A15814"/>
      <c r="B15814"/>
    </row>
    <row r="15815" spans="1:2" x14ac:dyDescent="0.25">
      <c r="A15815"/>
      <c r="B15815"/>
    </row>
    <row r="15816" spans="1:2" x14ac:dyDescent="0.25">
      <c r="A15816"/>
      <c r="B15816"/>
    </row>
    <row r="15817" spans="1:2" x14ac:dyDescent="0.25">
      <c r="A15817"/>
      <c r="B15817"/>
    </row>
    <row r="15818" spans="1:2" x14ac:dyDescent="0.25">
      <c r="A15818"/>
      <c r="B15818"/>
    </row>
    <row r="15819" spans="1:2" x14ac:dyDescent="0.25">
      <c r="A15819"/>
      <c r="B15819"/>
    </row>
    <row r="15820" spans="1:2" x14ac:dyDescent="0.25">
      <c r="A15820"/>
      <c r="B15820"/>
    </row>
    <row r="15821" spans="1:2" x14ac:dyDescent="0.25">
      <c r="A15821"/>
      <c r="B15821"/>
    </row>
    <row r="15822" spans="1:2" x14ac:dyDescent="0.25">
      <c r="A15822"/>
      <c r="B15822"/>
    </row>
    <row r="15823" spans="1:2" x14ac:dyDescent="0.25">
      <c r="A15823"/>
      <c r="B15823"/>
    </row>
    <row r="15824" spans="1:2" x14ac:dyDescent="0.25">
      <c r="A15824"/>
      <c r="B15824"/>
    </row>
    <row r="15825" spans="1:2" x14ac:dyDescent="0.25">
      <c r="A15825"/>
      <c r="B15825"/>
    </row>
    <row r="15826" spans="1:2" x14ac:dyDescent="0.25">
      <c r="A15826"/>
      <c r="B15826"/>
    </row>
    <row r="15827" spans="1:2" x14ac:dyDescent="0.25">
      <c r="A15827"/>
      <c r="B15827"/>
    </row>
    <row r="15828" spans="1:2" x14ac:dyDescent="0.25">
      <c r="A15828"/>
      <c r="B15828"/>
    </row>
    <row r="15829" spans="1:2" x14ac:dyDescent="0.25">
      <c r="A15829"/>
      <c r="B15829"/>
    </row>
    <row r="15830" spans="1:2" x14ac:dyDescent="0.25">
      <c r="A15830"/>
      <c r="B15830"/>
    </row>
    <row r="15831" spans="1:2" x14ac:dyDescent="0.25">
      <c r="A15831"/>
      <c r="B15831"/>
    </row>
    <row r="15832" spans="1:2" x14ac:dyDescent="0.25">
      <c r="A15832"/>
      <c r="B15832"/>
    </row>
    <row r="15833" spans="1:2" x14ac:dyDescent="0.25">
      <c r="A15833"/>
      <c r="B15833"/>
    </row>
    <row r="15834" spans="1:2" x14ac:dyDescent="0.25">
      <c r="A15834"/>
      <c r="B15834"/>
    </row>
    <row r="15835" spans="1:2" x14ac:dyDescent="0.25">
      <c r="A15835"/>
      <c r="B15835"/>
    </row>
    <row r="15836" spans="1:2" x14ac:dyDescent="0.25">
      <c r="A15836"/>
      <c r="B15836"/>
    </row>
    <row r="15837" spans="1:2" x14ac:dyDescent="0.25">
      <c r="A15837"/>
      <c r="B15837"/>
    </row>
    <row r="15838" spans="1:2" x14ac:dyDescent="0.25">
      <c r="A15838"/>
      <c r="B15838"/>
    </row>
    <row r="15839" spans="1:2" x14ac:dyDescent="0.25">
      <c r="A15839"/>
      <c r="B15839"/>
    </row>
    <row r="15840" spans="1:2" x14ac:dyDescent="0.25">
      <c r="A15840"/>
      <c r="B15840"/>
    </row>
    <row r="15841" spans="1:2" x14ac:dyDescent="0.25">
      <c r="A15841"/>
      <c r="B15841"/>
    </row>
    <row r="15842" spans="1:2" x14ac:dyDescent="0.25">
      <c r="A15842"/>
      <c r="B15842"/>
    </row>
    <row r="15843" spans="1:2" x14ac:dyDescent="0.25">
      <c r="A15843"/>
      <c r="B15843"/>
    </row>
    <row r="15844" spans="1:2" x14ac:dyDescent="0.25">
      <c r="A15844"/>
      <c r="B15844"/>
    </row>
    <row r="15845" spans="1:2" x14ac:dyDescent="0.25">
      <c r="A15845"/>
      <c r="B15845"/>
    </row>
    <row r="15846" spans="1:2" x14ac:dyDescent="0.25">
      <c r="A15846"/>
      <c r="B15846"/>
    </row>
    <row r="15847" spans="1:2" x14ac:dyDescent="0.25">
      <c r="A15847"/>
      <c r="B15847"/>
    </row>
    <row r="15848" spans="1:2" x14ac:dyDescent="0.25">
      <c r="A15848"/>
      <c r="B15848"/>
    </row>
    <row r="15849" spans="1:2" x14ac:dyDescent="0.25">
      <c r="A15849"/>
      <c r="B15849"/>
    </row>
    <row r="15850" spans="1:2" x14ac:dyDescent="0.25">
      <c r="A15850"/>
      <c r="B15850"/>
    </row>
    <row r="15851" spans="1:2" x14ac:dyDescent="0.25">
      <c r="A15851"/>
      <c r="B15851"/>
    </row>
    <row r="15852" spans="1:2" x14ac:dyDescent="0.25">
      <c r="A15852"/>
      <c r="B15852"/>
    </row>
    <row r="15853" spans="1:2" x14ac:dyDescent="0.25">
      <c r="A15853"/>
      <c r="B15853"/>
    </row>
    <row r="15854" spans="1:2" x14ac:dyDescent="0.25">
      <c r="A15854"/>
      <c r="B15854"/>
    </row>
    <row r="15855" spans="1:2" x14ac:dyDescent="0.25">
      <c r="A15855"/>
      <c r="B15855"/>
    </row>
    <row r="15856" spans="1:2" x14ac:dyDescent="0.25">
      <c r="A15856"/>
      <c r="B15856"/>
    </row>
    <row r="15857" spans="1:2" x14ac:dyDescent="0.25">
      <c r="A15857"/>
      <c r="B15857"/>
    </row>
    <row r="15858" spans="1:2" x14ac:dyDescent="0.25">
      <c r="A15858"/>
      <c r="B15858"/>
    </row>
    <row r="15859" spans="1:2" x14ac:dyDescent="0.25">
      <c r="A15859"/>
      <c r="B15859"/>
    </row>
    <row r="15860" spans="1:2" x14ac:dyDescent="0.25">
      <c r="A15860"/>
      <c r="B15860"/>
    </row>
    <row r="15861" spans="1:2" x14ac:dyDescent="0.25">
      <c r="A15861"/>
      <c r="B15861"/>
    </row>
    <row r="15862" spans="1:2" x14ac:dyDescent="0.25">
      <c r="A15862"/>
      <c r="B15862"/>
    </row>
    <row r="15863" spans="1:2" x14ac:dyDescent="0.25">
      <c r="A15863"/>
      <c r="B15863"/>
    </row>
    <row r="15864" spans="1:2" x14ac:dyDescent="0.25">
      <c r="A15864"/>
      <c r="B15864"/>
    </row>
    <row r="15865" spans="1:2" x14ac:dyDescent="0.25">
      <c r="A15865"/>
      <c r="B15865"/>
    </row>
    <row r="15866" spans="1:2" x14ac:dyDescent="0.25">
      <c r="A15866"/>
      <c r="B15866"/>
    </row>
    <row r="15867" spans="1:2" x14ac:dyDescent="0.25">
      <c r="A15867"/>
      <c r="B15867"/>
    </row>
    <row r="15868" spans="1:2" x14ac:dyDescent="0.25">
      <c r="A15868"/>
      <c r="B15868"/>
    </row>
    <row r="15869" spans="1:2" x14ac:dyDescent="0.25">
      <c r="A15869"/>
      <c r="B15869"/>
    </row>
    <row r="15870" spans="1:2" x14ac:dyDescent="0.25">
      <c r="A15870"/>
      <c r="B15870"/>
    </row>
    <row r="15871" spans="1:2" x14ac:dyDescent="0.25">
      <c r="A15871"/>
      <c r="B15871"/>
    </row>
    <row r="15872" spans="1:2" x14ac:dyDescent="0.25">
      <c r="A15872"/>
      <c r="B15872"/>
    </row>
    <row r="15873" spans="1:2" x14ac:dyDescent="0.25">
      <c r="A15873"/>
      <c r="B15873"/>
    </row>
    <row r="15874" spans="1:2" x14ac:dyDescent="0.25">
      <c r="A15874"/>
      <c r="B15874"/>
    </row>
    <row r="15875" spans="1:2" x14ac:dyDescent="0.25">
      <c r="A15875"/>
      <c r="B15875"/>
    </row>
    <row r="15876" spans="1:2" x14ac:dyDescent="0.25">
      <c r="A15876"/>
      <c r="B15876"/>
    </row>
    <row r="15877" spans="1:2" x14ac:dyDescent="0.25">
      <c r="A15877"/>
      <c r="B15877"/>
    </row>
    <row r="15878" spans="1:2" x14ac:dyDescent="0.25">
      <c r="A15878"/>
      <c r="B15878"/>
    </row>
    <row r="15879" spans="1:2" x14ac:dyDescent="0.25">
      <c r="A15879"/>
      <c r="B15879"/>
    </row>
    <row r="15880" spans="1:2" x14ac:dyDescent="0.25">
      <c r="A15880"/>
      <c r="B15880"/>
    </row>
    <row r="15881" spans="1:2" x14ac:dyDescent="0.25">
      <c r="A15881"/>
      <c r="B15881"/>
    </row>
    <row r="15882" spans="1:2" x14ac:dyDescent="0.25">
      <c r="A15882"/>
      <c r="B15882"/>
    </row>
    <row r="15883" spans="1:2" x14ac:dyDescent="0.25">
      <c r="A15883"/>
      <c r="B15883"/>
    </row>
    <row r="15884" spans="1:2" x14ac:dyDescent="0.25">
      <c r="A15884"/>
      <c r="B15884"/>
    </row>
    <row r="15885" spans="1:2" x14ac:dyDescent="0.25">
      <c r="A15885"/>
      <c r="B15885"/>
    </row>
    <row r="15886" spans="1:2" x14ac:dyDescent="0.25">
      <c r="A15886"/>
      <c r="B15886"/>
    </row>
    <row r="15887" spans="1:2" x14ac:dyDescent="0.25">
      <c r="A15887"/>
      <c r="B15887"/>
    </row>
    <row r="15888" spans="1:2" x14ac:dyDescent="0.25">
      <c r="A15888"/>
      <c r="B15888"/>
    </row>
    <row r="15889" spans="1:2" x14ac:dyDescent="0.25">
      <c r="A15889"/>
      <c r="B15889"/>
    </row>
    <row r="15890" spans="1:2" x14ac:dyDescent="0.25">
      <c r="A15890"/>
      <c r="B15890"/>
    </row>
    <row r="15891" spans="1:2" x14ac:dyDescent="0.25">
      <c r="A15891"/>
      <c r="B15891"/>
    </row>
    <row r="15892" spans="1:2" x14ac:dyDescent="0.25">
      <c r="A15892"/>
      <c r="B15892"/>
    </row>
    <row r="15893" spans="1:2" x14ac:dyDescent="0.25">
      <c r="A15893"/>
      <c r="B15893"/>
    </row>
    <row r="15894" spans="1:2" x14ac:dyDescent="0.25">
      <c r="A15894"/>
      <c r="B15894"/>
    </row>
    <row r="15895" spans="1:2" x14ac:dyDescent="0.25">
      <c r="A15895"/>
      <c r="B15895"/>
    </row>
    <row r="15896" spans="1:2" x14ac:dyDescent="0.25">
      <c r="A15896"/>
      <c r="B15896"/>
    </row>
    <row r="15897" spans="1:2" x14ac:dyDescent="0.25">
      <c r="A15897"/>
      <c r="B15897"/>
    </row>
    <row r="15898" spans="1:2" x14ac:dyDescent="0.25">
      <c r="A15898"/>
      <c r="B15898"/>
    </row>
    <row r="15899" spans="1:2" x14ac:dyDescent="0.25">
      <c r="A15899"/>
      <c r="B15899"/>
    </row>
    <row r="15900" spans="1:2" x14ac:dyDescent="0.25">
      <c r="A15900"/>
      <c r="B15900"/>
    </row>
    <row r="15901" spans="1:2" x14ac:dyDescent="0.25">
      <c r="A15901"/>
      <c r="B15901"/>
    </row>
    <row r="15902" spans="1:2" x14ac:dyDescent="0.25">
      <c r="A15902"/>
      <c r="B15902"/>
    </row>
    <row r="15903" spans="1:2" x14ac:dyDescent="0.25">
      <c r="A15903"/>
      <c r="B15903"/>
    </row>
    <row r="15904" spans="1:2" x14ac:dyDescent="0.25">
      <c r="A15904"/>
      <c r="B15904"/>
    </row>
    <row r="15905" spans="1:2" x14ac:dyDescent="0.25">
      <c r="A15905"/>
      <c r="B15905"/>
    </row>
    <row r="15906" spans="1:2" x14ac:dyDescent="0.25">
      <c r="A15906"/>
      <c r="B15906"/>
    </row>
    <row r="15907" spans="1:2" x14ac:dyDescent="0.25">
      <c r="A15907"/>
      <c r="B15907"/>
    </row>
    <row r="15908" spans="1:2" x14ac:dyDescent="0.25">
      <c r="A15908"/>
      <c r="B15908"/>
    </row>
    <row r="15909" spans="1:2" x14ac:dyDescent="0.25">
      <c r="A15909"/>
      <c r="B15909"/>
    </row>
    <row r="15910" spans="1:2" x14ac:dyDescent="0.25">
      <c r="A15910"/>
      <c r="B15910"/>
    </row>
    <row r="15911" spans="1:2" x14ac:dyDescent="0.25">
      <c r="A15911"/>
      <c r="B15911"/>
    </row>
    <row r="15912" spans="1:2" x14ac:dyDescent="0.25">
      <c r="A15912"/>
      <c r="B15912"/>
    </row>
    <row r="15913" spans="1:2" x14ac:dyDescent="0.25">
      <c r="A15913"/>
      <c r="B15913"/>
    </row>
    <row r="15914" spans="1:2" x14ac:dyDescent="0.25">
      <c r="A15914"/>
      <c r="B15914"/>
    </row>
    <row r="15915" spans="1:2" x14ac:dyDescent="0.25">
      <c r="A15915"/>
      <c r="B15915"/>
    </row>
    <row r="15916" spans="1:2" x14ac:dyDescent="0.25">
      <c r="A15916"/>
      <c r="B15916"/>
    </row>
    <row r="15917" spans="1:2" x14ac:dyDescent="0.25">
      <c r="A15917"/>
      <c r="B15917"/>
    </row>
    <row r="15918" spans="1:2" x14ac:dyDescent="0.25">
      <c r="A15918"/>
      <c r="B15918"/>
    </row>
    <row r="15919" spans="1:2" x14ac:dyDescent="0.25">
      <c r="A15919"/>
      <c r="B15919"/>
    </row>
    <row r="15920" spans="1:2" x14ac:dyDescent="0.25">
      <c r="A15920"/>
      <c r="B15920"/>
    </row>
    <row r="15921" spans="1:2" x14ac:dyDescent="0.25">
      <c r="A15921"/>
      <c r="B15921"/>
    </row>
    <row r="15922" spans="1:2" x14ac:dyDescent="0.25">
      <c r="A15922"/>
      <c r="B15922"/>
    </row>
    <row r="15923" spans="1:2" x14ac:dyDescent="0.25">
      <c r="A15923"/>
      <c r="B15923"/>
    </row>
    <row r="15924" spans="1:2" x14ac:dyDescent="0.25">
      <c r="A15924"/>
      <c r="B15924"/>
    </row>
    <row r="15925" spans="1:2" x14ac:dyDescent="0.25">
      <c r="A15925"/>
      <c r="B15925"/>
    </row>
    <row r="15926" spans="1:2" x14ac:dyDescent="0.25">
      <c r="A15926"/>
      <c r="B15926"/>
    </row>
    <row r="15927" spans="1:2" x14ac:dyDescent="0.25">
      <c r="A15927"/>
      <c r="B15927"/>
    </row>
    <row r="15928" spans="1:2" x14ac:dyDescent="0.25">
      <c r="A15928"/>
      <c r="B15928"/>
    </row>
    <row r="15929" spans="1:2" x14ac:dyDescent="0.25">
      <c r="A15929"/>
      <c r="B15929"/>
    </row>
    <row r="15930" spans="1:2" x14ac:dyDescent="0.25">
      <c r="A15930"/>
      <c r="B15930"/>
    </row>
    <row r="15931" spans="1:2" x14ac:dyDescent="0.25">
      <c r="A15931"/>
      <c r="B15931"/>
    </row>
    <row r="15932" spans="1:2" x14ac:dyDescent="0.25">
      <c r="A15932"/>
      <c r="B15932"/>
    </row>
    <row r="15933" spans="1:2" x14ac:dyDescent="0.25">
      <c r="A15933"/>
      <c r="B15933"/>
    </row>
    <row r="15934" spans="1:2" x14ac:dyDescent="0.25">
      <c r="A15934"/>
      <c r="B15934"/>
    </row>
    <row r="15935" spans="1:2" x14ac:dyDescent="0.25">
      <c r="A15935"/>
      <c r="B15935"/>
    </row>
    <row r="15936" spans="1:2" x14ac:dyDescent="0.25">
      <c r="A15936"/>
      <c r="B15936"/>
    </row>
    <row r="15937" spans="1:2" x14ac:dyDescent="0.25">
      <c r="A15937"/>
      <c r="B15937"/>
    </row>
    <row r="15938" spans="1:2" x14ac:dyDescent="0.25">
      <c r="A15938"/>
      <c r="B15938"/>
    </row>
    <row r="15939" spans="1:2" x14ac:dyDescent="0.25">
      <c r="A15939"/>
      <c r="B15939"/>
    </row>
    <row r="15940" spans="1:2" x14ac:dyDescent="0.25">
      <c r="A15940"/>
      <c r="B15940"/>
    </row>
    <row r="15941" spans="1:2" x14ac:dyDescent="0.25">
      <c r="A15941"/>
      <c r="B15941"/>
    </row>
    <row r="15942" spans="1:2" x14ac:dyDescent="0.25">
      <c r="A15942"/>
      <c r="B15942"/>
    </row>
    <row r="15943" spans="1:2" x14ac:dyDescent="0.25">
      <c r="A15943"/>
      <c r="B15943"/>
    </row>
    <row r="15944" spans="1:2" x14ac:dyDescent="0.25">
      <c r="A15944"/>
      <c r="B15944"/>
    </row>
    <row r="15945" spans="1:2" x14ac:dyDescent="0.25">
      <c r="A15945"/>
      <c r="B15945"/>
    </row>
    <row r="15946" spans="1:2" x14ac:dyDescent="0.25">
      <c r="A15946"/>
      <c r="B15946"/>
    </row>
    <row r="15947" spans="1:2" x14ac:dyDescent="0.25">
      <c r="A15947"/>
      <c r="B15947"/>
    </row>
    <row r="15948" spans="1:2" x14ac:dyDescent="0.25">
      <c r="A15948"/>
      <c r="B15948"/>
    </row>
    <row r="15949" spans="1:2" x14ac:dyDescent="0.25">
      <c r="A15949"/>
      <c r="B15949"/>
    </row>
    <row r="15950" spans="1:2" x14ac:dyDescent="0.25">
      <c r="A15950"/>
      <c r="B15950"/>
    </row>
    <row r="15951" spans="1:2" x14ac:dyDescent="0.25">
      <c r="A15951"/>
      <c r="B15951"/>
    </row>
    <row r="15952" spans="1:2" x14ac:dyDescent="0.25">
      <c r="A15952"/>
      <c r="B15952"/>
    </row>
    <row r="15953" spans="1:2" x14ac:dyDescent="0.25">
      <c r="A15953"/>
      <c r="B15953"/>
    </row>
    <row r="15954" spans="1:2" x14ac:dyDescent="0.25">
      <c r="A15954"/>
      <c r="B15954"/>
    </row>
    <row r="15955" spans="1:2" x14ac:dyDescent="0.25">
      <c r="A15955"/>
      <c r="B15955"/>
    </row>
    <row r="15956" spans="1:2" x14ac:dyDescent="0.25">
      <c r="A15956"/>
      <c r="B15956"/>
    </row>
    <row r="15957" spans="1:2" x14ac:dyDescent="0.25">
      <c r="A15957"/>
      <c r="B15957"/>
    </row>
    <row r="15958" spans="1:2" x14ac:dyDescent="0.25">
      <c r="A15958"/>
      <c r="B15958"/>
    </row>
    <row r="15959" spans="1:2" x14ac:dyDescent="0.25">
      <c r="A15959"/>
      <c r="B15959"/>
    </row>
    <row r="15960" spans="1:2" x14ac:dyDescent="0.25">
      <c r="A15960"/>
      <c r="B15960"/>
    </row>
    <row r="15961" spans="1:2" x14ac:dyDescent="0.25">
      <c r="A15961"/>
      <c r="B15961"/>
    </row>
    <row r="15962" spans="1:2" x14ac:dyDescent="0.25">
      <c r="A15962"/>
      <c r="B15962"/>
    </row>
    <row r="15963" spans="1:2" x14ac:dyDescent="0.25">
      <c r="A15963"/>
      <c r="B15963"/>
    </row>
    <row r="15964" spans="1:2" x14ac:dyDescent="0.25">
      <c r="A15964"/>
      <c r="B15964"/>
    </row>
    <row r="15965" spans="1:2" x14ac:dyDescent="0.25">
      <c r="A15965"/>
      <c r="B15965"/>
    </row>
    <row r="15966" spans="1:2" x14ac:dyDescent="0.25">
      <c r="A15966"/>
      <c r="B15966"/>
    </row>
    <row r="15967" spans="1:2" x14ac:dyDescent="0.25">
      <c r="A15967"/>
      <c r="B15967"/>
    </row>
    <row r="15968" spans="1:2" x14ac:dyDescent="0.25">
      <c r="A15968"/>
      <c r="B15968"/>
    </row>
    <row r="15969" spans="1:2" x14ac:dyDescent="0.25">
      <c r="A15969"/>
      <c r="B15969"/>
    </row>
    <row r="15970" spans="1:2" x14ac:dyDescent="0.25">
      <c r="A15970"/>
      <c r="B15970"/>
    </row>
    <row r="15971" spans="1:2" x14ac:dyDescent="0.25">
      <c r="A15971"/>
      <c r="B15971"/>
    </row>
    <row r="15972" spans="1:2" x14ac:dyDescent="0.25">
      <c r="A15972"/>
      <c r="B15972"/>
    </row>
    <row r="15973" spans="1:2" x14ac:dyDescent="0.25">
      <c r="A15973"/>
      <c r="B15973"/>
    </row>
    <row r="15974" spans="1:2" x14ac:dyDescent="0.25">
      <c r="A15974"/>
      <c r="B15974"/>
    </row>
    <row r="15975" spans="1:2" x14ac:dyDescent="0.25">
      <c r="A15975"/>
      <c r="B15975"/>
    </row>
    <row r="15976" spans="1:2" x14ac:dyDescent="0.25">
      <c r="A15976"/>
      <c r="B15976"/>
    </row>
    <row r="15977" spans="1:2" x14ac:dyDescent="0.25">
      <c r="A15977"/>
      <c r="B15977"/>
    </row>
    <row r="15978" spans="1:2" x14ac:dyDescent="0.25">
      <c r="A15978"/>
      <c r="B15978"/>
    </row>
    <row r="15979" spans="1:2" x14ac:dyDescent="0.25">
      <c r="A15979"/>
      <c r="B15979"/>
    </row>
    <row r="15980" spans="1:2" x14ac:dyDescent="0.25">
      <c r="A15980"/>
      <c r="B15980"/>
    </row>
    <row r="15981" spans="1:2" x14ac:dyDescent="0.25">
      <c r="A15981"/>
      <c r="B15981"/>
    </row>
    <row r="15982" spans="1:2" x14ac:dyDescent="0.25">
      <c r="A15982"/>
      <c r="B15982"/>
    </row>
    <row r="15983" spans="1:2" x14ac:dyDescent="0.25">
      <c r="A15983"/>
      <c r="B15983"/>
    </row>
    <row r="15984" spans="1:2" x14ac:dyDescent="0.25">
      <c r="A15984"/>
      <c r="B15984"/>
    </row>
    <row r="15985" spans="1:2" x14ac:dyDescent="0.25">
      <c r="A15985"/>
      <c r="B15985"/>
    </row>
    <row r="15986" spans="1:2" x14ac:dyDescent="0.25">
      <c r="A15986"/>
      <c r="B15986"/>
    </row>
    <row r="15987" spans="1:2" x14ac:dyDescent="0.25">
      <c r="A15987"/>
      <c r="B15987"/>
    </row>
    <row r="15988" spans="1:2" x14ac:dyDescent="0.25">
      <c r="A15988"/>
      <c r="B15988"/>
    </row>
    <row r="15989" spans="1:2" x14ac:dyDescent="0.25">
      <c r="A15989"/>
      <c r="B15989"/>
    </row>
    <row r="15990" spans="1:2" x14ac:dyDescent="0.25">
      <c r="A15990"/>
      <c r="B15990"/>
    </row>
    <row r="15991" spans="1:2" x14ac:dyDescent="0.25">
      <c r="A15991"/>
      <c r="B15991"/>
    </row>
    <row r="15992" spans="1:2" x14ac:dyDescent="0.25">
      <c r="A15992"/>
      <c r="B15992"/>
    </row>
    <row r="15993" spans="1:2" x14ac:dyDescent="0.25">
      <c r="A15993"/>
      <c r="B15993"/>
    </row>
    <row r="15994" spans="1:2" x14ac:dyDescent="0.25">
      <c r="A15994"/>
      <c r="B15994"/>
    </row>
    <row r="15995" spans="1:2" x14ac:dyDescent="0.25">
      <c r="A15995"/>
      <c r="B15995"/>
    </row>
    <row r="15996" spans="1:2" x14ac:dyDescent="0.25">
      <c r="A15996"/>
      <c r="B15996"/>
    </row>
    <row r="15997" spans="1:2" x14ac:dyDescent="0.25">
      <c r="A15997"/>
      <c r="B15997"/>
    </row>
    <row r="15998" spans="1:2" x14ac:dyDescent="0.25">
      <c r="A15998"/>
      <c r="B15998"/>
    </row>
    <row r="15999" spans="1:2" x14ac:dyDescent="0.25">
      <c r="A15999"/>
      <c r="B15999"/>
    </row>
    <row r="16000" spans="1:2" x14ac:dyDescent="0.25">
      <c r="A16000"/>
      <c r="B16000"/>
    </row>
    <row r="16001" spans="1:2" x14ac:dyDescent="0.25">
      <c r="A16001"/>
      <c r="B16001"/>
    </row>
    <row r="16002" spans="1:2" x14ac:dyDescent="0.25">
      <c r="A16002"/>
      <c r="B16002"/>
    </row>
    <row r="16003" spans="1:2" x14ac:dyDescent="0.25">
      <c r="A16003"/>
      <c r="B16003"/>
    </row>
    <row r="16004" spans="1:2" x14ac:dyDescent="0.25">
      <c r="A16004"/>
      <c r="B16004"/>
    </row>
    <row r="16005" spans="1:2" x14ac:dyDescent="0.25">
      <c r="A16005"/>
      <c r="B16005"/>
    </row>
    <row r="16006" spans="1:2" x14ac:dyDescent="0.25">
      <c r="A16006"/>
      <c r="B16006"/>
    </row>
    <row r="16007" spans="1:2" x14ac:dyDescent="0.25">
      <c r="A16007"/>
      <c r="B16007"/>
    </row>
    <row r="16008" spans="1:2" x14ac:dyDescent="0.25">
      <c r="A16008"/>
      <c r="B16008"/>
    </row>
    <row r="16009" spans="1:2" x14ac:dyDescent="0.25">
      <c r="A16009"/>
      <c r="B16009"/>
    </row>
    <row r="16010" spans="1:2" x14ac:dyDescent="0.25">
      <c r="A16010"/>
      <c r="B16010"/>
    </row>
    <row r="16011" spans="1:2" x14ac:dyDescent="0.25">
      <c r="A16011"/>
      <c r="B16011"/>
    </row>
    <row r="16012" spans="1:2" x14ac:dyDescent="0.25">
      <c r="A16012"/>
      <c r="B16012"/>
    </row>
    <row r="16013" spans="1:2" x14ac:dyDescent="0.25">
      <c r="A16013"/>
      <c r="B16013"/>
    </row>
    <row r="16014" spans="1:2" x14ac:dyDescent="0.25">
      <c r="A16014"/>
      <c r="B16014"/>
    </row>
    <row r="16015" spans="1:2" x14ac:dyDescent="0.25">
      <c r="A16015"/>
      <c r="B16015"/>
    </row>
    <row r="16016" spans="1:2" x14ac:dyDescent="0.25">
      <c r="A16016"/>
      <c r="B16016"/>
    </row>
    <row r="16017" spans="1:2" x14ac:dyDescent="0.25">
      <c r="A16017"/>
      <c r="B16017"/>
    </row>
    <row r="16018" spans="1:2" x14ac:dyDescent="0.25">
      <c r="A16018"/>
      <c r="B16018"/>
    </row>
    <row r="16019" spans="1:2" x14ac:dyDescent="0.25">
      <c r="A16019"/>
      <c r="B16019"/>
    </row>
    <row r="16020" spans="1:2" x14ac:dyDescent="0.25">
      <c r="A16020"/>
      <c r="B16020"/>
    </row>
    <row r="16021" spans="1:2" x14ac:dyDescent="0.25">
      <c r="A16021"/>
      <c r="B16021"/>
    </row>
    <row r="16022" spans="1:2" x14ac:dyDescent="0.25">
      <c r="A16022"/>
      <c r="B16022"/>
    </row>
    <row r="16023" spans="1:2" x14ac:dyDescent="0.25">
      <c r="A16023"/>
      <c r="B16023"/>
    </row>
    <row r="16024" spans="1:2" x14ac:dyDescent="0.25">
      <c r="A16024"/>
      <c r="B16024"/>
    </row>
    <row r="16025" spans="1:2" x14ac:dyDescent="0.25">
      <c r="A16025"/>
      <c r="B16025"/>
    </row>
    <row r="16026" spans="1:2" x14ac:dyDescent="0.25">
      <c r="A16026"/>
      <c r="B16026"/>
    </row>
    <row r="16027" spans="1:2" x14ac:dyDescent="0.25">
      <c r="A16027"/>
      <c r="B16027"/>
    </row>
    <row r="16028" spans="1:2" x14ac:dyDescent="0.25">
      <c r="A16028"/>
      <c r="B16028"/>
    </row>
    <row r="16029" spans="1:2" x14ac:dyDescent="0.25">
      <c r="A16029"/>
      <c r="B16029"/>
    </row>
    <row r="16030" spans="1:2" x14ac:dyDescent="0.25">
      <c r="A16030"/>
      <c r="B16030"/>
    </row>
    <row r="16031" spans="1:2" x14ac:dyDescent="0.25">
      <c r="A16031"/>
      <c r="B16031"/>
    </row>
    <row r="16032" spans="1:2" x14ac:dyDescent="0.25">
      <c r="A16032"/>
      <c r="B16032"/>
    </row>
    <row r="16033" spans="1:2" x14ac:dyDescent="0.25">
      <c r="A16033"/>
      <c r="B16033"/>
    </row>
    <row r="16034" spans="1:2" x14ac:dyDescent="0.25">
      <c r="A16034"/>
      <c r="B16034"/>
    </row>
    <row r="16035" spans="1:2" x14ac:dyDescent="0.25">
      <c r="A16035"/>
      <c r="B16035"/>
    </row>
    <row r="16036" spans="1:2" x14ac:dyDescent="0.25">
      <c r="A16036"/>
      <c r="B16036"/>
    </row>
    <row r="16037" spans="1:2" x14ac:dyDescent="0.25">
      <c r="A16037"/>
      <c r="B16037"/>
    </row>
    <row r="16038" spans="1:2" x14ac:dyDescent="0.25">
      <c r="A16038"/>
      <c r="B16038"/>
    </row>
    <row r="16039" spans="1:2" x14ac:dyDescent="0.25">
      <c r="A16039"/>
      <c r="B16039"/>
    </row>
    <row r="16040" spans="1:2" x14ac:dyDescent="0.25">
      <c r="A16040"/>
      <c r="B16040"/>
    </row>
    <row r="16041" spans="1:2" x14ac:dyDescent="0.25">
      <c r="A16041"/>
      <c r="B16041"/>
    </row>
    <row r="16042" spans="1:2" x14ac:dyDescent="0.25">
      <c r="A16042"/>
      <c r="B16042"/>
    </row>
    <row r="16043" spans="1:2" x14ac:dyDescent="0.25">
      <c r="A16043"/>
      <c r="B16043"/>
    </row>
    <row r="16044" spans="1:2" x14ac:dyDescent="0.25">
      <c r="A16044"/>
      <c r="B16044"/>
    </row>
    <row r="16045" spans="1:2" x14ac:dyDescent="0.25">
      <c r="A16045"/>
      <c r="B16045"/>
    </row>
    <row r="16046" spans="1:2" x14ac:dyDescent="0.25">
      <c r="A16046"/>
      <c r="B16046"/>
    </row>
    <row r="16047" spans="1:2" x14ac:dyDescent="0.25">
      <c r="A16047"/>
      <c r="B16047"/>
    </row>
    <row r="16048" spans="1:2" x14ac:dyDescent="0.25">
      <c r="A16048"/>
      <c r="B16048"/>
    </row>
    <row r="16049" spans="1:2" x14ac:dyDescent="0.25">
      <c r="A16049"/>
      <c r="B16049"/>
    </row>
    <row r="16050" spans="1:2" x14ac:dyDescent="0.25">
      <c r="A16050"/>
      <c r="B16050"/>
    </row>
    <row r="16051" spans="1:2" x14ac:dyDescent="0.25">
      <c r="A16051"/>
      <c r="B16051"/>
    </row>
    <row r="16052" spans="1:2" x14ac:dyDescent="0.25">
      <c r="A16052"/>
      <c r="B16052"/>
    </row>
    <row r="16053" spans="1:2" x14ac:dyDescent="0.25">
      <c r="A16053"/>
      <c r="B16053"/>
    </row>
    <row r="16054" spans="1:2" x14ac:dyDescent="0.25">
      <c r="A16054"/>
      <c r="B16054"/>
    </row>
    <row r="16055" spans="1:2" x14ac:dyDescent="0.25">
      <c r="A16055"/>
      <c r="B16055"/>
    </row>
    <row r="16056" spans="1:2" x14ac:dyDescent="0.25">
      <c r="A16056"/>
      <c r="B16056"/>
    </row>
    <row r="16057" spans="1:2" x14ac:dyDescent="0.25">
      <c r="A16057"/>
      <c r="B16057"/>
    </row>
    <row r="16058" spans="1:2" x14ac:dyDescent="0.25">
      <c r="A16058"/>
      <c r="B16058"/>
    </row>
    <row r="16059" spans="1:2" x14ac:dyDescent="0.25">
      <c r="A16059"/>
      <c r="B16059"/>
    </row>
    <row r="16060" spans="1:2" x14ac:dyDescent="0.25">
      <c r="A16060"/>
      <c r="B16060"/>
    </row>
    <row r="16061" spans="1:2" x14ac:dyDescent="0.25">
      <c r="A16061"/>
      <c r="B16061"/>
    </row>
    <row r="16062" spans="1:2" x14ac:dyDescent="0.25">
      <c r="A16062"/>
      <c r="B16062"/>
    </row>
    <row r="16063" spans="1:2" x14ac:dyDescent="0.25">
      <c r="A16063"/>
      <c r="B16063"/>
    </row>
    <row r="16064" spans="1:2" x14ac:dyDescent="0.25">
      <c r="A16064"/>
      <c r="B16064"/>
    </row>
    <row r="16065" spans="1:2" x14ac:dyDescent="0.25">
      <c r="A16065"/>
      <c r="B16065"/>
    </row>
    <row r="16066" spans="1:2" x14ac:dyDescent="0.25">
      <c r="A16066"/>
      <c r="B16066"/>
    </row>
    <row r="16067" spans="1:2" x14ac:dyDescent="0.25">
      <c r="A16067"/>
      <c r="B16067"/>
    </row>
    <row r="16068" spans="1:2" x14ac:dyDescent="0.25">
      <c r="A16068"/>
      <c r="B16068"/>
    </row>
    <row r="16069" spans="1:2" x14ac:dyDescent="0.25">
      <c r="A16069"/>
      <c r="B16069"/>
    </row>
    <row r="16070" spans="1:2" x14ac:dyDescent="0.25">
      <c r="A16070"/>
      <c r="B16070"/>
    </row>
    <row r="16071" spans="1:2" x14ac:dyDescent="0.25">
      <c r="A16071"/>
      <c r="B16071"/>
    </row>
    <row r="16072" spans="1:2" x14ac:dyDescent="0.25">
      <c r="A16072"/>
      <c r="B16072"/>
    </row>
    <row r="16073" spans="1:2" x14ac:dyDescent="0.25">
      <c r="A16073"/>
      <c r="B16073"/>
    </row>
    <row r="16074" spans="1:2" x14ac:dyDescent="0.25">
      <c r="A16074"/>
      <c r="B16074"/>
    </row>
    <row r="16075" spans="1:2" x14ac:dyDescent="0.25">
      <c r="A16075"/>
      <c r="B16075"/>
    </row>
    <row r="16076" spans="1:2" x14ac:dyDescent="0.25">
      <c r="A16076"/>
      <c r="B16076"/>
    </row>
    <row r="16077" spans="1:2" x14ac:dyDescent="0.25">
      <c r="A16077"/>
      <c r="B16077"/>
    </row>
    <row r="16078" spans="1:2" x14ac:dyDescent="0.25">
      <c r="A16078"/>
      <c r="B16078"/>
    </row>
    <row r="16079" spans="1:2" x14ac:dyDescent="0.25">
      <c r="A16079"/>
      <c r="B16079"/>
    </row>
    <row r="16080" spans="1:2" x14ac:dyDescent="0.25">
      <c r="A16080"/>
      <c r="B16080"/>
    </row>
    <row r="16081" spans="1:2" x14ac:dyDescent="0.25">
      <c r="A16081"/>
      <c r="B16081"/>
    </row>
    <row r="16082" spans="1:2" x14ac:dyDescent="0.25">
      <c r="A16082"/>
      <c r="B16082"/>
    </row>
    <row r="16083" spans="1:2" x14ac:dyDescent="0.25">
      <c r="A16083"/>
      <c r="B16083"/>
    </row>
    <row r="16084" spans="1:2" x14ac:dyDescent="0.25">
      <c r="A16084"/>
      <c r="B16084"/>
    </row>
    <row r="16085" spans="1:2" x14ac:dyDescent="0.25">
      <c r="A16085"/>
      <c r="B16085"/>
    </row>
    <row r="16086" spans="1:2" x14ac:dyDescent="0.25">
      <c r="A16086"/>
      <c r="B16086"/>
    </row>
    <row r="16087" spans="1:2" x14ac:dyDescent="0.25">
      <c r="A16087"/>
      <c r="B16087"/>
    </row>
    <row r="16088" spans="1:2" x14ac:dyDescent="0.25">
      <c r="A16088"/>
      <c r="B16088"/>
    </row>
    <row r="16089" spans="1:2" x14ac:dyDescent="0.25">
      <c r="A16089"/>
      <c r="B16089"/>
    </row>
    <row r="16090" spans="1:2" x14ac:dyDescent="0.25">
      <c r="A16090"/>
      <c r="B16090"/>
    </row>
    <row r="16091" spans="1:2" x14ac:dyDescent="0.25">
      <c r="A16091"/>
      <c r="B16091"/>
    </row>
    <row r="16092" spans="1:2" x14ac:dyDescent="0.25">
      <c r="A16092"/>
      <c r="B16092"/>
    </row>
    <row r="16093" spans="1:2" x14ac:dyDescent="0.25">
      <c r="A16093"/>
      <c r="B16093"/>
    </row>
    <row r="16094" spans="1:2" x14ac:dyDescent="0.25">
      <c r="A16094"/>
      <c r="B16094"/>
    </row>
    <row r="16095" spans="1:2" x14ac:dyDescent="0.25">
      <c r="A16095"/>
      <c r="B16095"/>
    </row>
    <row r="16096" spans="1:2" x14ac:dyDescent="0.25">
      <c r="A16096"/>
      <c r="B16096"/>
    </row>
    <row r="16097" spans="1:2" x14ac:dyDescent="0.25">
      <c r="A16097"/>
      <c r="B16097"/>
    </row>
    <row r="16098" spans="1:2" x14ac:dyDescent="0.25">
      <c r="A16098"/>
      <c r="B16098"/>
    </row>
    <row r="16099" spans="1:2" x14ac:dyDescent="0.25">
      <c r="A16099"/>
      <c r="B16099"/>
    </row>
    <row r="16100" spans="1:2" x14ac:dyDescent="0.25">
      <c r="A16100"/>
      <c r="B16100"/>
    </row>
    <row r="16101" spans="1:2" x14ac:dyDescent="0.25">
      <c r="A16101"/>
      <c r="B16101"/>
    </row>
    <row r="16102" spans="1:2" x14ac:dyDescent="0.25">
      <c r="A16102"/>
      <c r="B16102"/>
    </row>
    <row r="16103" spans="1:2" x14ac:dyDescent="0.25">
      <c r="A16103"/>
      <c r="B16103"/>
    </row>
    <row r="16104" spans="1:2" x14ac:dyDescent="0.25">
      <c r="A16104"/>
      <c r="B16104"/>
    </row>
    <row r="16105" spans="1:2" x14ac:dyDescent="0.25">
      <c r="A16105"/>
      <c r="B16105"/>
    </row>
    <row r="16106" spans="1:2" x14ac:dyDescent="0.25">
      <c r="A16106"/>
      <c r="B16106"/>
    </row>
    <row r="16107" spans="1:2" x14ac:dyDescent="0.25">
      <c r="A16107"/>
      <c r="B16107"/>
    </row>
    <row r="16108" spans="1:2" x14ac:dyDescent="0.25">
      <c r="A16108"/>
      <c r="B16108"/>
    </row>
    <row r="16109" spans="1:2" x14ac:dyDescent="0.25">
      <c r="A16109"/>
      <c r="B16109"/>
    </row>
    <row r="16110" spans="1:2" x14ac:dyDescent="0.25">
      <c r="A16110"/>
      <c r="B16110"/>
    </row>
    <row r="16111" spans="1:2" x14ac:dyDescent="0.25">
      <c r="A16111"/>
      <c r="B16111"/>
    </row>
    <row r="16112" spans="1:2" x14ac:dyDescent="0.25">
      <c r="A16112"/>
      <c r="B16112"/>
    </row>
    <row r="16113" spans="1:2" x14ac:dyDescent="0.25">
      <c r="A16113"/>
      <c r="B16113"/>
    </row>
    <row r="16114" spans="1:2" x14ac:dyDescent="0.25">
      <c r="A16114"/>
      <c r="B16114"/>
    </row>
    <row r="16115" spans="1:2" x14ac:dyDescent="0.25">
      <c r="A16115"/>
      <c r="B16115"/>
    </row>
    <row r="16116" spans="1:2" x14ac:dyDescent="0.25">
      <c r="A16116"/>
      <c r="B16116"/>
    </row>
    <row r="16117" spans="1:2" x14ac:dyDescent="0.25">
      <c r="A16117"/>
      <c r="B16117"/>
    </row>
    <row r="16118" spans="1:2" x14ac:dyDescent="0.25">
      <c r="A16118"/>
      <c r="B16118"/>
    </row>
    <row r="16119" spans="1:2" x14ac:dyDescent="0.25">
      <c r="A16119"/>
      <c r="B16119"/>
    </row>
    <row r="16120" spans="1:2" x14ac:dyDescent="0.25">
      <c r="A16120"/>
      <c r="B16120"/>
    </row>
    <row r="16121" spans="1:2" x14ac:dyDescent="0.25">
      <c r="A16121"/>
      <c r="B16121"/>
    </row>
    <row r="16122" spans="1:2" x14ac:dyDescent="0.25">
      <c r="A16122"/>
      <c r="B16122"/>
    </row>
    <row r="16123" spans="1:2" x14ac:dyDescent="0.25">
      <c r="A16123"/>
      <c r="B16123"/>
    </row>
    <row r="16124" spans="1:2" x14ac:dyDescent="0.25">
      <c r="A16124"/>
      <c r="B16124"/>
    </row>
    <row r="16125" spans="1:2" x14ac:dyDescent="0.25">
      <c r="A16125"/>
      <c r="B16125"/>
    </row>
    <row r="16126" spans="1:2" x14ac:dyDescent="0.25">
      <c r="A16126"/>
      <c r="B16126"/>
    </row>
    <row r="16127" spans="1:2" x14ac:dyDescent="0.25">
      <c r="A16127"/>
      <c r="B16127"/>
    </row>
    <row r="16128" spans="1:2" x14ac:dyDescent="0.25">
      <c r="A16128"/>
      <c r="B16128"/>
    </row>
    <row r="16129" spans="1:2" x14ac:dyDescent="0.25">
      <c r="A16129"/>
      <c r="B16129"/>
    </row>
    <row r="16130" spans="1:2" x14ac:dyDescent="0.25">
      <c r="A16130"/>
      <c r="B16130"/>
    </row>
    <row r="16131" spans="1:2" x14ac:dyDescent="0.25">
      <c r="A16131"/>
      <c r="B16131"/>
    </row>
    <row r="16132" spans="1:2" x14ac:dyDescent="0.25">
      <c r="A16132"/>
      <c r="B16132"/>
    </row>
    <row r="16133" spans="1:2" x14ac:dyDescent="0.25">
      <c r="A16133"/>
      <c r="B16133"/>
    </row>
    <row r="16134" spans="1:2" x14ac:dyDescent="0.25">
      <c r="A16134"/>
      <c r="B16134"/>
    </row>
    <row r="16135" spans="1:2" x14ac:dyDescent="0.25">
      <c r="A16135"/>
      <c r="B16135"/>
    </row>
    <row r="16136" spans="1:2" x14ac:dyDescent="0.25">
      <c r="A16136"/>
      <c r="B16136"/>
    </row>
    <row r="16137" spans="1:2" x14ac:dyDescent="0.25">
      <c r="A16137"/>
      <c r="B16137"/>
    </row>
    <row r="16138" spans="1:2" x14ac:dyDescent="0.25">
      <c r="A16138"/>
      <c r="B16138"/>
    </row>
    <row r="16139" spans="1:2" x14ac:dyDescent="0.25">
      <c r="A16139"/>
      <c r="B16139"/>
    </row>
    <row r="16140" spans="1:2" x14ac:dyDescent="0.25">
      <c r="A16140"/>
      <c r="B16140"/>
    </row>
    <row r="16141" spans="1:2" x14ac:dyDescent="0.25">
      <c r="A16141"/>
      <c r="B16141"/>
    </row>
    <row r="16142" spans="1:2" x14ac:dyDescent="0.25">
      <c r="A16142"/>
      <c r="B16142"/>
    </row>
    <row r="16143" spans="1:2" x14ac:dyDescent="0.25">
      <c r="A16143"/>
      <c r="B16143"/>
    </row>
    <row r="16144" spans="1:2" x14ac:dyDescent="0.25">
      <c r="A16144"/>
      <c r="B16144"/>
    </row>
    <row r="16145" spans="1:2" x14ac:dyDescent="0.25">
      <c r="A16145"/>
      <c r="B16145"/>
    </row>
    <row r="16146" spans="1:2" x14ac:dyDescent="0.25">
      <c r="A16146"/>
      <c r="B16146"/>
    </row>
    <row r="16147" spans="1:2" x14ac:dyDescent="0.25">
      <c r="A16147"/>
      <c r="B16147"/>
    </row>
    <row r="16148" spans="1:2" x14ac:dyDescent="0.25">
      <c r="A16148"/>
      <c r="B16148"/>
    </row>
    <row r="16149" spans="1:2" x14ac:dyDescent="0.25">
      <c r="A16149"/>
      <c r="B16149"/>
    </row>
    <row r="16150" spans="1:2" x14ac:dyDescent="0.25">
      <c r="A16150"/>
      <c r="B16150"/>
    </row>
    <row r="16151" spans="1:2" x14ac:dyDescent="0.25">
      <c r="A16151"/>
      <c r="B16151"/>
    </row>
    <row r="16152" spans="1:2" x14ac:dyDescent="0.25">
      <c r="A16152"/>
      <c r="B16152"/>
    </row>
    <row r="16153" spans="1:2" x14ac:dyDescent="0.25">
      <c r="A16153"/>
      <c r="B16153"/>
    </row>
    <row r="16154" spans="1:2" x14ac:dyDescent="0.25">
      <c r="A16154"/>
      <c r="B16154"/>
    </row>
    <row r="16155" spans="1:2" x14ac:dyDescent="0.25">
      <c r="A16155"/>
      <c r="B16155"/>
    </row>
    <row r="16156" spans="1:2" x14ac:dyDescent="0.25">
      <c r="A16156"/>
      <c r="B16156"/>
    </row>
    <row r="16157" spans="1:2" x14ac:dyDescent="0.25">
      <c r="A16157"/>
      <c r="B16157"/>
    </row>
    <row r="16158" spans="1:2" x14ac:dyDescent="0.25">
      <c r="A16158"/>
      <c r="B16158"/>
    </row>
    <row r="16159" spans="1:2" x14ac:dyDescent="0.25">
      <c r="A16159"/>
      <c r="B16159"/>
    </row>
    <row r="16160" spans="1:2" x14ac:dyDescent="0.25">
      <c r="A16160"/>
      <c r="B16160"/>
    </row>
    <row r="16161" spans="1:2" x14ac:dyDescent="0.25">
      <c r="A16161"/>
      <c r="B16161"/>
    </row>
    <row r="16162" spans="1:2" x14ac:dyDescent="0.25">
      <c r="A16162"/>
      <c r="B16162"/>
    </row>
    <row r="16163" spans="1:2" x14ac:dyDescent="0.25">
      <c r="A16163"/>
      <c r="B16163"/>
    </row>
    <row r="16164" spans="1:2" x14ac:dyDescent="0.25">
      <c r="A16164"/>
      <c r="B16164"/>
    </row>
    <row r="16165" spans="1:2" x14ac:dyDescent="0.25">
      <c r="A16165"/>
      <c r="B16165"/>
    </row>
    <row r="16166" spans="1:2" x14ac:dyDescent="0.25">
      <c r="A16166"/>
      <c r="B16166"/>
    </row>
    <row r="16167" spans="1:2" x14ac:dyDescent="0.25">
      <c r="A16167"/>
      <c r="B16167"/>
    </row>
    <row r="16168" spans="1:2" x14ac:dyDescent="0.25">
      <c r="A16168"/>
      <c r="B16168"/>
    </row>
    <row r="16169" spans="1:2" x14ac:dyDescent="0.25">
      <c r="A16169"/>
      <c r="B16169"/>
    </row>
    <row r="16170" spans="1:2" x14ac:dyDescent="0.25">
      <c r="A16170"/>
      <c r="B16170"/>
    </row>
    <row r="16171" spans="1:2" x14ac:dyDescent="0.25">
      <c r="A16171"/>
      <c r="B16171"/>
    </row>
    <row r="16172" spans="1:2" x14ac:dyDescent="0.25">
      <c r="A16172"/>
      <c r="B16172"/>
    </row>
    <row r="16173" spans="1:2" x14ac:dyDescent="0.25">
      <c r="A16173"/>
      <c r="B16173"/>
    </row>
    <row r="16174" spans="1:2" x14ac:dyDescent="0.25">
      <c r="A16174"/>
      <c r="B16174"/>
    </row>
    <row r="16175" spans="1:2" x14ac:dyDescent="0.25">
      <c r="A16175"/>
      <c r="B16175"/>
    </row>
    <row r="16176" spans="1:2" x14ac:dyDescent="0.25">
      <c r="A16176"/>
      <c r="B16176"/>
    </row>
    <row r="16177" spans="1:2" x14ac:dyDescent="0.25">
      <c r="A16177"/>
      <c r="B16177"/>
    </row>
    <row r="16178" spans="1:2" x14ac:dyDescent="0.25">
      <c r="A16178"/>
      <c r="B16178"/>
    </row>
    <row r="16179" spans="1:2" x14ac:dyDescent="0.25">
      <c r="A16179"/>
      <c r="B16179"/>
    </row>
    <row r="16180" spans="1:2" x14ac:dyDescent="0.25">
      <c r="A16180"/>
      <c r="B16180"/>
    </row>
    <row r="16181" spans="1:2" x14ac:dyDescent="0.25">
      <c r="A16181"/>
      <c r="B16181"/>
    </row>
    <row r="16182" spans="1:2" x14ac:dyDescent="0.25">
      <c r="A16182"/>
      <c r="B16182"/>
    </row>
    <row r="16183" spans="1:2" x14ac:dyDescent="0.25">
      <c r="A16183"/>
      <c r="B16183"/>
    </row>
    <row r="16184" spans="1:2" x14ac:dyDescent="0.25">
      <c r="A16184"/>
      <c r="B16184"/>
    </row>
    <row r="16185" spans="1:2" x14ac:dyDescent="0.25">
      <c r="A16185"/>
      <c r="B16185"/>
    </row>
    <row r="16186" spans="1:2" x14ac:dyDescent="0.25">
      <c r="A16186"/>
      <c r="B16186"/>
    </row>
    <row r="16187" spans="1:2" x14ac:dyDescent="0.25">
      <c r="A16187"/>
      <c r="B16187"/>
    </row>
    <row r="16188" spans="1:2" x14ac:dyDescent="0.25">
      <c r="A16188"/>
      <c r="B16188"/>
    </row>
    <row r="16189" spans="1:2" x14ac:dyDescent="0.25">
      <c r="A16189"/>
      <c r="B16189"/>
    </row>
    <row r="16190" spans="1:2" x14ac:dyDescent="0.25">
      <c r="A16190"/>
      <c r="B16190"/>
    </row>
    <row r="16191" spans="1:2" x14ac:dyDescent="0.25">
      <c r="A16191"/>
      <c r="B16191"/>
    </row>
    <row r="16192" spans="1:2" x14ac:dyDescent="0.25">
      <c r="A16192"/>
      <c r="B16192"/>
    </row>
    <row r="16193" spans="1:2" x14ac:dyDescent="0.25">
      <c r="A16193"/>
      <c r="B16193"/>
    </row>
    <row r="16194" spans="1:2" x14ac:dyDescent="0.25">
      <c r="A16194"/>
      <c r="B16194"/>
    </row>
    <row r="16195" spans="1:2" x14ac:dyDescent="0.25">
      <c r="A16195"/>
      <c r="B16195"/>
    </row>
    <row r="16196" spans="1:2" x14ac:dyDescent="0.25">
      <c r="A16196"/>
      <c r="B16196"/>
    </row>
    <row r="16197" spans="1:2" x14ac:dyDescent="0.25">
      <c r="A16197"/>
      <c r="B16197"/>
    </row>
    <row r="16198" spans="1:2" x14ac:dyDescent="0.25">
      <c r="A16198"/>
      <c r="B16198"/>
    </row>
    <row r="16199" spans="1:2" x14ac:dyDescent="0.25">
      <c r="A16199"/>
      <c r="B16199"/>
    </row>
    <row r="16200" spans="1:2" x14ac:dyDescent="0.25">
      <c r="A16200"/>
      <c r="B16200"/>
    </row>
    <row r="16201" spans="1:2" x14ac:dyDescent="0.25">
      <c r="A16201"/>
      <c r="B16201"/>
    </row>
    <row r="16202" spans="1:2" x14ac:dyDescent="0.25">
      <c r="A16202"/>
      <c r="B16202"/>
    </row>
    <row r="16203" spans="1:2" x14ac:dyDescent="0.25">
      <c r="A16203"/>
      <c r="B16203"/>
    </row>
    <row r="16204" spans="1:2" x14ac:dyDescent="0.25">
      <c r="A16204"/>
      <c r="B16204"/>
    </row>
    <row r="16205" spans="1:2" x14ac:dyDescent="0.25">
      <c r="A16205"/>
      <c r="B16205"/>
    </row>
    <row r="16206" spans="1:2" x14ac:dyDescent="0.25">
      <c r="A16206"/>
      <c r="B16206"/>
    </row>
    <row r="16207" spans="1:2" x14ac:dyDescent="0.25">
      <c r="A16207"/>
      <c r="B16207"/>
    </row>
    <row r="16208" spans="1:2" x14ac:dyDescent="0.25">
      <c r="A16208"/>
      <c r="B16208"/>
    </row>
    <row r="16209" spans="1:2" x14ac:dyDescent="0.25">
      <c r="A16209"/>
      <c r="B16209"/>
    </row>
    <row r="16210" spans="1:2" x14ac:dyDescent="0.25">
      <c r="A16210"/>
      <c r="B16210"/>
    </row>
    <row r="16211" spans="1:2" x14ac:dyDescent="0.25">
      <c r="A16211"/>
      <c r="B16211"/>
    </row>
    <row r="16212" spans="1:2" x14ac:dyDescent="0.25">
      <c r="A16212"/>
      <c r="B16212"/>
    </row>
    <row r="16213" spans="1:2" x14ac:dyDescent="0.25">
      <c r="A16213"/>
      <c r="B16213"/>
    </row>
    <row r="16214" spans="1:2" x14ac:dyDescent="0.25">
      <c r="A16214"/>
      <c r="B16214"/>
    </row>
    <row r="16215" spans="1:2" x14ac:dyDescent="0.25">
      <c r="A16215"/>
      <c r="B16215"/>
    </row>
    <row r="16216" spans="1:2" x14ac:dyDescent="0.25">
      <c r="A16216"/>
      <c r="B16216"/>
    </row>
    <row r="16217" spans="1:2" x14ac:dyDescent="0.25">
      <c r="A16217"/>
      <c r="B16217"/>
    </row>
    <row r="16218" spans="1:2" x14ac:dyDescent="0.25">
      <c r="A16218"/>
      <c r="B16218"/>
    </row>
    <row r="16219" spans="1:2" x14ac:dyDescent="0.25">
      <c r="A16219"/>
      <c r="B16219"/>
    </row>
    <row r="16220" spans="1:2" x14ac:dyDescent="0.25">
      <c r="A16220"/>
      <c r="B16220"/>
    </row>
    <row r="16221" spans="1:2" x14ac:dyDescent="0.25">
      <c r="A16221"/>
      <c r="B16221"/>
    </row>
    <row r="16222" spans="1:2" x14ac:dyDescent="0.25">
      <c r="A16222"/>
      <c r="B16222"/>
    </row>
    <row r="16223" spans="1:2" x14ac:dyDescent="0.25">
      <c r="A16223"/>
      <c r="B16223"/>
    </row>
    <row r="16224" spans="1:2" x14ac:dyDescent="0.25">
      <c r="A16224"/>
      <c r="B16224"/>
    </row>
    <row r="16225" spans="1:2" x14ac:dyDescent="0.25">
      <c r="A16225"/>
      <c r="B16225"/>
    </row>
    <row r="16226" spans="1:2" x14ac:dyDescent="0.25">
      <c r="A16226"/>
      <c r="B16226"/>
    </row>
    <row r="16227" spans="1:2" x14ac:dyDescent="0.25">
      <c r="A16227"/>
      <c r="B16227"/>
    </row>
    <row r="16228" spans="1:2" x14ac:dyDescent="0.25">
      <c r="A16228"/>
      <c r="B16228"/>
    </row>
    <row r="16229" spans="1:2" x14ac:dyDescent="0.25">
      <c r="A16229"/>
      <c r="B16229"/>
    </row>
    <row r="16230" spans="1:2" x14ac:dyDescent="0.25">
      <c r="A16230"/>
      <c r="B16230"/>
    </row>
    <row r="16231" spans="1:2" x14ac:dyDescent="0.25">
      <c r="A16231"/>
      <c r="B16231"/>
    </row>
    <row r="16232" spans="1:2" x14ac:dyDescent="0.25">
      <c r="A16232"/>
      <c r="B16232"/>
    </row>
    <row r="16233" spans="1:2" x14ac:dyDescent="0.25">
      <c r="A16233"/>
      <c r="B16233"/>
    </row>
    <row r="16234" spans="1:2" x14ac:dyDescent="0.25">
      <c r="A16234"/>
      <c r="B16234"/>
    </row>
    <row r="16235" spans="1:2" x14ac:dyDescent="0.25">
      <c r="A16235"/>
      <c r="B16235"/>
    </row>
    <row r="16236" spans="1:2" x14ac:dyDescent="0.25">
      <c r="A16236"/>
      <c r="B16236"/>
    </row>
    <row r="16237" spans="1:2" x14ac:dyDescent="0.25">
      <c r="A16237"/>
      <c r="B16237"/>
    </row>
    <row r="16238" spans="1:2" x14ac:dyDescent="0.25">
      <c r="A16238"/>
      <c r="B16238"/>
    </row>
    <row r="16239" spans="1:2" x14ac:dyDescent="0.25">
      <c r="A16239"/>
      <c r="B16239"/>
    </row>
    <row r="16240" spans="1:2" x14ac:dyDescent="0.25">
      <c r="A16240"/>
      <c r="B16240"/>
    </row>
    <row r="16241" spans="1:2" x14ac:dyDescent="0.25">
      <c r="A16241"/>
      <c r="B16241"/>
    </row>
    <row r="16242" spans="1:2" x14ac:dyDescent="0.25">
      <c r="A16242"/>
      <c r="B16242"/>
    </row>
    <row r="16243" spans="1:2" x14ac:dyDescent="0.25">
      <c r="A16243"/>
      <c r="B16243"/>
    </row>
    <row r="16244" spans="1:2" x14ac:dyDescent="0.25">
      <c r="A16244"/>
      <c r="B16244"/>
    </row>
    <row r="16245" spans="1:2" x14ac:dyDescent="0.25">
      <c r="A16245"/>
      <c r="B16245"/>
    </row>
    <row r="16246" spans="1:2" x14ac:dyDescent="0.25">
      <c r="A16246"/>
      <c r="B16246"/>
    </row>
    <row r="16247" spans="1:2" x14ac:dyDescent="0.25">
      <c r="A16247"/>
      <c r="B16247"/>
    </row>
    <row r="16248" spans="1:2" x14ac:dyDescent="0.25">
      <c r="A16248"/>
      <c r="B16248"/>
    </row>
    <row r="16249" spans="1:2" x14ac:dyDescent="0.25">
      <c r="A16249"/>
      <c r="B16249"/>
    </row>
    <row r="16250" spans="1:2" x14ac:dyDescent="0.25">
      <c r="A16250"/>
      <c r="B16250"/>
    </row>
    <row r="16251" spans="1:2" x14ac:dyDescent="0.25">
      <c r="A16251"/>
      <c r="B16251"/>
    </row>
    <row r="16252" spans="1:2" x14ac:dyDescent="0.25">
      <c r="A16252"/>
      <c r="B16252"/>
    </row>
    <row r="16253" spans="1:2" x14ac:dyDescent="0.25">
      <c r="A16253"/>
      <c r="B16253"/>
    </row>
    <row r="16254" spans="1:2" x14ac:dyDescent="0.25">
      <c r="A16254"/>
      <c r="B16254"/>
    </row>
    <row r="16255" spans="1:2" x14ac:dyDescent="0.25">
      <c r="A16255"/>
      <c r="B16255"/>
    </row>
    <row r="16256" spans="1:2" x14ac:dyDescent="0.25">
      <c r="A16256"/>
      <c r="B16256"/>
    </row>
    <row r="16257" spans="1:2" x14ac:dyDescent="0.25">
      <c r="A16257"/>
      <c r="B16257"/>
    </row>
    <row r="16258" spans="1:2" x14ac:dyDescent="0.25">
      <c r="A16258"/>
      <c r="B16258"/>
    </row>
    <row r="16259" spans="1:2" x14ac:dyDescent="0.25">
      <c r="A16259"/>
      <c r="B16259"/>
    </row>
    <row r="16260" spans="1:2" x14ac:dyDescent="0.25">
      <c r="A16260"/>
      <c r="B16260"/>
    </row>
    <row r="16261" spans="1:2" x14ac:dyDescent="0.25">
      <c r="A16261"/>
      <c r="B16261"/>
    </row>
    <row r="16262" spans="1:2" x14ac:dyDescent="0.25">
      <c r="A16262"/>
      <c r="B16262"/>
    </row>
    <row r="16263" spans="1:2" x14ac:dyDescent="0.25">
      <c r="A16263"/>
      <c r="B16263"/>
    </row>
    <row r="16264" spans="1:2" x14ac:dyDescent="0.25">
      <c r="A16264"/>
      <c r="B16264"/>
    </row>
    <row r="16265" spans="1:2" x14ac:dyDescent="0.25">
      <c r="A16265"/>
      <c r="B16265"/>
    </row>
    <row r="16266" spans="1:2" x14ac:dyDescent="0.25">
      <c r="A16266"/>
      <c r="B16266"/>
    </row>
    <row r="16267" spans="1:2" x14ac:dyDescent="0.25">
      <c r="A16267"/>
      <c r="B16267"/>
    </row>
    <row r="16268" spans="1:2" x14ac:dyDescent="0.25">
      <c r="A16268"/>
      <c r="B16268"/>
    </row>
    <row r="16269" spans="1:2" x14ac:dyDescent="0.25">
      <c r="A16269"/>
      <c r="B16269"/>
    </row>
    <row r="16270" spans="1:2" x14ac:dyDescent="0.25">
      <c r="A16270"/>
      <c r="B16270"/>
    </row>
    <row r="16271" spans="1:2" x14ac:dyDescent="0.25">
      <c r="A16271"/>
      <c r="B16271"/>
    </row>
    <row r="16272" spans="1:2" x14ac:dyDescent="0.25">
      <c r="A16272"/>
      <c r="B16272"/>
    </row>
    <row r="16273" spans="1:2" x14ac:dyDescent="0.25">
      <c r="A16273"/>
      <c r="B16273"/>
    </row>
    <row r="16274" spans="1:2" x14ac:dyDescent="0.25">
      <c r="A16274"/>
      <c r="B16274"/>
    </row>
    <row r="16275" spans="1:2" x14ac:dyDescent="0.25">
      <c r="A16275"/>
      <c r="B16275"/>
    </row>
    <row r="16276" spans="1:2" x14ac:dyDescent="0.25">
      <c r="A16276"/>
      <c r="B16276"/>
    </row>
    <row r="16277" spans="1:2" x14ac:dyDescent="0.25">
      <c r="A16277"/>
      <c r="B16277"/>
    </row>
    <row r="16278" spans="1:2" x14ac:dyDescent="0.25">
      <c r="A16278"/>
      <c r="B16278"/>
    </row>
    <row r="16279" spans="1:2" x14ac:dyDescent="0.25">
      <c r="A16279"/>
      <c r="B16279"/>
    </row>
    <row r="16280" spans="1:2" x14ac:dyDescent="0.25">
      <c r="A16280"/>
      <c r="B16280"/>
    </row>
    <row r="16281" spans="1:2" x14ac:dyDescent="0.25">
      <c r="A16281"/>
      <c r="B16281"/>
    </row>
    <row r="16282" spans="1:2" x14ac:dyDescent="0.25">
      <c r="A16282"/>
      <c r="B16282"/>
    </row>
    <row r="16283" spans="1:2" x14ac:dyDescent="0.25">
      <c r="A16283"/>
      <c r="B16283"/>
    </row>
    <row r="16284" spans="1:2" x14ac:dyDescent="0.25">
      <c r="A16284"/>
      <c r="B16284"/>
    </row>
    <row r="16285" spans="1:2" x14ac:dyDescent="0.25">
      <c r="A16285"/>
      <c r="B16285"/>
    </row>
    <row r="16286" spans="1:2" x14ac:dyDescent="0.25">
      <c r="A16286"/>
      <c r="B16286"/>
    </row>
    <row r="16287" spans="1:2" x14ac:dyDescent="0.25">
      <c r="A16287"/>
      <c r="B16287"/>
    </row>
    <row r="16288" spans="1:2" x14ac:dyDescent="0.25">
      <c r="A16288"/>
      <c r="B16288"/>
    </row>
    <row r="16289" spans="1:2" x14ac:dyDescent="0.25">
      <c r="A16289"/>
      <c r="B16289"/>
    </row>
    <row r="16290" spans="1:2" x14ac:dyDescent="0.25">
      <c r="A16290"/>
      <c r="B16290"/>
    </row>
    <row r="16291" spans="1:2" x14ac:dyDescent="0.25">
      <c r="A16291"/>
      <c r="B16291"/>
    </row>
    <row r="16292" spans="1:2" x14ac:dyDescent="0.25">
      <c r="A16292"/>
      <c r="B16292"/>
    </row>
    <row r="16293" spans="1:2" x14ac:dyDescent="0.25">
      <c r="A16293"/>
      <c r="B16293"/>
    </row>
    <row r="16294" spans="1:2" x14ac:dyDescent="0.25">
      <c r="A16294"/>
      <c r="B16294"/>
    </row>
    <row r="16295" spans="1:2" x14ac:dyDescent="0.25">
      <c r="A16295"/>
      <c r="B16295"/>
    </row>
    <row r="16296" spans="1:2" x14ac:dyDescent="0.25">
      <c r="A16296"/>
      <c r="B16296"/>
    </row>
    <row r="16297" spans="1:2" x14ac:dyDescent="0.25">
      <c r="A16297"/>
      <c r="B16297"/>
    </row>
    <row r="16298" spans="1:2" x14ac:dyDescent="0.25">
      <c r="A16298"/>
      <c r="B16298"/>
    </row>
    <row r="16299" spans="1:2" x14ac:dyDescent="0.25">
      <c r="A16299"/>
      <c r="B16299"/>
    </row>
    <row r="16300" spans="1:2" x14ac:dyDescent="0.25">
      <c r="A16300"/>
      <c r="B16300"/>
    </row>
    <row r="16301" spans="1:2" x14ac:dyDescent="0.25">
      <c r="A16301"/>
      <c r="B16301"/>
    </row>
    <row r="16302" spans="1:2" x14ac:dyDescent="0.25">
      <c r="A16302"/>
      <c r="B16302"/>
    </row>
    <row r="16303" spans="1:2" x14ac:dyDescent="0.25">
      <c r="A16303"/>
      <c r="B16303"/>
    </row>
    <row r="16304" spans="1:2" x14ac:dyDescent="0.25">
      <c r="A16304"/>
      <c r="B16304"/>
    </row>
    <row r="16305" spans="1:2" x14ac:dyDescent="0.25">
      <c r="A16305"/>
      <c r="B16305"/>
    </row>
    <row r="16306" spans="1:2" x14ac:dyDescent="0.25">
      <c r="A16306"/>
      <c r="B16306"/>
    </row>
    <row r="16307" spans="1:2" x14ac:dyDescent="0.25">
      <c r="A16307"/>
      <c r="B16307"/>
    </row>
    <row r="16308" spans="1:2" x14ac:dyDescent="0.25">
      <c r="A16308"/>
      <c r="B16308"/>
    </row>
    <row r="16309" spans="1:2" x14ac:dyDescent="0.25">
      <c r="A16309"/>
      <c r="B16309"/>
    </row>
    <row r="16310" spans="1:2" x14ac:dyDescent="0.25">
      <c r="A16310"/>
      <c r="B16310"/>
    </row>
    <row r="16311" spans="1:2" x14ac:dyDescent="0.25">
      <c r="A16311"/>
      <c r="B16311"/>
    </row>
    <row r="16312" spans="1:2" x14ac:dyDescent="0.25">
      <c r="A16312"/>
      <c r="B16312"/>
    </row>
    <row r="16313" spans="1:2" x14ac:dyDescent="0.25">
      <c r="A16313"/>
      <c r="B16313"/>
    </row>
    <row r="16314" spans="1:2" x14ac:dyDescent="0.25">
      <c r="A16314"/>
      <c r="B16314"/>
    </row>
    <row r="16315" spans="1:2" x14ac:dyDescent="0.25">
      <c r="A16315"/>
      <c r="B16315"/>
    </row>
    <row r="16316" spans="1:2" x14ac:dyDescent="0.25">
      <c r="A16316"/>
      <c r="B16316"/>
    </row>
    <row r="16317" spans="1:2" x14ac:dyDescent="0.25">
      <c r="A16317"/>
      <c r="B16317"/>
    </row>
    <row r="16318" spans="1:2" x14ac:dyDescent="0.25">
      <c r="A16318"/>
      <c r="B16318"/>
    </row>
    <row r="16319" spans="1:2" x14ac:dyDescent="0.25">
      <c r="A16319"/>
      <c r="B16319"/>
    </row>
    <row r="16320" spans="1:2" x14ac:dyDescent="0.25">
      <c r="A16320"/>
      <c r="B16320"/>
    </row>
    <row r="16321" spans="1:2" x14ac:dyDescent="0.25">
      <c r="A16321"/>
      <c r="B16321"/>
    </row>
    <row r="16322" spans="1:2" x14ac:dyDescent="0.25">
      <c r="A16322"/>
      <c r="B16322"/>
    </row>
    <row r="16323" spans="1:2" x14ac:dyDescent="0.25">
      <c r="A16323"/>
      <c r="B16323"/>
    </row>
    <row r="16324" spans="1:2" x14ac:dyDescent="0.25">
      <c r="A16324"/>
      <c r="B16324"/>
    </row>
    <row r="16325" spans="1:2" x14ac:dyDescent="0.25">
      <c r="A16325"/>
      <c r="B16325"/>
    </row>
    <row r="16326" spans="1:2" x14ac:dyDescent="0.25">
      <c r="A16326"/>
      <c r="B16326"/>
    </row>
    <row r="16327" spans="1:2" x14ac:dyDescent="0.25">
      <c r="A16327"/>
      <c r="B16327"/>
    </row>
    <row r="16328" spans="1:2" x14ac:dyDescent="0.25">
      <c r="A16328"/>
      <c r="B16328"/>
    </row>
    <row r="16329" spans="1:2" x14ac:dyDescent="0.25">
      <c r="A16329"/>
      <c r="B16329"/>
    </row>
    <row r="16330" spans="1:2" x14ac:dyDescent="0.25">
      <c r="A16330"/>
      <c r="B16330"/>
    </row>
    <row r="16331" spans="1:2" x14ac:dyDescent="0.25">
      <c r="A16331"/>
      <c r="B16331"/>
    </row>
    <row r="16332" spans="1:2" x14ac:dyDescent="0.25">
      <c r="A16332"/>
      <c r="B16332"/>
    </row>
    <row r="16333" spans="1:2" x14ac:dyDescent="0.25">
      <c r="A16333"/>
      <c r="B16333"/>
    </row>
    <row r="16334" spans="1:2" x14ac:dyDescent="0.25">
      <c r="A16334"/>
      <c r="B16334"/>
    </row>
    <row r="16335" spans="1:2" x14ac:dyDescent="0.25">
      <c r="A16335"/>
      <c r="B16335"/>
    </row>
    <row r="16336" spans="1:2" x14ac:dyDescent="0.25">
      <c r="A16336"/>
      <c r="B16336"/>
    </row>
    <row r="16337" spans="1:2" x14ac:dyDescent="0.25">
      <c r="A16337"/>
      <c r="B16337"/>
    </row>
    <row r="16338" spans="1:2" x14ac:dyDescent="0.25">
      <c r="A16338"/>
      <c r="B16338"/>
    </row>
    <row r="16339" spans="1:2" x14ac:dyDescent="0.25">
      <c r="A16339"/>
      <c r="B16339"/>
    </row>
    <row r="16340" spans="1:2" x14ac:dyDescent="0.25">
      <c r="A16340"/>
      <c r="B16340"/>
    </row>
    <row r="16341" spans="1:2" x14ac:dyDescent="0.25">
      <c r="A16341"/>
      <c r="B16341"/>
    </row>
    <row r="16342" spans="1:2" x14ac:dyDescent="0.25">
      <c r="A16342"/>
      <c r="B16342"/>
    </row>
    <row r="16343" spans="1:2" x14ac:dyDescent="0.25">
      <c r="A16343"/>
      <c r="B16343"/>
    </row>
    <row r="16344" spans="1:2" x14ac:dyDescent="0.25">
      <c r="A16344"/>
      <c r="B16344"/>
    </row>
    <row r="16345" spans="1:2" x14ac:dyDescent="0.25">
      <c r="A16345"/>
      <c r="B16345"/>
    </row>
    <row r="16346" spans="1:2" x14ac:dyDescent="0.25">
      <c r="A16346"/>
      <c r="B16346"/>
    </row>
    <row r="16347" spans="1:2" x14ac:dyDescent="0.25">
      <c r="A16347"/>
      <c r="B16347"/>
    </row>
    <row r="16348" spans="1:2" x14ac:dyDescent="0.25">
      <c r="A16348"/>
      <c r="B16348"/>
    </row>
    <row r="16349" spans="1:2" x14ac:dyDescent="0.25">
      <c r="A16349"/>
      <c r="B16349"/>
    </row>
    <row r="16350" spans="1:2" x14ac:dyDescent="0.25">
      <c r="A16350"/>
      <c r="B16350"/>
    </row>
    <row r="16351" spans="1:2" x14ac:dyDescent="0.25">
      <c r="A16351"/>
      <c r="B16351"/>
    </row>
    <row r="16352" spans="1:2" x14ac:dyDescent="0.25">
      <c r="A16352"/>
      <c r="B16352"/>
    </row>
    <row r="16353" spans="1:2" x14ac:dyDescent="0.25">
      <c r="A16353"/>
      <c r="B16353"/>
    </row>
    <row r="16354" spans="1:2" x14ac:dyDescent="0.25">
      <c r="A16354"/>
      <c r="B16354"/>
    </row>
    <row r="16355" spans="1:2" x14ac:dyDescent="0.25">
      <c r="A16355"/>
      <c r="B16355"/>
    </row>
    <row r="16356" spans="1:2" x14ac:dyDescent="0.25">
      <c r="A16356"/>
      <c r="B16356"/>
    </row>
    <row r="16357" spans="1:2" x14ac:dyDescent="0.25">
      <c r="A16357"/>
      <c r="B16357"/>
    </row>
    <row r="16358" spans="1:2" x14ac:dyDescent="0.25">
      <c r="A16358"/>
      <c r="B16358"/>
    </row>
    <row r="16359" spans="1:2" x14ac:dyDescent="0.25">
      <c r="A16359"/>
      <c r="B16359"/>
    </row>
    <row r="16360" spans="1:2" x14ac:dyDescent="0.25">
      <c r="A16360"/>
      <c r="B16360"/>
    </row>
    <row r="16361" spans="1:2" x14ac:dyDescent="0.25">
      <c r="A16361"/>
      <c r="B16361"/>
    </row>
    <row r="16362" spans="1:2" x14ac:dyDescent="0.25">
      <c r="A16362"/>
      <c r="B16362"/>
    </row>
    <row r="16363" spans="1:2" x14ac:dyDescent="0.25">
      <c r="A16363"/>
      <c r="B16363"/>
    </row>
    <row r="16364" spans="1:2" x14ac:dyDescent="0.25">
      <c r="A16364"/>
      <c r="B16364"/>
    </row>
    <row r="16365" spans="1:2" x14ac:dyDescent="0.25">
      <c r="A16365"/>
      <c r="B16365"/>
    </row>
    <row r="16366" spans="1:2" x14ac:dyDescent="0.25">
      <c r="A16366"/>
      <c r="B16366"/>
    </row>
    <row r="16367" spans="1:2" x14ac:dyDescent="0.25">
      <c r="A16367"/>
      <c r="B16367"/>
    </row>
    <row r="16368" spans="1:2" x14ac:dyDescent="0.25">
      <c r="A16368"/>
      <c r="B16368"/>
    </row>
    <row r="16369" spans="1:2" x14ac:dyDescent="0.25">
      <c r="A16369"/>
      <c r="B16369"/>
    </row>
    <row r="16370" spans="1:2" x14ac:dyDescent="0.25">
      <c r="A16370"/>
      <c r="B16370"/>
    </row>
    <row r="16371" spans="1:2" x14ac:dyDescent="0.25">
      <c r="A16371"/>
      <c r="B16371"/>
    </row>
    <row r="16372" spans="1:2" x14ac:dyDescent="0.25">
      <c r="A16372"/>
      <c r="B16372"/>
    </row>
    <row r="16373" spans="1:2" x14ac:dyDescent="0.25">
      <c r="A16373"/>
      <c r="B16373"/>
    </row>
    <row r="16374" spans="1:2" x14ac:dyDescent="0.25">
      <c r="A16374"/>
      <c r="B16374"/>
    </row>
    <row r="16375" spans="1:2" x14ac:dyDescent="0.25">
      <c r="A16375"/>
      <c r="B16375"/>
    </row>
    <row r="16376" spans="1:2" x14ac:dyDescent="0.25">
      <c r="A16376"/>
      <c r="B16376"/>
    </row>
    <row r="16377" spans="1:2" x14ac:dyDescent="0.25">
      <c r="A16377"/>
      <c r="B16377"/>
    </row>
    <row r="16378" spans="1:2" x14ac:dyDescent="0.25">
      <c r="A16378"/>
      <c r="B16378"/>
    </row>
    <row r="16379" spans="1:2" x14ac:dyDescent="0.25">
      <c r="A16379"/>
      <c r="B16379"/>
    </row>
    <row r="16380" spans="1:2" x14ac:dyDescent="0.25">
      <c r="A16380"/>
      <c r="B16380"/>
    </row>
    <row r="16381" spans="1:2" x14ac:dyDescent="0.25">
      <c r="A16381"/>
      <c r="B16381"/>
    </row>
    <row r="16382" spans="1:2" x14ac:dyDescent="0.25">
      <c r="A16382"/>
      <c r="B16382"/>
    </row>
    <row r="16383" spans="1:2" x14ac:dyDescent="0.25">
      <c r="A16383"/>
      <c r="B16383"/>
    </row>
    <row r="16384" spans="1:2" x14ac:dyDescent="0.25">
      <c r="A16384"/>
      <c r="B16384"/>
    </row>
    <row r="16385" spans="1:2" x14ac:dyDescent="0.25">
      <c r="A16385"/>
      <c r="B16385"/>
    </row>
    <row r="16386" spans="1:2" x14ac:dyDescent="0.25">
      <c r="A16386"/>
      <c r="B16386"/>
    </row>
    <row r="16387" spans="1:2" x14ac:dyDescent="0.25">
      <c r="A16387"/>
      <c r="B16387"/>
    </row>
    <row r="16388" spans="1:2" x14ac:dyDescent="0.25">
      <c r="A16388"/>
      <c r="B16388"/>
    </row>
    <row r="16389" spans="1:2" x14ac:dyDescent="0.25">
      <c r="A16389"/>
      <c r="B16389"/>
    </row>
    <row r="16390" spans="1:2" x14ac:dyDescent="0.25">
      <c r="A16390"/>
      <c r="B16390"/>
    </row>
    <row r="16391" spans="1:2" x14ac:dyDescent="0.25">
      <c r="A16391"/>
      <c r="B16391"/>
    </row>
    <row r="16392" spans="1:2" x14ac:dyDescent="0.25">
      <c r="A16392"/>
      <c r="B16392"/>
    </row>
    <row r="16393" spans="1:2" x14ac:dyDescent="0.25">
      <c r="A16393"/>
      <c r="B16393"/>
    </row>
    <row r="16394" spans="1:2" x14ac:dyDescent="0.25">
      <c r="A16394"/>
      <c r="B16394"/>
    </row>
    <row r="16395" spans="1:2" x14ac:dyDescent="0.25">
      <c r="A16395"/>
      <c r="B16395"/>
    </row>
    <row r="16396" spans="1:2" x14ac:dyDescent="0.25">
      <c r="A16396"/>
      <c r="B16396"/>
    </row>
    <row r="16397" spans="1:2" x14ac:dyDescent="0.25">
      <c r="A16397"/>
      <c r="B16397"/>
    </row>
    <row r="16398" spans="1:2" x14ac:dyDescent="0.25">
      <c r="A16398"/>
      <c r="B16398"/>
    </row>
    <row r="16399" spans="1:2" x14ac:dyDescent="0.25">
      <c r="A16399"/>
      <c r="B16399"/>
    </row>
    <row r="16400" spans="1:2" x14ac:dyDescent="0.25">
      <c r="A16400"/>
      <c r="B16400"/>
    </row>
    <row r="16401" spans="1:2" x14ac:dyDescent="0.25">
      <c r="A16401"/>
      <c r="B16401"/>
    </row>
    <row r="16402" spans="1:2" x14ac:dyDescent="0.25">
      <c r="A16402"/>
      <c r="B16402"/>
    </row>
    <row r="16403" spans="1:2" x14ac:dyDescent="0.25">
      <c r="A16403"/>
      <c r="B16403"/>
    </row>
    <row r="16404" spans="1:2" x14ac:dyDescent="0.25">
      <c r="A16404"/>
      <c r="B16404"/>
    </row>
    <row r="16405" spans="1:2" x14ac:dyDescent="0.25">
      <c r="A16405"/>
      <c r="B16405"/>
    </row>
    <row r="16406" spans="1:2" x14ac:dyDescent="0.25">
      <c r="A16406"/>
      <c r="B16406"/>
    </row>
    <row r="16407" spans="1:2" x14ac:dyDescent="0.25">
      <c r="A16407"/>
      <c r="B16407"/>
    </row>
    <row r="16408" spans="1:2" x14ac:dyDescent="0.25">
      <c r="A16408"/>
      <c r="B16408"/>
    </row>
    <row r="16409" spans="1:2" x14ac:dyDescent="0.25">
      <c r="A16409"/>
      <c r="B16409"/>
    </row>
    <row r="16410" spans="1:2" x14ac:dyDescent="0.25">
      <c r="A16410"/>
      <c r="B16410"/>
    </row>
    <row r="16411" spans="1:2" x14ac:dyDescent="0.25">
      <c r="A16411"/>
      <c r="B16411"/>
    </row>
    <row r="16412" spans="1:2" x14ac:dyDescent="0.25">
      <c r="A16412"/>
      <c r="B16412"/>
    </row>
    <row r="16413" spans="1:2" x14ac:dyDescent="0.25">
      <c r="A16413"/>
      <c r="B16413"/>
    </row>
    <row r="16414" spans="1:2" x14ac:dyDescent="0.25">
      <c r="A16414"/>
      <c r="B16414"/>
    </row>
    <row r="16415" spans="1:2" x14ac:dyDescent="0.25">
      <c r="A16415"/>
      <c r="B16415"/>
    </row>
    <row r="16416" spans="1:2" x14ac:dyDescent="0.25">
      <c r="A16416"/>
      <c r="B16416"/>
    </row>
    <row r="16417" spans="1:2" x14ac:dyDescent="0.25">
      <c r="A16417"/>
      <c r="B16417"/>
    </row>
    <row r="16418" spans="1:2" x14ac:dyDescent="0.25">
      <c r="A16418"/>
      <c r="B16418"/>
    </row>
    <row r="16419" spans="1:2" x14ac:dyDescent="0.25">
      <c r="A16419"/>
      <c r="B16419"/>
    </row>
    <row r="16420" spans="1:2" x14ac:dyDescent="0.25">
      <c r="A16420"/>
      <c r="B16420"/>
    </row>
    <row r="16421" spans="1:2" x14ac:dyDescent="0.25">
      <c r="A16421"/>
      <c r="B16421"/>
    </row>
    <row r="16422" spans="1:2" x14ac:dyDescent="0.25">
      <c r="A16422"/>
      <c r="B16422"/>
    </row>
    <row r="16423" spans="1:2" x14ac:dyDescent="0.25">
      <c r="A16423"/>
      <c r="B16423"/>
    </row>
    <row r="16424" spans="1:2" x14ac:dyDescent="0.25">
      <c r="A16424"/>
      <c r="B16424"/>
    </row>
    <row r="16425" spans="1:2" x14ac:dyDescent="0.25">
      <c r="A16425"/>
      <c r="B16425"/>
    </row>
    <row r="16426" spans="1:2" x14ac:dyDescent="0.25">
      <c r="A16426"/>
      <c r="B16426"/>
    </row>
    <row r="16427" spans="1:2" x14ac:dyDescent="0.25">
      <c r="A16427"/>
      <c r="B16427"/>
    </row>
    <row r="16428" spans="1:2" x14ac:dyDescent="0.25">
      <c r="A16428"/>
      <c r="B16428"/>
    </row>
    <row r="16429" spans="1:2" x14ac:dyDescent="0.25">
      <c r="A16429"/>
      <c r="B16429"/>
    </row>
    <row r="16430" spans="1:2" x14ac:dyDescent="0.25">
      <c r="A16430"/>
      <c r="B16430"/>
    </row>
    <row r="16431" spans="1:2" x14ac:dyDescent="0.25">
      <c r="A16431"/>
      <c r="B16431"/>
    </row>
    <row r="16432" spans="1:2" x14ac:dyDescent="0.25">
      <c r="A16432"/>
      <c r="B16432"/>
    </row>
    <row r="16433" spans="1:2" x14ac:dyDescent="0.25">
      <c r="A16433"/>
      <c r="B16433"/>
    </row>
    <row r="16434" spans="1:2" x14ac:dyDescent="0.25">
      <c r="A16434"/>
      <c r="B16434"/>
    </row>
    <row r="16435" spans="1:2" x14ac:dyDescent="0.25">
      <c r="A16435"/>
      <c r="B16435"/>
    </row>
    <row r="16436" spans="1:2" x14ac:dyDescent="0.25">
      <c r="A16436"/>
      <c r="B16436"/>
    </row>
    <row r="16437" spans="1:2" x14ac:dyDescent="0.25">
      <c r="A16437"/>
      <c r="B16437"/>
    </row>
    <row r="16438" spans="1:2" x14ac:dyDescent="0.25">
      <c r="A16438"/>
      <c r="B16438"/>
    </row>
    <row r="16439" spans="1:2" x14ac:dyDescent="0.25">
      <c r="A16439"/>
      <c r="B16439"/>
    </row>
    <row r="16440" spans="1:2" x14ac:dyDescent="0.25">
      <c r="A16440"/>
      <c r="B16440"/>
    </row>
    <row r="16441" spans="1:2" x14ac:dyDescent="0.25">
      <c r="A16441"/>
      <c r="B16441"/>
    </row>
    <row r="16442" spans="1:2" x14ac:dyDescent="0.25">
      <c r="A16442"/>
      <c r="B16442"/>
    </row>
    <row r="16443" spans="1:2" x14ac:dyDescent="0.25">
      <c r="A16443"/>
      <c r="B16443"/>
    </row>
    <row r="16444" spans="1:2" x14ac:dyDescent="0.25">
      <c r="A16444"/>
      <c r="B16444"/>
    </row>
    <row r="16445" spans="1:2" x14ac:dyDescent="0.25">
      <c r="A16445"/>
      <c r="B16445"/>
    </row>
    <row r="16446" spans="1:2" x14ac:dyDescent="0.25">
      <c r="A16446"/>
      <c r="B16446"/>
    </row>
    <row r="16447" spans="1:2" x14ac:dyDescent="0.25">
      <c r="A16447"/>
      <c r="B16447"/>
    </row>
    <row r="16448" spans="1:2" x14ac:dyDescent="0.25">
      <c r="A16448"/>
      <c r="B16448"/>
    </row>
    <row r="16449" spans="1:2" x14ac:dyDescent="0.25">
      <c r="A16449"/>
      <c r="B16449"/>
    </row>
    <row r="16450" spans="1:2" x14ac:dyDescent="0.25">
      <c r="A16450"/>
      <c r="B16450"/>
    </row>
    <row r="16451" spans="1:2" x14ac:dyDescent="0.25">
      <c r="A16451"/>
      <c r="B16451"/>
    </row>
    <row r="16452" spans="1:2" x14ac:dyDescent="0.25">
      <c r="A16452"/>
      <c r="B16452"/>
    </row>
    <row r="16453" spans="1:2" x14ac:dyDescent="0.25">
      <c r="A16453"/>
      <c r="B16453"/>
    </row>
    <row r="16454" spans="1:2" x14ac:dyDescent="0.25">
      <c r="A16454"/>
      <c r="B16454"/>
    </row>
    <row r="16455" spans="1:2" x14ac:dyDescent="0.25">
      <c r="A16455"/>
      <c r="B16455"/>
    </row>
    <row r="16456" spans="1:2" x14ac:dyDescent="0.25">
      <c r="A16456"/>
      <c r="B16456"/>
    </row>
    <row r="16457" spans="1:2" x14ac:dyDescent="0.25">
      <c r="A16457"/>
      <c r="B16457"/>
    </row>
    <row r="16458" spans="1:2" x14ac:dyDescent="0.25">
      <c r="A16458"/>
      <c r="B16458"/>
    </row>
    <row r="16459" spans="1:2" x14ac:dyDescent="0.25">
      <c r="A16459"/>
      <c r="B16459"/>
    </row>
    <row r="16460" spans="1:2" x14ac:dyDescent="0.25">
      <c r="A16460"/>
      <c r="B16460"/>
    </row>
    <row r="16461" spans="1:2" x14ac:dyDescent="0.25">
      <c r="A16461"/>
      <c r="B16461"/>
    </row>
    <row r="16462" spans="1:2" x14ac:dyDescent="0.25">
      <c r="A16462"/>
      <c r="B16462"/>
    </row>
    <row r="16463" spans="1:2" x14ac:dyDescent="0.25">
      <c r="A16463"/>
      <c r="B16463"/>
    </row>
    <row r="16464" spans="1:2" x14ac:dyDescent="0.25">
      <c r="A16464"/>
      <c r="B16464"/>
    </row>
    <row r="16465" spans="1:2" x14ac:dyDescent="0.25">
      <c r="A16465"/>
      <c r="B16465"/>
    </row>
    <row r="16466" spans="1:2" x14ac:dyDescent="0.25">
      <c r="A16466"/>
      <c r="B16466"/>
    </row>
    <row r="16467" spans="1:2" x14ac:dyDescent="0.25">
      <c r="A16467"/>
      <c r="B16467"/>
    </row>
    <row r="16468" spans="1:2" x14ac:dyDescent="0.25">
      <c r="A16468"/>
      <c r="B16468"/>
    </row>
    <row r="16469" spans="1:2" x14ac:dyDescent="0.25">
      <c r="A16469"/>
      <c r="B16469"/>
    </row>
    <row r="16470" spans="1:2" x14ac:dyDescent="0.25">
      <c r="A16470"/>
      <c r="B16470"/>
    </row>
    <row r="16471" spans="1:2" x14ac:dyDescent="0.25">
      <c r="A16471"/>
      <c r="B16471"/>
    </row>
    <row r="16472" spans="1:2" x14ac:dyDescent="0.25">
      <c r="A16472"/>
      <c r="B16472"/>
    </row>
    <row r="16473" spans="1:2" x14ac:dyDescent="0.25">
      <c r="A16473"/>
      <c r="B16473"/>
    </row>
    <row r="16474" spans="1:2" x14ac:dyDescent="0.25">
      <c r="A16474"/>
      <c r="B16474"/>
    </row>
    <row r="16475" spans="1:2" x14ac:dyDescent="0.25">
      <c r="A16475"/>
      <c r="B16475"/>
    </row>
    <row r="16476" spans="1:2" x14ac:dyDescent="0.25">
      <c r="A16476"/>
      <c r="B16476"/>
    </row>
    <row r="16477" spans="1:2" x14ac:dyDescent="0.25">
      <c r="A16477"/>
      <c r="B16477"/>
    </row>
    <row r="16478" spans="1:2" x14ac:dyDescent="0.25">
      <c r="A16478"/>
      <c r="B16478"/>
    </row>
    <row r="16479" spans="1:2" x14ac:dyDescent="0.25">
      <c r="A16479"/>
      <c r="B16479"/>
    </row>
    <row r="16480" spans="1:2" x14ac:dyDescent="0.25">
      <c r="A16480"/>
      <c r="B16480"/>
    </row>
    <row r="16481" spans="1:2" x14ac:dyDescent="0.25">
      <c r="A16481"/>
      <c r="B16481"/>
    </row>
    <row r="16482" spans="1:2" x14ac:dyDescent="0.25">
      <c r="A16482"/>
      <c r="B16482"/>
    </row>
    <row r="16483" spans="1:2" x14ac:dyDescent="0.25">
      <c r="A16483"/>
      <c r="B16483"/>
    </row>
    <row r="16484" spans="1:2" x14ac:dyDescent="0.25">
      <c r="A16484"/>
      <c r="B16484"/>
    </row>
    <row r="16485" spans="1:2" x14ac:dyDescent="0.25">
      <c r="A16485"/>
      <c r="B16485"/>
    </row>
    <row r="16486" spans="1:2" x14ac:dyDescent="0.25">
      <c r="A16486"/>
      <c r="B16486"/>
    </row>
    <row r="16487" spans="1:2" x14ac:dyDescent="0.25">
      <c r="A16487"/>
      <c r="B16487"/>
    </row>
    <row r="16488" spans="1:2" x14ac:dyDescent="0.25">
      <c r="A16488"/>
      <c r="B16488"/>
    </row>
    <row r="16489" spans="1:2" x14ac:dyDescent="0.25">
      <c r="A16489"/>
      <c r="B16489"/>
    </row>
    <row r="16490" spans="1:2" x14ac:dyDescent="0.25">
      <c r="A16490"/>
      <c r="B16490"/>
    </row>
    <row r="16491" spans="1:2" x14ac:dyDescent="0.25">
      <c r="A16491"/>
      <c r="B16491"/>
    </row>
    <row r="16492" spans="1:2" x14ac:dyDescent="0.25">
      <c r="A16492"/>
      <c r="B16492"/>
    </row>
    <row r="16493" spans="1:2" x14ac:dyDescent="0.25">
      <c r="A16493"/>
      <c r="B16493"/>
    </row>
    <row r="16494" spans="1:2" x14ac:dyDescent="0.25">
      <c r="A16494"/>
      <c r="B16494"/>
    </row>
    <row r="16495" spans="1:2" x14ac:dyDescent="0.25">
      <c r="A16495"/>
      <c r="B16495"/>
    </row>
    <row r="16496" spans="1:2" x14ac:dyDescent="0.25">
      <c r="A16496"/>
      <c r="B16496"/>
    </row>
    <row r="16497" spans="1:2" x14ac:dyDescent="0.25">
      <c r="A16497"/>
      <c r="B16497"/>
    </row>
    <row r="16498" spans="1:2" x14ac:dyDescent="0.25">
      <c r="A16498"/>
      <c r="B16498"/>
    </row>
    <row r="16499" spans="1:2" x14ac:dyDescent="0.25">
      <c r="A16499"/>
      <c r="B16499"/>
    </row>
    <row r="16500" spans="1:2" x14ac:dyDescent="0.25">
      <c r="A16500"/>
      <c r="B16500"/>
    </row>
    <row r="16501" spans="1:2" x14ac:dyDescent="0.25">
      <c r="A16501"/>
      <c r="B16501"/>
    </row>
    <row r="16502" spans="1:2" x14ac:dyDescent="0.25">
      <c r="A16502"/>
      <c r="B16502"/>
    </row>
    <row r="16503" spans="1:2" x14ac:dyDescent="0.25">
      <c r="A16503"/>
      <c r="B16503"/>
    </row>
    <row r="16504" spans="1:2" x14ac:dyDescent="0.25">
      <c r="A16504"/>
      <c r="B16504"/>
    </row>
    <row r="16505" spans="1:2" x14ac:dyDescent="0.25">
      <c r="A16505"/>
      <c r="B16505"/>
    </row>
    <row r="16506" spans="1:2" x14ac:dyDescent="0.25">
      <c r="A16506"/>
      <c r="B16506"/>
    </row>
    <row r="16507" spans="1:2" x14ac:dyDescent="0.25">
      <c r="A16507"/>
      <c r="B16507"/>
    </row>
    <row r="16508" spans="1:2" x14ac:dyDescent="0.25">
      <c r="A16508"/>
      <c r="B16508"/>
    </row>
    <row r="16509" spans="1:2" x14ac:dyDescent="0.25">
      <c r="A16509"/>
      <c r="B16509"/>
    </row>
    <row r="16510" spans="1:2" x14ac:dyDescent="0.25">
      <c r="A16510"/>
      <c r="B16510"/>
    </row>
    <row r="16511" spans="1:2" x14ac:dyDescent="0.25">
      <c r="A16511"/>
      <c r="B16511"/>
    </row>
    <row r="16512" spans="1:2" x14ac:dyDescent="0.25">
      <c r="A16512"/>
      <c r="B16512"/>
    </row>
    <row r="16513" spans="1:2" x14ac:dyDescent="0.25">
      <c r="A16513"/>
      <c r="B16513"/>
    </row>
    <row r="16514" spans="1:2" x14ac:dyDescent="0.25">
      <c r="A16514"/>
      <c r="B16514"/>
    </row>
    <row r="16515" spans="1:2" x14ac:dyDescent="0.25">
      <c r="A16515"/>
      <c r="B16515"/>
    </row>
    <row r="16516" spans="1:2" x14ac:dyDescent="0.25">
      <c r="A16516"/>
      <c r="B16516"/>
    </row>
    <row r="16517" spans="1:2" x14ac:dyDescent="0.25">
      <c r="A16517"/>
      <c r="B16517"/>
    </row>
    <row r="16518" spans="1:2" x14ac:dyDescent="0.25">
      <c r="A16518"/>
      <c r="B16518"/>
    </row>
    <row r="16519" spans="1:2" x14ac:dyDescent="0.25">
      <c r="A16519"/>
      <c r="B16519"/>
    </row>
    <row r="16520" spans="1:2" x14ac:dyDescent="0.25">
      <c r="A16520"/>
      <c r="B16520"/>
    </row>
    <row r="16521" spans="1:2" x14ac:dyDescent="0.25">
      <c r="A16521"/>
      <c r="B16521"/>
    </row>
    <row r="16522" spans="1:2" x14ac:dyDescent="0.25">
      <c r="A16522"/>
      <c r="B16522"/>
    </row>
    <row r="16523" spans="1:2" x14ac:dyDescent="0.25">
      <c r="A16523"/>
      <c r="B16523"/>
    </row>
    <row r="16524" spans="1:2" x14ac:dyDescent="0.25">
      <c r="A16524"/>
      <c r="B16524"/>
    </row>
    <row r="16525" spans="1:2" x14ac:dyDescent="0.25">
      <c r="A16525"/>
      <c r="B16525"/>
    </row>
    <row r="16526" spans="1:2" x14ac:dyDescent="0.25">
      <c r="A16526"/>
      <c r="B16526"/>
    </row>
    <row r="16527" spans="1:2" x14ac:dyDescent="0.25">
      <c r="A16527"/>
      <c r="B16527"/>
    </row>
    <row r="16528" spans="1:2" x14ac:dyDescent="0.25">
      <c r="A16528"/>
      <c r="B16528"/>
    </row>
    <row r="16529" spans="1:2" x14ac:dyDescent="0.25">
      <c r="A16529"/>
      <c r="B16529"/>
    </row>
    <row r="16530" spans="1:2" x14ac:dyDescent="0.25">
      <c r="A16530"/>
      <c r="B16530"/>
    </row>
    <row r="16531" spans="1:2" x14ac:dyDescent="0.25">
      <c r="A16531"/>
      <c r="B16531"/>
    </row>
    <row r="16532" spans="1:2" x14ac:dyDescent="0.25">
      <c r="A16532"/>
      <c r="B16532"/>
    </row>
    <row r="16533" spans="1:2" x14ac:dyDescent="0.25">
      <c r="A16533"/>
      <c r="B16533"/>
    </row>
    <row r="16534" spans="1:2" x14ac:dyDescent="0.25">
      <c r="A16534"/>
      <c r="B16534"/>
    </row>
    <row r="16535" spans="1:2" x14ac:dyDescent="0.25">
      <c r="A16535"/>
      <c r="B16535"/>
    </row>
    <row r="16536" spans="1:2" x14ac:dyDescent="0.25">
      <c r="A16536"/>
      <c r="B16536"/>
    </row>
    <row r="16537" spans="1:2" x14ac:dyDescent="0.25">
      <c r="A16537"/>
      <c r="B16537"/>
    </row>
    <row r="16538" spans="1:2" x14ac:dyDescent="0.25">
      <c r="A16538"/>
      <c r="B16538"/>
    </row>
    <row r="16539" spans="1:2" x14ac:dyDescent="0.25">
      <c r="A16539"/>
      <c r="B16539"/>
    </row>
    <row r="16540" spans="1:2" x14ac:dyDescent="0.25">
      <c r="A16540"/>
      <c r="B16540"/>
    </row>
    <row r="16541" spans="1:2" x14ac:dyDescent="0.25">
      <c r="A16541"/>
      <c r="B16541"/>
    </row>
    <row r="16542" spans="1:2" x14ac:dyDescent="0.25">
      <c r="A16542"/>
      <c r="B16542"/>
    </row>
    <row r="16543" spans="1:2" x14ac:dyDescent="0.25">
      <c r="A16543"/>
      <c r="B16543"/>
    </row>
    <row r="16544" spans="1:2" x14ac:dyDescent="0.25">
      <c r="A16544"/>
      <c r="B16544"/>
    </row>
    <row r="16545" spans="1:2" x14ac:dyDescent="0.25">
      <c r="A16545"/>
      <c r="B16545"/>
    </row>
    <row r="16546" spans="1:2" x14ac:dyDescent="0.25">
      <c r="A16546"/>
      <c r="B16546"/>
    </row>
    <row r="16547" spans="1:2" x14ac:dyDescent="0.25">
      <c r="A16547"/>
      <c r="B16547"/>
    </row>
    <row r="16548" spans="1:2" x14ac:dyDescent="0.25">
      <c r="A16548"/>
      <c r="B16548"/>
    </row>
    <row r="16549" spans="1:2" x14ac:dyDescent="0.25">
      <c r="A16549"/>
      <c r="B16549"/>
    </row>
    <row r="16550" spans="1:2" x14ac:dyDescent="0.25">
      <c r="A16550"/>
      <c r="B16550"/>
    </row>
    <row r="16551" spans="1:2" x14ac:dyDescent="0.25">
      <c r="A16551"/>
      <c r="B16551"/>
    </row>
    <row r="16552" spans="1:2" x14ac:dyDescent="0.25">
      <c r="A16552"/>
      <c r="B16552"/>
    </row>
    <row r="16553" spans="1:2" x14ac:dyDescent="0.25">
      <c r="A16553"/>
      <c r="B16553"/>
    </row>
    <row r="16554" spans="1:2" x14ac:dyDescent="0.25">
      <c r="A16554"/>
      <c r="B16554"/>
    </row>
    <row r="16555" spans="1:2" x14ac:dyDescent="0.25">
      <c r="A16555"/>
      <c r="B16555"/>
    </row>
    <row r="16556" spans="1:2" x14ac:dyDescent="0.25">
      <c r="A16556"/>
      <c r="B16556"/>
    </row>
    <row r="16557" spans="1:2" x14ac:dyDescent="0.25">
      <c r="A16557"/>
      <c r="B16557"/>
    </row>
    <row r="16558" spans="1:2" x14ac:dyDescent="0.25">
      <c r="A16558"/>
      <c r="B16558"/>
    </row>
    <row r="16559" spans="1:2" x14ac:dyDescent="0.25">
      <c r="A16559"/>
      <c r="B16559"/>
    </row>
    <row r="16560" spans="1:2" x14ac:dyDescent="0.25">
      <c r="A16560"/>
      <c r="B16560"/>
    </row>
    <row r="16561" spans="1:2" x14ac:dyDescent="0.25">
      <c r="A16561"/>
      <c r="B16561"/>
    </row>
    <row r="16562" spans="1:2" x14ac:dyDescent="0.25">
      <c r="A16562"/>
      <c r="B16562"/>
    </row>
    <row r="16563" spans="1:2" x14ac:dyDescent="0.25">
      <c r="A16563"/>
      <c r="B16563"/>
    </row>
    <row r="16564" spans="1:2" x14ac:dyDescent="0.25">
      <c r="A16564"/>
      <c r="B16564"/>
    </row>
    <row r="16565" spans="1:2" x14ac:dyDescent="0.25">
      <c r="A16565"/>
      <c r="B16565"/>
    </row>
    <row r="16566" spans="1:2" x14ac:dyDescent="0.25">
      <c r="A16566"/>
      <c r="B16566"/>
    </row>
    <row r="16567" spans="1:2" x14ac:dyDescent="0.25">
      <c r="A16567"/>
      <c r="B16567"/>
    </row>
    <row r="16568" spans="1:2" x14ac:dyDescent="0.25">
      <c r="A16568"/>
      <c r="B16568"/>
    </row>
    <row r="16569" spans="1:2" x14ac:dyDescent="0.25">
      <c r="A16569"/>
      <c r="B16569"/>
    </row>
    <row r="16570" spans="1:2" x14ac:dyDescent="0.25">
      <c r="A16570"/>
      <c r="B16570"/>
    </row>
    <row r="16571" spans="1:2" x14ac:dyDescent="0.25">
      <c r="A16571"/>
      <c r="B16571"/>
    </row>
    <row r="16572" spans="1:2" x14ac:dyDescent="0.25">
      <c r="A16572"/>
      <c r="B16572"/>
    </row>
    <row r="16573" spans="1:2" x14ac:dyDescent="0.25">
      <c r="A16573"/>
      <c r="B16573"/>
    </row>
    <row r="16574" spans="1:2" x14ac:dyDescent="0.25">
      <c r="A16574"/>
      <c r="B16574"/>
    </row>
    <row r="16575" spans="1:2" x14ac:dyDescent="0.25">
      <c r="A16575"/>
      <c r="B16575"/>
    </row>
    <row r="16576" spans="1:2" x14ac:dyDescent="0.25">
      <c r="A16576"/>
      <c r="B16576"/>
    </row>
    <row r="16577" spans="1:2" x14ac:dyDescent="0.25">
      <c r="A16577"/>
      <c r="B16577"/>
    </row>
    <row r="16578" spans="1:2" x14ac:dyDescent="0.25">
      <c r="A16578"/>
      <c r="B16578"/>
    </row>
    <row r="16579" spans="1:2" x14ac:dyDescent="0.25">
      <c r="A16579"/>
      <c r="B16579"/>
    </row>
    <row r="16580" spans="1:2" x14ac:dyDescent="0.25">
      <c r="A16580"/>
      <c r="B16580"/>
    </row>
    <row r="16581" spans="1:2" x14ac:dyDescent="0.25">
      <c r="A16581"/>
      <c r="B16581"/>
    </row>
    <row r="16582" spans="1:2" x14ac:dyDescent="0.25">
      <c r="A16582"/>
      <c r="B16582"/>
    </row>
    <row r="16583" spans="1:2" x14ac:dyDescent="0.25">
      <c r="A16583"/>
      <c r="B16583"/>
    </row>
    <row r="16584" spans="1:2" x14ac:dyDescent="0.25">
      <c r="A16584"/>
      <c r="B16584"/>
    </row>
    <row r="16585" spans="1:2" x14ac:dyDescent="0.25">
      <c r="A16585"/>
      <c r="B16585"/>
    </row>
    <row r="16586" spans="1:2" x14ac:dyDescent="0.25">
      <c r="A16586"/>
      <c r="B16586"/>
    </row>
    <row r="16587" spans="1:2" x14ac:dyDescent="0.25">
      <c r="A16587"/>
      <c r="B16587"/>
    </row>
    <row r="16588" spans="1:2" x14ac:dyDescent="0.25">
      <c r="A16588"/>
      <c r="B16588"/>
    </row>
    <row r="16589" spans="1:2" x14ac:dyDescent="0.25">
      <c r="A16589"/>
      <c r="B16589"/>
    </row>
    <row r="16590" spans="1:2" x14ac:dyDescent="0.25">
      <c r="A16590"/>
      <c r="B16590"/>
    </row>
    <row r="16591" spans="1:2" x14ac:dyDescent="0.25">
      <c r="A16591"/>
      <c r="B16591"/>
    </row>
    <row r="16592" spans="1:2" x14ac:dyDescent="0.25">
      <c r="A16592"/>
      <c r="B16592"/>
    </row>
    <row r="16593" spans="1:2" x14ac:dyDescent="0.25">
      <c r="A16593"/>
      <c r="B16593"/>
    </row>
    <row r="16594" spans="1:2" x14ac:dyDescent="0.25">
      <c r="A16594"/>
      <c r="B16594"/>
    </row>
    <row r="16595" spans="1:2" x14ac:dyDescent="0.25">
      <c r="A16595"/>
      <c r="B16595"/>
    </row>
    <row r="16596" spans="1:2" x14ac:dyDescent="0.25">
      <c r="A16596"/>
      <c r="B16596"/>
    </row>
    <row r="16597" spans="1:2" x14ac:dyDescent="0.25">
      <c r="A16597"/>
      <c r="B16597"/>
    </row>
    <row r="16598" spans="1:2" x14ac:dyDescent="0.25">
      <c r="A16598"/>
      <c r="B16598"/>
    </row>
    <row r="16599" spans="1:2" x14ac:dyDescent="0.25">
      <c r="A16599"/>
      <c r="B16599"/>
    </row>
    <row r="16600" spans="1:2" x14ac:dyDescent="0.25">
      <c r="A16600"/>
      <c r="B16600"/>
    </row>
    <row r="16601" spans="1:2" x14ac:dyDescent="0.25">
      <c r="A16601"/>
      <c r="B16601"/>
    </row>
    <row r="16602" spans="1:2" x14ac:dyDescent="0.25">
      <c r="A16602"/>
      <c r="B16602"/>
    </row>
    <row r="16603" spans="1:2" x14ac:dyDescent="0.25">
      <c r="A16603"/>
      <c r="B16603"/>
    </row>
    <row r="16604" spans="1:2" x14ac:dyDescent="0.25">
      <c r="A16604"/>
      <c r="B16604"/>
    </row>
    <row r="16605" spans="1:2" x14ac:dyDescent="0.25">
      <c r="A16605"/>
      <c r="B16605"/>
    </row>
    <row r="16606" spans="1:2" x14ac:dyDescent="0.25">
      <c r="A16606"/>
      <c r="B16606"/>
    </row>
    <row r="16607" spans="1:2" x14ac:dyDescent="0.25">
      <c r="A16607"/>
      <c r="B16607"/>
    </row>
    <row r="16608" spans="1:2" x14ac:dyDescent="0.25">
      <c r="A16608"/>
      <c r="B16608"/>
    </row>
    <row r="16609" spans="1:2" x14ac:dyDescent="0.25">
      <c r="A16609"/>
      <c r="B16609"/>
    </row>
    <row r="16610" spans="1:2" x14ac:dyDescent="0.25">
      <c r="A16610"/>
      <c r="B16610"/>
    </row>
    <row r="16611" spans="1:2" x14ac:dyDescent="0.25">
      <c r="A16611"/>
      <c r="B16611"/>
    </row>
    <row r="16612" spans="1:2" x14ac:dyDescent="0.25">
      <c r="A16612"/>
      <c r="B16612"/>
    </row>
    <row r="16613" spans="1:2" x14ac:dyDescent="0.25">
      <c r="A16613"/>
      <c r="B16613"/>
    </row>
    <row r="16614" spans="1:2" x14ac:dyDescent="0.25">
      <c r="A16614"/>
      <c r="B16614"/>
    </row>
    <row r="16615" spans="1:2" x14ac:dyDescent="0.25">
      <c r="A16615"/>
      <c r="B16615"/>
    </row>
    <row r="16616" spans="1:2" x14ac:dyDescent="0.25">
      <c r="A16616"/>
      <c r="B16616"/>
    </row>
    <row r="16617" spans="1:2" x14ac:dyDescent="0.25">
      <c r="A16617"/>
      <c r="B16617"/>
    </row>
    <row r="16618" spans="1:2" x14ac:dyDescent="0.25">
      <c r="A16618"/>
      <c r="B16618"/>
    </row>
    <row r="16619" spans="1:2" x14ac:dyDescent="0.25">
      <c r="A16619"/>
      <c r="B16619"/>
    </row>
    <row r="16620" spans="1:2" x14ac:dyDescent="0.25">
      <c r="A16620"/>
      <c r="B16620"/>
    </row>
    <row r="16621" spans="1:2" x14ac:dyDescent="0.25">
      <c r="A16621"/>
      <c r="B16621"/>
    </row>
    <row r="16622" spans="1:2" x14ac:dyDescent="0.25">
      <c r="A16622"/>
      <c r="B16622"/>
    </row>
    <row r="16623" spans="1:2" x14ac:dyDescent="0.25">
      <c r="A16623"/>
      <c r="B16623"/>
    </row>
    <row r="16624" spans="1:2" x14ac:dyDescent="0.25">
      <c r="A16624"/>
      <c r="B16624"/>
    </row>
    <row r="16625" spans="1:2" x14ac:dyDescent="0.25">
      <c r="A16625"/>
      <c r="B16625"/>
    </row>
    <row r="16626" spans="1:2" x14ac:dyDescent="0.25">
      <c r="A16626"/>
      <c r="B16626"/>
    </row>
    <row r="16627" spans="1:2" x14ac:dyDescent="0.25">
      <c r="A16627"/>
      <c r="B16627"/>
    </row>
    <row r="16628" spans="1:2" x14ac:dyDescent="0.25">
      <c r="A16628"/>
      <c r="B16628"/>
    </row>
    <row r="16629" spans="1:2" x14ac:dyDescent="0.25">
      <c r="A16629"/>
      <c r="B16629"/>
    </row>
    <row r="16630" spans="1:2" x14ac:dyDescent="0.25">
      <c r="A16630"/>
      <c r="B16630"/>
    </row>
    <row r="16631" spans="1:2" x14ac:dyDescent="0.25">
      <c r="A16631"/>
      <c r="B16631"/>
    </row>
    <row r="16632" spans="1:2" x14ac:dyDescent="0.25">
      <c r="A16632"/>
      <c r="B16632"/>
    </row>
    <row r="16633" spans="1:2" x14ac:dyDescent="0.25">
      <c r="A16633"/>
      <c r="B16633"/>
    </row>
    <row r="16634" spans="1:2" x14ac:dyDescent="0.25">
      <c r="A16634"/>
      <c r="B16634"/>
    </row>
    <row r="16635" spans="1:2" x14ac:dyDescent="0.25">
      <c r="A16635"/>
      <c r="B16635"/>
    </row>
    <row r="16636" spans="1:2" x14ac:dyDescent="0.25">
      <c r="A16636"/>
      <c r="B16636"/>
    </row>
    <row r="16637" spans="1:2" x14ac:dyDescent="0.25">
      <c r="A16637"/>
      <c r="B16637"/>
    </row>
    <row r="16638" spans="1:2" x14ac:dyDescent="0.25">
      <c r="A16638"/>
      <c r="B16638"/>
    </row>
    <row r="16639" spans="1:2" x14ac:dyDescent="0.25">
      <c r="A16639"/>
      <c r="B16639"/>
    </row>
    <row r="16640" spans="1:2" x14ac:dyDescent="0.25">
      <c r="A16640"/>
      <c r="B16640"/>
    </row>
    <row r="16641" spans="1:2" x14ac:dyDescent="0.25">
      <c r="A16641"/>
      <c r="B16641"/>
    </row>
    <row r="16642" spans="1:2" x14ac:dyDescent="0.25">
      <c r="A16642"/>
      <c r="B16642"/>
    </row>
    <row r="16643" spans="1:2" x14ac:dyDescent="0.25">
      <c r="A16643"/>
      <c r="B16643"/>
    </row>
    <row r="16644" spans="1:2" x14ac:dyDescent="0.25">
      <c r="A16644"/>
      <c r="B16644"/>
    </row>
    <row r="16645" spans="1:2" x14ac:dyDescent="0.25">
      <c r="A16645"/>
      <c r="B16645"/>
    </row>
    <row r="16646" spans="1:2" x14ac:dyDescent="0.25">
      <c r="A16646"/>
      <c r="B16646"/>
    </row>
    <row r="16647" spans="1:2" x14ac:dyDescent="0.25">
      <c r="A16647"/>
      <c r="B16647"/>
    </row>
    <row r="16648" spans="1:2" x14ac:dyDescent="0.25">
      <c r="A16648"/>
      <c r="B16648"/>
    </row>
    <row r="16649" spans="1:2" x14ac:dyDescent="0.25">
      <c r="A16649"/>
      <c r="B16649"/>
    </row>
    <row r="16650" spans="1:2" x14ac:dyDescent="0.25">
      <c r="A16650"/>
      <c r="B16650"/>
    </row>
    <row r="16651" spans="1:2" x14ac:dyDescent="0.25">
      <c r="A16651"/>
      <c r="B16651"/>
    </row>
    <row r="16652" spans="1:2" x14ac:dyDescent="0.25">
      <c r="A16652"/>
      <c r="B16652"/>
    </row>
    <row r="16653" spans="1:2" x14ac:dyDescent="0.25">
      <c r="A16653"/>
      <c r="B16653"/>
    </row>
    <row r="16654" spans="1:2" x14ac:dyDescent="0.25">
      <c r="A16654"/>
      <c r="B16654"/>
    </row>
    <row r="16655" spans="1:2" x14ac:dyDescent="0.25">
      <c r="A16655"/>
      <c r="B16655"/>
    </row>
    <row r="16656" spans="1:2" x14ac:dyDescent="0.25">
      <c r="A16656"/>
      <c r="B16656"/>
    </row>
    <row r="16657" spans="1:2" x14ac:dyDescent="0.25">
      <c r="A16657"/>
      <c r="B16657"/>
    </row>
    <row r="16658" spans="1:2" x14ac:dyDescent="0.25">
      <c r="A16658"/>
      <c r="B16658"/>
    </row>
    <row r="16659" spans="1:2" x14ac:dyDescent="0.25">
      <c r="A16659"/>
      <c r="B16659"/>
    </row>
    <row r="16660" spans="1:2" x14ac:dyDescent="0.25">
      <c r="A16660"/>
      <c r="B16660"/>
    </row>
    <row r="16661" spans="1:2" x14ac:dyDescent="0.25">
      <c r="A16661"/>
      <c r="B16661"/>
    </row>
    <row r="16662" spans="1:2" x14ac:dyDescent="0.25">
      <c r="A16662"/>
      <c r="B16662"/>
    </row>
    <row r="16663" spans="1:2" x14ac:dyDescent="0.25">
      <c r="A16663"/>
      <c r="B16663"/>
    </row>
    <row r="16664" spans="1:2" x14ac:dyDescent="0.25">
      <c r="A16664"/>
      <c r="B16664"/>
    </row>
    <row r="16665" spans="1:2" x14ac:dyDescent="0.25">
      <c r="A16665"/>
      <c r="B16665"/>
    </row>
    <row r="16666" spans="1:2" x14ac:dyDescent="0.25">
      <c r="A16666"/>
      <c r="B16666"/>
    </row>
    <row r="16667" spans="1:2" x14ac:dyDescent="0.25">
      <c r="A16667"/>
      <c r="B16667"/>
    </row>
    <row r="16668" spans="1:2" x14ac:dyDescent="0.25">
      <c r="A16668"/>
      <c r="B16668"/>
    </row>
    <row r="16669" spans="1:2" x14ac:dyDescent="0.25">
      <c r="A16669"/>
      <c r="B16669"/>
    </row>
    <row r="16670" spans="1:2" x14ac:dyDescent="0.25">
      <c r="A16670"/>
      <c r="B16670"/>
    </row>
    <row r="16671" spans="1:2" x14ac:dyDescent="0.25">
      <c r="A16671"/>
      <c r="B16671"/>
    </row>
    <row r="16672" spans="1:2" x14ac:dyDescent="0.25">
      <c r="A16672"/>
      <c r="B16672"/>
    </row>
    <row r="16673" spans="1:2" x14ac:dyDescent="0.25">
      <c r="A16673"/>
      <c r="B16673"/>
    </row>
    <row r="16674" spans="1:2" x14ac:dyDescent="0.25">
      <c r="A16674"/>
      <c r="B16674"/>
    </row>
    <row r="16675" spans="1:2" x14ac:dyDescent="0.25">
      <c r="A16675"/>
      <c r="B16675"/>
    </row>
    <row r="16676" spans="1:2" x14ac:dyDescent="0.25">
      <c r="A16676"/>
      <c r="B16676"/>
    </row>
    <row r="16677" spans="1:2" x14ac:dyDescent="0.25">
      <c r="A16677"/>
      <c r="B16677"/>
    </row>
    <row r="16678" spans="1:2" x14ac:dyDescent="0.25">
      <c r="A16678"/>
      <c r="B16678"/>
    </row>
    <row r="16679" spans="1:2" x14ac:dyDescent="0.25">
      <c r="A16679"/>
      <c r="B16679"/>
    </row>
    <row r="16680" spans="1:2" x14ac:dyDescent="0.25">
      <c r="A16680"/>
      <c r="B16680"/>
    </row>
    <row r="16681" spans="1:2" x14ac:dyDescent="0.25">
      <c r="A16681"/>
      <c r="B16681"/>
    </row>
    <row r="16682" spans="1:2" x14ac:dyDescent="0.25">
      <c r="A16682"/>
      <c r="B16682"/>
    </row>
    <row r="16683" spans="1:2" x14ac:dyDescent="0.25">
      <c r="A16683"/>
      <c r="B16683"/>
    </row>
    <row r="16684" spans="1:2" x14ac:dyDescent="0.25">
      <c r="A16684"/>
      <c r="B16684"/>
    </row>
    <row r="16685" spans="1:2" x14ac:dyDescent="0.25">
      <c r="A16685"/>
      <c r="B16685"/>
    </row>
    <row r="16686" spans="1:2" x14ac:dyDescent="0.25">
      <c r="A16686"/>
      <c r="B16686"/>
    </row>
    <row r="16687" spans="1:2" x14ac:dyDescent="0.25">
      <c r="A16687"/>
      <c r="B16687"/>
    </row>
    <row r="16688" spans="1:2" x14ac:dyDescent="0.25">
      <c r="A16688"/>
      <c r="B16688"/>
    </row>
    <row r="16689" spans="1:2" x14ac:dyDescent="0.25">
      <c r="A16689"/>
      <c r="B16689"/>
    </row>
    <row r="16690" spans="1:2" x14ac:dyDescent="0.25">
      <c r="A16690"/>
      <c r="B16690"/>
    </row>
    <row r="16691" spans="1:2" x14ac:dyDescent="0.25">
      <c r="A16691"/>
      <c r="B16691"/>
    </row>
    <row r="16692" spans="1:2" x14ac:dyDescent="0.25">
      <c r="A16692"/>
      <c r="B16692"/>
    </row>
    <row r="16693" spans="1:2" x14ac:dyDescent="0.25">
      <c r="A16693"/>
      <c r="B16693"/>
    </row>
    <row r="16694" spans="1:2" x14ac:dyDescent="0.25">
      <c r="A16694"/>
      <c r="B16694"/>
    </row>
    <row r="16695" spans="1:2" x14ac:dyDescent="0.25">
      <c r="A16695"/>
      <c r="B16695"/>
    </row>
    <row r="16696" spans="1:2" x14ac:dyDescent="0.25">
      <c r="A16696"/>
      <c r="B16696"/>
    </row>
    <row r="16697" spans="1:2" x14ac:dyDescent="0.25">
      <c r="A16697"/>
      <c r="B16697"/>
    </row>
    <row r="16698" spans="1:2" x14ac:dyDescent="0.25">
      <c r="A16698"/>
      <c r="B16698"/>
    </row>
    <row r="16699" spans="1:2" x14ac:dyDescent="0.25">
      <c r="A16699"/>
      <c r="B16699"/>
    </row>
    <row r="16700" spans="1:2" x14ac:dyDescent="0.25">
      <c r="A16700"/>
      <c r="B16700"/>
    </row>
    <row r="16701" spans="1:2" x14ac:dyDescent="0.25">
      <c r="A16701"/>
      <c r="B16701"/>
    </row>
    <row r="16702" spans="1:2" x14ac:dyDescent="0.25">
      <c r="A16702"/>
      <c r="B16702"/>
    </row>
    <row r="16703" spans="1:2" x14ac:dyDescent="0.25">
      <c r="A16703"/>
      <c r="B16703"/>
    </row>
    <row r="16704" spans="1:2" x14ac:dyDescent="0.25">
      <c r="A16704"/>
      <c r="B16704"/>
    </row>
    <row r="16705" spans="1:2" x14ac:dyDescent="0.25">
      <c r="A16705"/>
      <c r="B16705"/>
    </row>
    <row r="16706" spans="1:2" x14ac:dyDescent="0.25">
      <c r="A16706"/>
      <c r="B16706"/>
    </row>
    <row r="16707" spans="1:2" x14ac:dyDescent="0.25">
      <c r="A16707"/>
      <c r="B16707"/>
    </row>
    <row r="16708" spans="1:2" x14ac:dyDescent="0.25">
      <c r="A16708"/>
      <c r="B16708"/>
    </row>
    <row r="16709" spans="1:2" x14ac:dyDescent="0.25">
      <c r="A16709"/>
      <c r="B16709"/>
    </row>
    <row r="16710" spans="1:2" x14ac:dyDescent="0.25">
      <c r="A16710"/>
      <c r="B16710"/>
    </row>
    <row r="16711" spans="1:2" x14ac:dyDescent="0.25">
      <c r="A16711"/>
      <c r="B16711"/>
    </row>
    <row r="16712" spans="1:2" x14ac:dyDescent="0.25">
      <c r="A16712"/>
      <c r="B16712"/>
    </row>
    <row r="16713" spans="1:2" x14ac:dyDescent="0.25">
      <c r="A16713"/>
      <c r="B16713"/>
    </row>
    <row r="16714" spans="1:2" x14ac:dyDescent="0.25">
      <c r="A16714"/>
      <c r="B16714"/>
    </row>
    <row r="16715" spans="1:2" x14ac:dyDescent="0.25">
      <c r="A16715"/>
      <c r="B16715"/>
    </row>
    <row r="16716" spans="1:2" x14ac:dyDescent="0.25">
      <c r="A16716"/>
      <c r="B16716"/>
    </row>
    <row r="16717" spans="1:2" x14ac:dyDescent="0.25">
      <c r="A16717"/>
      <c r="B16717"/>
    </row>
    <row r="16718" spans="1:2" x14ac:dyDescent="0.25">
      <c r="A16718"/>
      <c r="B16718"/>
    </row>
    <row r="16719" spans="1:2" x14ac:dyDescent="0.25">
      <c r="A16719"/>
      <c r="B16719"/>
    </row>
    <row r="16720" spans="1:2" x14ac:dyDescent="0.25">
      <c r="A16720"/>
      <c r="B16720"/>
    </row>
    <row r="16721" spans="1:2" x14ac:dyDescent="0.25">
      <c r="A16721"/>
      <c r="B16721"/>
    </row>
    <row r="16722" spans="1:2" x14ac:dyDescent="0.25">
      <c r="A16722"/>
      <c r="B16722"/>
    </row>
    <row r="16723" spans="1:2" x14ac:dyDescent="0.25">
      <c r="A16723"/>
      <c r="B16723"/>
    </row>
    <row r="16724" spans="1:2" x14ac:dyDescent="0.25">
      <c r="A16724"/>
      <c r="B16724"/>
    </row>
    <row r="16725" spans="1:2" x14ac:dyDescent="0.25">
      <c r="A16725"/>
      <c r="B16725"/>
    </row>
    <row r="16726" spans="1:2" x14ac:dyDescent="0.25">
      <c r="A16726"/>
      <c r="B16726"/>
    </row>
    <row r="16727" spans="1:2" x14ac:dyDescent="0.25">
      <c r="A16727"/>
      <c r="B16727"/>
    </row>
    <row r="16728" spans="1:2" x14ac:dyDescent="0.25">
      <c r="A16728"/>
      <c r="B16728"/>
    </row>
    <row r="16729" spans="1:2" x14ac:dyDescent="0.25">
      <c r="A16729"/>
      <c r="B16729"/>
    </row>
    <row r="16730" spans="1:2" x14ac:dyDescent="0.25">
      <c r="A16730"/>
      <c r="B16730"/>
    </row>
    <row r="16731" spans="1:2" x14ac:dyDescent="0.25">
      <c r="A16731"/>
      <c r="B16731"/>
    </row>
    <row r="16732" spans="1:2" x14ac:dyDescent="0.25">
      <c r="A16732"/>
      <c r="B16732"/>
    </row>
    <row r="16733" spans="1:2" x14ac:dyDescent="0.25">
      <c r="A16733"/>
      <c r="B16733"/>
    </row>
    <row r="16734" spans="1:2" x14ac:dyDescent="0.25">
      <c r="A16734"/>
      <c r="B16734"/>
    </row>
    <row r="16735" spans="1:2" x14ac:dyDescent="0.25">
      <c r="A16735"/>
      <c r="B16735"/>
    </row>
    <row r="16736" spans="1:2" x14ac:dyDescent="0.25">
      <c r="A16736"/>
      <c r="B16736"/>
    </row>
    <row r="16737" spans="1:2" x14ac:dyDescent="0.25">
      <c r="A16737"/>
      <c r="B16737"/>
    </row>
    <row r="16738" spans="1:2" x14ac:dyDescent="0.25">
      <c r="A16738"/>
      <c r="B16738"/>
    </row>
    <row r="16739" spans="1:2" x14ac:dyDescent="0.25">
      <c r="A16739"/>
      <c r="B16739"/>
    </row>
    <row r="16740" spans="1:2" x14ac:dyDescent="0.25">
      <c r="A16740"/>
      <c r="B16740"/>
    </row>
    <row r="16741" spans="1:2" x14ac:dyDescent="0.25">
      <c r="A16741"/>
      <c r="B16741"/>
    </row>
    <row r="16742" spans="1:2" x14ac:dyDescent="0.25">
      <c r="A16742"/>
      <c r="B16742"/>
    </row>
    <row r="16743" spans="1:2" x14ac:dyDescent="0.25">
      <c r="A16743"/>
      <c r="B16743"/>
    </row>
    <row r="16744" spans="1:2" x14ac:dyDescent="0.25">
      <c r="A16744"/>
      <c r="B16744"/>
    </row>
    <row r="16745" spans="1:2" x14ac:dyDescent="0.25">
      <c r="A16745"/>
      <c r="B16745"/>
    </row>
    <row r="16746" spans="1:2" x14ac:dyDescent="0.25">
      <c r="A16746"/>
      <c r="B16746"/>
    </row>
    <row r="16747" spans="1:2" x14ac:dyDescent="0.25">
      <c r="A16747"/>
      <c r="B16747"/>
    </row>
    <row r="16748" spans="1:2" x14ac:dyDescent="0.25">
      <c r="A16748"/>
      <c r="B16748"/>
    </row>
    <row r="16749" spans="1:2" x14ac:dyDescent="0.25">
      <c r="A16749"/>
      <c r="B16749"/>
    </row>
    <row r="16750" spans="1:2" x14ac:dyDescent="0.25">
      <c r="A16750"/>
      <c r="B16750"/>
    </row>
    <row r="16751" spans="1:2" x14ac:dyDescent="0.25">
      <c r="A16751"/>
      <c r="B16751"/>
    </row>
    <row r="16752" spans="1:2" x14ac:dyDescent="0.25">
      <c r="A16752"/>
      <c r="B16752"/>
    </row>
    <row r="16753" spans="1:2" x14ac:dyDescent="0.25">
      <c r="A16753"/>
      <c r="B16753"/>
    </row>
    <row r="16754" spans="1:2" x14ac:dyDescent="0.25">
      <c r="A16754"/>
      <c r="B16754"/>
    </row>
    <row r="16755" spans="1:2" x14ac:dyDescent="0.25">
      <c r="A16755"/>
      <c r="B16755"/>
    </row>
    <row r="16756" spans="1:2" x14ac:dyDescent="0.25">
      <c r="A16756"/>
      <c r="B16756"/>
    </row>
    <row r="16757" spans="1:2" x14ac:dyDescent="0.25">
      <c r="A16757"/>
      <c r="B16757"/>
    </row>
    <row r="16758" spans="1:2" x14ac:dyDescent="0.25">
      <c r="A16758"/>
      <c r="B16758"/>
    </row>
    <row r="16759" spans="1:2" x14ac:dyDescent="0.25">
      <c r="A16759"/>
      <c r="B16759"/>
    </row>
    <row r="16760" spans="1:2" x14ac:dyDescent="0.25">
      <c r="A16760"/>
      <c r="B16760"/>
    </row>
    <row r="16761" spans="1:2" x14ac:dyDescent="0.25">
      <c r="A16761"/>
      <c r="B16761"/>
    </row>
    <row r="16762" spans="1:2" x14ac:dyDescent="0.25">
      <c r="A16762"/>
      <c r="B16762"/>
    </row>
    <row r="16763" spans="1:2" x14ac:dyDescent="0.25">
      <c r="A16763"/>
      <c r="B16763"/>
    </row>
    <row r="16764" spans="1:2" x14ac:dyDescent="0.25">
      <c r="A16764"/>
      <c r="B16764"/>
    </row>
    <row r="16765" spans="1:2" x14ac:dyDescent="0.25">
      <c r="A16765"/>
      <c r="B16765"/>
    </row>
    <row r="16766" spans="1:2" x14ac:dyDescent="0.25">
      <c r="A16766"/>
      <c r="B16766"/>
    </row>
    <row r="16767" spans="1:2" x14ac:dyDescent="0.25">
      <c r="A16767"/>
      <c r="B16767"/>
    </row>
    <row r="16768" spans="1:2" x14ac:dyDescent="0.25">
      <c r="A16768"/>
      <c r="B16768"/>
    </row>
    <row r="16769" spans="1:2" x14ac:dyDescent="0.25">
      <c r="A16769"/>
      <c r="B16769"/>
    </row>
    <row r="16770" spans="1:2" x14ac:dyDescent="0.25">
      <c r="A16770"/>
      <c r="B16770"/>
    </row>
    <row r="16771" spans="1:2" x14ac:dyDescent="0.25">
      <c r="A16771"/>
      <c r="B16771"/>
    </row>
    <row r="16772" spans="1:2" x14ac:dyDescent="0.25">
      <c r="A16772"/>
      <c r="B16772"/>
    </row>
    <row r="16773" spans="1:2" x14ac:dyDescent="0.25">
      <c r="A16773"/>
      <c r="B16773"/>
    </row>
    <row r="16774" spans="1:2" x14ac:dyDescent="0.25">
      <c r="A16774"/>
      <c r="B16774"/>
    </row>
    <row r="16775" spans="1:2" x14ac:dyDescent="0.25">
      <c r="A16775"/>
      <c r="B16775"/>
    </row>
    <row r="16776" spans="1:2" x14ac:dyDescent="0.25">
      <c r="A16776"/>
      <c r="B16776"/>
    </row>
    <row r="16777" spans="1:2" x14ac:dyDescent="0.25">
      <c r="A16777"/>
      <c r="B16777"/>
    </row>
    <row r="16778" spans="1:2" x14ac:dyDescent="0.25">
      <c r="A16778"/>
      <c r="B16778"/>
    </row>
    <row r="16779" spans="1:2" x14ac:dyDescent="0.25">
      <c r="A16779"/>
      <c r="B16779"/>
    </row>
    <row r="16780" spans="1:2" x14ac:dyDescent="0.25">
      <c r="A16780"/>
      <c r="B16780"/>
    </row>
    <row r="16781" spans="1:2" x14ac:dyDescent="0.25">
      <c r="A16781"/>
      <c r="B16781"/>
    </row>
    <row r="16782" spans="1:2" x14ac:dyDescent="0.25">
      <c r="A16782"/>
      <c r="B16782"/>
    </row>
    <row r="16783" spans="1:2" x14ac:dyDescent="0.25">
      <c r="A16783"/>
      <c r="B16783"/>
    </row>
    <row r="16784" spans="1:2" x14ac:dyDescent="0.25">
      <c r="A16784"/>
      <c r="B16784"/>
    </row>
    <row r="16785" spans="1:2" x14ac:dyDescent="0.25">
      <c r="A16785"/>
      <c r="B16785"/>
    </row>
    <row r="16786" spans="1:2" x14ac:dyDescent="0.25">
      <c r="A16786"/>
      <c r="B16786"/>
    </row>
    <row r="16787" spans="1:2" x14ac:dyDescent="0.25">
      <c r="A16787"/>
      <c r="B16787"/>
    </row>
    <row r="16788" spans="1:2" x14ac:dyDescent="0.25">
      <c r="A16788"/>
      <c r="B16788"/>
    </row>
    <row r="16789" spans="1:2" x14ac:dyDescent="0.25">
      <c r="A16789"/>
      <c r="B16789"/>
    </row>
    <row r="16790" spans="1:2" x14ac:dyDescent="0.25">
      <c r="A16790"/>
      <c r="B16790"/>
    </row>
    <row r="16791" spans="1:2" x14ac:dyDescent="0.25">
      <c r="A16791"/>
      <c r="B16791"/>
    </row>
    <row r="16792" spans="1:2" x14ac:dyDescent="0.25">
      <c r="A16792"/>
      <c r="B16792"/>
    </row>
    <row r="16793" spans="1:2" x14ac:dyDescent="0.25">
      <c r="A16793"/>
      <c r="B16793"/>
    </row>
    <row r="16794" spans="1:2" x14ac:dyDescent="0.25">
      <c r="A16794"/>
      <c r="B16794"/>
    </row>
    <row r="16795" spans="1:2" x14ac:dyDescent="0.25">
      <c r="A16795"/>
      <c r="B16795"/>
    </row>
    <row r="16796" spans="1:2" x14ac:dyDescent="0.25">
      <c r="A16796"/>
      <c r="B16796"/>
    </row>
    <row r="16797" spans="1:2" x14ac:dyDescent="0.25">
      <c r="A16797"/>
      <c r="B16797"/>
    </row>
    <row r="16798" spans="1:2" x14ac:dyDescent="0.25">
      <c r="A16798"/>
      <c r="B16798"/>
    </row>
    <row r="16799" spans="1:2" x14ac:dyDescent="0.25">
      <c r="A16799"/>
      <c r="B16799"/>
    </row>
    <row r="16800" spans="1:2" x14ac:dyDescent="0.25">
      <c r="A16800"/>
      <c r="B16800"/>
    </row>
    <row r="16801" spans="1:2" x14ac:dyDescent="0.25">
      <c r="A16801"/>
      <c r="B16801"/>
    </row>
    <row r="16802" spans="1:2" x14ac:dyDescent="0.25">
      <c r="A16802"/>
      <c r="B16802"/>
    </row>
    <row r="16803" spans="1:2" x14ac:dyDescent="0.25">
      <c r="A16803"/>
      <c r="B16803"/>
    </row>
    <row r="16804" spans="1:2" x14ac:dyDescent="0.25">
      <c r="A16804"/>
      <c r="B16804"/>
    </row>
    <row r="16805" spans="1:2" x14ac:dyDescent="0.25">
      <c r="A16805"/>
      <c r="B16805"/>
    </row>
    <row r="16806" spans="1:2" x14ac:dyDescent="0.25">
      <c r="A16806"/>
      <c r="B16806"/>
    </row>
    <row r="16807" spans="1:2" x14ac:dyDescent="0.25">
      <c r="A16807"/>
      <c r="B16807"/>
    </row>
    <row r="16808" spans="1:2" x14ac:dyDescent="0.25">
      <c r="A16808"/>
      <c r="B16808"/>
    </row>
    <row r="16809" spans="1:2" x14ac:dyDescent="0.25">
      <c r="A16809"/>
      <c r="B16809"/>
    </row>
    <row r="16810" spans="1:2" x14ac:dyDescent="0.25">
      <c r="A16810"/>
      <c r="B16810"/>
    </row>
    <row r="16811" spans="1:2" x14ac:dyDescent="0.25">
      <c r="A16811"/>
      <c r="B16811"/>
    </row>
    <row r="16812" spans="1:2" x14ac:dyDescent="0.25">
      <c r="A16812"/>
      <c r="B16812"/>
    </row>
    <row r="16813" spans="1:2" x14ac:dyDescent="0.25">
      <c r="A16813"/>
      <c r="B16813"/>
    </row>
    <row r="16814" spans="1:2" x14ac:dyDescent="0.25">
      <c r="A16814"/>
      <c r="B16814"/>
    </row>
    <row r="16815" spans="1:2" x14ac:dyDescent="0.25">
      <c r="A16815"/>
      <c r="B16815"/>
    </row>
    <row r="16816" spans="1:2" x14ac:dyDescent="0.25">
      <c r="A16816"/>
      <c r="B16816"/>
    </row>
    <row r="16817" spans="1:2" x14ac:dyDescent="0.25">
      <c r="A16817"/>
      <c r="B16817"/>
    </row>
    <row r="16818" spans="1:2" x14ac:dyDescent="0.25">
      <c r="A16818"/>
      <c r="B16818"/>
    </row>
    <row r="16819" spans="1:2" x14ac:dyDescent="0.25">
      <c r="A16819"/>
      <c r="B16819"/>
    </row>
    <row r="16820" spans="1:2" x14ac:dyDescent="0.25">
      <c r="A16820"/>
      <c r="B16820"/>
    </row>
    <row r="16821" spans="1:2" x14ac:dyDescent="0.25">
      <c r="A16821"/>
      <c r="B16821"/>
    </row>
    <row r="16822" spans="1:2" x14ac:dyDescent="0.25">
      <c r="A16822"/>
      <c r="B16822"/>
    </row>
    <row r="16823" spans="1:2" x14ac:dyDescent="0.25">
      <c r="A16823"/>
      <c r="B16823"/>
    </row>
    <row r="16824" spans="1:2" x14ac:dyDescent="0.25">
      <c r="A16824"/>
      <c r="B16824"/>
    </row>
    <row r="16825" spans="1:2" x14ac:dyDescent="0.25">
      <c r="A16825"/>
      <c r="B16825"/>
    </row>
    <row r="16826" spans="1:2" x14ac:dyDescent="0.25">
      <c r="A16826"/>
      <c r="B16826"/>
    </row>
    <row r="16827" spans="1:2" x14ac:dyDescent="0.25">
      <c r="A16827"/>
      <c r="B16827"/>
    </row>
    <row r="16828" spans="1:2" x14ac:dyDescent="0.25">
      <c r="A16828"/>
      <c r="B16828"/>
    </row>
    <row r="16829" spans="1:2" x14ac:dyDescent="0.25">
      <c r="A16829"/>
      <c r="B16829"/>
    </row>
    <row r="16830" spans="1:2" x14ac:dyDescent="0.25">
      <c r="A16830"/>
      <c r="B16830"/>
    </row>
    <row r="16831" spans="1:2" x14ac:dyDescent="0.25">
      <c r="A16831"/>
      <c r="B16831"/>
    </row>
    <row r="16832" spans="1:2" x14ac:dyDescent="0.25">
      <c r="A16832"/>
      <c r="B16832"/>
    </row>
    <row r="16833" spans="1:2" x14ac:dyDescent="0.25">
      <c r="A16833"/>
      <c r="B16833"/>
    </row>
    <row r="16834" spans="1:2" x14ac:dyDescent="0.25">
      <c r="A16834"/>
      <c r="B16834"/>
    </row>
    <row r="16835" spans="1:2" x14ac:dyDescent="0.25">
      <c r="A16835"/>
      <c r="B16835"/>
    </row>
    <row r="16836" spans="1:2" x14ac:dyDescent="0.25">
      <c r="A16836"/>
      <c r="B16836"/>
    </row>
    <row r="16837" spans="1:2" x14ac:dyDescent="0.25">
      <c r="A16837"/>
      <c r="B16837"/>
    </row>
    <row r="16838" spans="1:2" x14ac:dyDescent="0.25">
      <c r="A16838"/>
      <c r="B16838"/>
    </row>
    <row r="16839" spans="1:2" x14ac:dyDescent="0.25">
      <c r="A16839"/>
      <c r="B16839"/>
    </row>
    <row r="16840" spans="1:2" x14ac:dyDescent="0.25">
      <c r="A16840"/>
      <c r="B16840"/>
    </row>
    <row r="16841" spans="1:2" x14ac:dyDescent="0.25">
      <c r="A16841"/>
      <c r="B16841"/>
    </row>
    <row r="16842" spans="1:2" x14ac:dyDescent="0.25">
      <c r="A16842"/>
      <c r="B16842"/>
    </row>
    <row r="16843" spans="1:2" x14ac:dyDescent="0.25">
      <c r="A16843"/>
      <c r="B16843"/>
    </row>
    <row r="16844" spans="1:2" x14ac:dyDescent="0.25">
      <c r="A16844"/>
      <c r="B16844"/>
    </row>
    <row r="16845" spans="1:2" x14ac:dyDescent="0.25">
      <c r="A16845"/>
      <c r="B16845"/>
    </row>
    <row r="16846" spans="1:2" x14ac:dyDescent="0.25">
      <c r="A16846"/>
      <c r="B16846"/>
    </row>
    <row r="16847" spans="1:2" x14ac:dyDescent="0.25">
      <c r="A16847"/>
      <c r="B16847"/>
    </row>
    <row r="16848" spans="1:2" x14ac:dyDescent="0.25">
      <c r="A16848"/>
      <c r="B16848"/>
    </row>
    <row r="16849" spans="1:2" x14ac:dyDescent="0.25">
      <c r="A16849"/>
      <c r="B16849"/>
    </row>
    <row r="16850" spans="1:2" x14ac:dyDescent="0.25">
      <c r="A16850"/>
      <c r="B16850"/>
    </row>
    <row r="16851" spans="1:2" x14ac:dyDescent="0.25">
      <c r="A16851"/>
      <c r="B16851"/>
    </row>
    <row r="16852" spans="1:2" x14ac:dyDescent="0.25">
      <c r="A16852"/>
      <c r="B16852"/>
    </row>
    <row r="16853" spans="1:2" x14ac:dyDescent="0.25">
      <c r="A16853"/>
      <c r="B16853"/>
    </row>
    <row r="16854" spans="1:2" x14ac:dyDescent="0.25">
      <c r="A16854"/>
      <c r="B16854"/>
    </row>
    <row r="16855" spans="1:2" x14ac:dyDescent="0.25">
      <c r="A16855"/>
      <c r="B16855"/>
    </row>
    <row r="16856" spans="1:2" x14ac:dyDescent="0.25">
      <c r="A16856"/>
      <c r="B16856"/>
    </row>
    <row r="16857" spans="1:2" x14ac:dyDescent="0.25">
      <c r="A16857"/>
      <c r="B16857"/>
    </row>
    <row r="16858" spans="1:2" x14ac:dyDescent="0.25">
      <c r="A16858"/>
      <c r="B16858"/>
    </row>
    <row r="16859" spans="1:2" x14ac:dyDescent="0.25">
      <c r="A16859"/>
      <c r="B16859"/>
    </row>
    <row r="16860" spans="1:2" x14ac:dyDescent="0.25">
      <c r="A16860"/>
      <c r="B16860"/>
    </row>
    <row r="16861" spans="1:2" x14ac:dyDescent="0.25">
      <c r="A16861"/>
      <c r="B16861"/>
    </row>
    <row r="16862" spans="1:2" x14ac:dyDescent="0.25">
      <c r="A16862"/>
      <c r="B16862"/>
    </row>
    <row r="16863" spans="1:2" x14ac:dyDescent="0.25">
      <c r="A16863"/>
      <c r="B16863"/>
    </row>
    <row r="16864" spans="1:2" x14ac:dyDescent="0.25">
      <c r="A16864"/>
      <c r="B16864"/>
    </row>
    <row r="16865" spans="1:2" x14ac:dyDescent="0.25">
      <c r="A16865"/>
      <c r="B16865"/>
    </row>
    <row r="16866" spans="1:2" x14ac:dyDescent="0.25">
      <c r="A16866"/>
      <c r="B16866"/>
    </row>
    <row r="16867" spans="1:2" x14ac:dyDescent="0.25">
      <c r="A16867"/>
      <c r="B16867"/>
    </row>
    <row r="16868" spans="1:2" x14ac:dyDescent="0.25">
      <c r="A16868"/>
      <c r="B16868"/>
    </row>
    <row r="16869" spans="1:2" x14ac:dyDescent="0.25">
      <c r="A16869"/>
      <c r="B16869"/>
    </row>
    <row r="16870" spans="1:2" x14ac:dyDescent="0.25">
      <c r="A16870"/>
      <c r="B16870"/>
    </row>
    <row r="16871" spans="1:2" x14ac:dyDescent="0.25">
      <c r="A16871"/>
      <c r="B16871"/>
    </row>
    <row r="16872" spans="1:2" x14ac:dyDescent="0.25">
      <c r="A16872"/>
      <c r="B16872"/>
    </row>
    <row r="16873" spans="1:2" x14ac:dyDescent="0.25">
      <c r="A16873"/>
      <c r="B16873"/>
    </row>
    <row r="16874" spans="1:2" x14ac:dyDescent="0.25">
      <c r="A16874"/>
      <c r="B16874"/>
    </row>
    <row r="16875" spans="1:2" x14ac:dyDescent="0.25">
      <c r="A16875"/>
      <c r="B16875"/>
    </row>
    <row r="16876" spans="1:2" x14ac:dyDescent="0.25">
      <c r="A16876"/>
      <c r="B16876"/>
    </row>
    <row r="16877" spans="1:2" x14ac:dyDescent="0.25">
      <c r="A16877"/>
      <c r="B16877"/>
    </row>
    <row r="16878" spans="1:2" x14ac:dyDescent="0.25">
      <c r="A16878"/>
      <c r="B16878"/>
    </row>
    <row r="16879" spans="1:2" x14ac:dyDescent="0.25">
      <c r="A16879"/>
      <c r="B16879"/>
    </row>
    <row r="16880" spans="1:2" x14ac:dyDescent="0.25">
      <c r="A16880"/>
      <c r="B16880"/>
    </row>
    <row r="16881" spans="1:2" x14ac:dyDescent="0.25">
      <c r="A16881"/>
      <c r="B16881"/>
    </row>
    <row r="16882" spans="1:2" x14ac:dyDescent="0.25">
      <c r="A16882"/>
      <c r="B16882"/>
    </row>
    <row r="16883" spans="1:2" x14ac:dyDescent="0.25">
      <c r="A16883"/>
      <c r="B16883"/>
    </row>
    <row r="16884" spans="1:2" x14ac:dyDescent="0.25">
      <c r="A16884"/>
      <c r="B16884"/>
    </row>
    <row r="16885" spans="1:2" x14ac:dyDescent="0.25">
      <c r="A16885"/>
      <c r="B16885"/>
    </row>
    <row r="16886" spans="1:2" x14ac:dyDescent="0.25">
      <c r="A16886"/>
      <c r="B16886"/>
    </row>
    <row r="16887" spans="1:2" x14ac:dyDescent="0.25">
      <c r="A16887"/>
      <c r="B16887"/>
    </row>
    <row r="16888" spans="1:2" x14ac:dyDescent="0.25">
      <c r="A16888"/>
      <c r="B16888"/>
    </row>
    <row r="16889" spans="1:2" x14ac:dyDescent="0.25">
      <c r="A16889"/>
      <c r="B16889"/>
    </row>
    <row r="16890" spans="1:2" x14ac:dyDescent="0.25">
      <c r="A16890"/>
      <c r="B16890"/>
    </row>
    <row r="16891" spans="1:2" x14ac:dyDescent="0.25">
      <c r="A16891"/>
      <c r="B16891"/>
    </row>
    <row r="16892" spans="1:2" x14ac:dyDescent="0.25">
      <c r="A16892"/>
      <c r="B16892"/>
    </row>
    <row r="16893" spans="1:2" x14ac:dyDescent="0.25">
      <c r="A16893"/>
      <c r="B16893"/>
    </row>
    <row r="16894" spans="1:2" x14ac:dyDescent="0.25">
      <c r="A16894"/>
      <c r="B16894"/>
    </row>
    <row r="16895" spans="1:2" x14ac:dyDescent="0.25">
      <c r="A16895"/>
      <c r="B16895"/>
    </row>
    <row r="16896" spans="1:2" x14ac:dyDescent="0.25">
      <c r="A16896"/>
      <c r="B16896"/>
    </row>
    <row r="16897" spans="1:2" x14ac:dyDescent="0.25">
      <c r="A16897"/>
      <c r="B16897"/>
    </row>
    <row r="16898" spans="1:2" x14ac:dyDescent="0.25">
      <c r="A16898"/>
      <c r="B16898"/>
    </row>
    <row r="16899" spans="1:2" x14ac:dyDescent="0.25">
      <c r="A16899"/>
      <c r="B16899"/>
    </row>
    <row r="16900" spans="1:2" x14ac:dyDescent="0.25">
      <c r="A16900"/>
      <c r="B16900"/>
    </row>
    <row r="16901" spans="1:2" x14ac:dyDescent="0.25">
      <c r="A16901"/>
      <c r="B16901"/>
    </row>
    <row r="16902" spans="1:2" x14ac:dyDescent="0.25">
      <c r="A16902"/>
      <c r="B16902"/>
    </row>
    <row r="16903" spans="1:2" x14ac:dyDescent="0.25">
      <c r="A16903"/>
      <c r="B16903"/>
    </row>
    <row r="16904" spans="1:2" x14ac:dyDescent="0.25">
      <c r="A16904"/>
      <c r="B16904"/>
    </row>
    <row r="16905" spans="1:2" x14ac:dyDescent="0.25">
      <c r="A16905"/>
      <c r="B16905"/>
    </row>
    <row r="16906" spans="1:2" x14ac:dyDescent="0.25">
      <c r="A16906"/>
      <c r="B16906"/>
    </row>
    <row r="16907" spans="1:2" x14ac:dyDescent="0.25">
      <c r="A16907"/>
      <c r="B16907"/>
    </row>
    <row r="16908" spans="1:2" x14ac:dyDescent="0.25">
      <c r="A16908"/>
      <c r="B16908"/>
    </row>
    <row r="16909" spans="1:2" x14ac:dyDescent="0.25">
      <c r="A16909"/>
      <c r="B16909"/>
    </row>
    <row r="16910" spans="1:2" x14ac:dyDescent="0.25">
      <c r="A16910"/>
      <c r="B16910"/>
    </row>
    <row r="16911" spans="1:2" x14ac:dyDescent="0.25">
      <c r="A16911"/>
      <c r="B16911"/>
    </row>
    <row r="16912" spans="1:2" x14ac:dyDescent="0.25">
      <c r="A16912"/>
      <c r="B16912"/>
    </row>
    <row r="16913" spans="1:2" x14ac:dyDescent="0.25">
      <c r="A16913"/>
      <c r="B16913"/>
    </row>
    <row r="16914" spans="1:2" x14ac:dyDescent="0.25">
      <c r="A16914"/>
      <c r="B16914"/>
    </row>
    <row r="16915" spans="1:2" x14ac:dyDescent="0.25">
      <c r="A16915"/>
      <c r="B16915"/>
    </row>
    <row r="16916" spans="1:2" x14ac:dyDescent="0.25">
      <c r="A16916"/>
      <c r="B16916"/>
    </row>
    <row r="16917" spans="1:2" x14ac:dyDescent="0.25">
      <c r="A16917"/>
      <c r="B16917"/>
    </row>
    <row r="16918" spans="1:2" x14ac:dyDescent="0.25">
      <c r="A16918"/>
      <c r="B16918"/>
    </row>
    <row r="16919" spans="1:2" x14ac:dyDescent="0.25">
      <c r="A16919"/>
      <c r="B16919"/>
    </row>
    <row r="16920" spans="1:2" x14ac:dyDescent="0.25">
      <c r="A16920"/>
      <c r="B16920"/>
    </row>
    <row r="16921" spans="1:2" x14ac:dyDescent="0.25">
      <c r="A16921"/>
      <c r="B16921"/>
    </row>
    <row r="16922" spans="1:2" x14ac:dyDescent="0.25">
      <c r="A16922"/>
      <c r="B16922"/>
    </row>
    <row r="16923" spans="1:2" x14ac:dyDescent="0.25">
      <c r="A16923"/>
      <c r="B16923"/>
    </row>
    <row r="16924" spans="1:2" x14ac:dyDescent="0.25">
      <c r="A16924"/>
      <c r="B16924"/>
    </row>
    <row r="16925" spans="1:2" x14ac:dyDescent="0.25">
      <c r="A16925"/>
      <c r="B16925"/>
    </row>
    <row r="16926" spans="1:2" x14ac:dyDescent="0.25">
      <c r="A16926"/>
      <c r="B16926"/>
    </row>
    <row r="16927" spans="1:2" x14ac:dyDescent="0.25">
      <c r="A16927"/>
      <c r="B16927"/>
    </row>
    <row r="16928" spans="1:2" x14ac:dyDescent="0.25">
      <c r="A16928"/>
      <c r="B16928"/>
    </row>
    <row r="16929" spans="1:2" x14ac:dyDescent="0.25">
      <c r="A16929"/>
      <c r="B16929"/>
    </row>
    <row r="16930" spans="1:2" x14ac:dyDescent="0.25">
      <c r="A16930"/>
      <c r="B16930"/>
    </row>
    <row r="16931" spans="1:2" x14ac:dyDescent="0.25">
      <c r="A16931"/>
      <c r="B16931"/>
    </row>
    <row r="16932" spans="1:2" x14ac:dyDescent="0.25">
      <c r="A16932"/>
      <c r="B16932"/>
    </row>
    <row r="16933" spans="1:2" x14ac:dyDescent="0.25">
      <c r="A16933"/>
      <c r="B16933"/>
    </row>
    <row r="16934" spans="1:2" x14ac:dyDescent="0.25">
      <c r="A16934"/>
      <c r="B16934"/>
    </row>
    <row r="16935" spans="1:2" x14ac:dyDescent="0.25">
      <c r="A16935"/>
      <c r="B16935"/>
    </row>
    <row r="16936" spans="1:2" x14ac:dyDescent="0.25">
      <c r="A16936"/>
      <c r="B16936"/>
    </row>
    <row r="16937" spans="1:2" x14ac:dyDescent="0.25">
      <c r="A16937"/>
      <c r="B16937"/>
    </row>
    <row r="16938" spans="1:2" x14ac:dyDescent="0.25">
      <c r="A16938"/>
      <c r="B16938"/>
    </row>
    <row r="16939" spans="1:2" x14ac:dyDescent="0.25">
      <c r="A16939"/>
      <c r="B16939"/>
    </row>
    <row r="16940" spans="1:2" x14ac:dyDescent="0.25">
      <c r="A16940"/>
      <c r="B16940"/>
    </row>
    <row r="16941" spans="1:2" x14ac:dyDescent="0.25">
      <c r="A16941"/>
      <c r="B16941"/>
    </row>
    <row r="16942" spans="1:2" x14ac:dyDescent="0.25">
      <c r="A16942"/>
      <c r="B16942"/>
    </row>
    <row r="16943" spans="1:2" x14ac:dyDescent="0.25">
      <c r="A16943"/>
      <c r="B16943"/>
    </row>
    <row r="16944" spans="1:2" x14ac:dyDescent="0.25">
      <c r="A16944"/>
      <c r="B16944"/>
    </row>
    <row r="16945" spans="1:2" x14ac:dyDescent="0.25">
      <c r="A16945"/>
      <c r="B16945"/>
    </row>
    <row r="16946" spans="1:2" x14ac:dyDescent="0.25">
      <c r="A16946"/>
      <c r="B16946"/>
    </row>
    <row r="16947" spans="1:2" x14ac:dyDescent="0.25">
      <c r="A16947"/>
      <c r="B16947"/>
    </row>
    <row r="16948" spans="1:2" x14ac:dyDescent="0.25">
      <c r="A16948"/>
      <c r="B16948"/>
    </row>
    <row r="16949" spans="1:2" x14ac:dyDescent="0.25">
      <c r="A16949"/>
      <c r="B16949"/>
    </row>
    <row r="16950" spans="1:2" x14ac:dyDescent="0.25">
      <c r="A16950"/>
      <c r="B16950"/>
    </row>
    <row r="16951" spans="1:2" x14ac:dyDescent="0.25">
      <c r="A16951"/>
      <c r="B16951"/>
    </row>
    <row r="16952" spans="1:2" x14ac:dyDescent="0.25">
      <c r="A16952"/>
      <c r="B16952"/>
    </row>
    <row r="16953" spans="1:2" x14ac:dyDescent="0.25">
      <c r="A16953"/>
      <c r="B16953"/>
    </row>
    <row r="16954" spans="1:2" x14ac:dyDescent="0.25">
      <c r="A16954"/>
      <c r="B16954"/>
    </row>
    <row r="16955" spans="1:2" x14ac:dyDescent="0.25">
      <c r="A16955"/>
      <c r="B16955"/>
    </row>
    <row r="16956" spans="1:2" x14ac:dyDescent="0.25">
      <c r="A16956"/>
      <c r="B16956"/>
    </row>
    <row r="16957" spans="1:2" x14ac:dyDescent="0.25">
      <c r="A16957"/>
      <c r="B16957"/>
    </row>
    <row r="16958" spans="1:2" x14ac:dyDescent="0.25">
      <c r="A16958"/>
      <c r="B16958"/>
    </row>
    <row r="16959" spans="1:2" x14ac:dyDescent="0.25">
      <c r="A16959"/>
      <c r="B16959"/>
    </row>
    <row r="16960" spans="1:2" x14ac:dyDescent="0.25">
      <c r="A16960"/>
      <c r="B16960"/>
    </row>
    <row r="16961" spans="1:2" x14ac:dyDescent="0.25">
      <c r="A16961"/>
      <c r="B16961"/>
    </row>
    <row r="16962" spans="1:2" x14ac:dyDescent="0.25">
      <c r="A16962"/>
      <c r="B16962"/>
    </row>
    <row r="16963" spans="1:2" x14ac:dyDescent="0.25">
      <c r="A16963"/>
      <c r="B16963"/>
    </row>
    <row r="16964" spans="1:2" x14ac:dyDescent="0.25">
      <c r="A16964"/>
      <c r="B16964"/>
    </row>
    <row r="16965" spans="1:2" x14ac:dyDescent="0.25">
      <c r="A16965"/>
      <c r="B16965"/>
    </row>
    <row r="16966" spans="1:2" x14ac:dyDescent="0.25">
      <c r="A16966"/>
      <c r="B16966"/>
    </row>
    <row r="16967" spans="1:2" x14ac:dyDescent="0.25">
      <c r="A16967"/>
      <c r="B16967"/>
    </row>
    <row r="16968" spans="1:2" x14ac:dyDescent="0.25">
      <c r="A16968"/>
      <c r="B16968"/>
    </row>
    <row r="16969" spans="1:2" x14ac:dyDescent="0.25">
      <c r="A16969"/>
      <c r="B16969"/>
    </row>
    <row r="16970" spans="1:2" x14ac:dyDescent="0.25">
      <c r="A16970"/>
      <c r="B16970"/>
    </row>
    <row r="16971" spans="1:2" x14ac:dyDescent="0.25">
      <c r="A16971"/>
      <c r="B16971"/>
    </row>
    <row r="16972" spans="1:2" x14ac:dyDescent="0.25">
      <c r="A16972"/>
      <c r="B16972"/>
    </row>
    <row r="16973" spans="1:2" x14ac:dyDescent="0.25">
      <c r="A16973"/>
      <c r="B16973"/>
    </row>
    <row r="16974" spans="1:2" x14ac:dyDescent="0.25">
      <c r="A16974"/>
      <c r="B16974"/>
    </row>
    <row r="16975" spans="1:2" x14ac:dyDescent="0.25">
      <c r="A16975"/>
      <c r="B16975"/>
    </row>
    <row r="16976" spans="1:2" x14ac:dyDescent="0.25">
      <c r="A16976"/>
      <c r="B16976"/>
    </row>
    <row r="16977" spans="1:2" x14ac:dyDescent="0.25">
      <c r="A16977"/>
      <c r="B16977"/>
    </row>
    <row r="16978" spans="1:2" x14ac:dyDescent="0.25">
      <c r="A16978"/>
      <c r="B16978"/>
    </row>
    <row r="16979" spans="1:2" x14ac:dyDescent="0.25">
      <c r="A16979"/>
      <c r="B16979"/>
    </row>
    <row r="16980" spans="1:2" x14ac:dyDescent="0.25">
      <c r="A16980"/>
      <c r="B16980"/>
    </row>
    <row r="16981" spans="1:2" x14ac:dyDescent="0.25">
      <c r="A16981"/>
      <c r="B16981"/>
    </row>
    <row r="16982" spans="1:2" x14ac:dyDescent="0.25">
      <c r="A16982"/>
      <c r="B16982"/>
    </row>
    <row r="16983" spans="1:2" x14ac:dyDescent="0.25">
      <c r="A16983"/>
      <c r="B16983"/>
    </row>
    <row r="16984" spans="1:2" x14ac:dyDescent="0.25">
      <c r="A16984"/>
      <c r="B16984"/>
    </row>
    <row r="16985" spans="1:2" x14ac:dyDescent="0.25">
      <c r="A16985"/>
      <c r="B16985"/>
    </row>
    <row r="16986" spans="1:2" x14ac:dyDescent="0.25">
      <c r="A16986"/>
      <c r="B16986"/>
    </row>
    <row r="16987" spans="1:2" x14ac:dyDescent="0.25">
      <c r="A16987"/>
      <c r="B16987"/>
    </row>
    <row r="16988" spans="1:2" x14ac:dyDescent="0.25">
      <c r="A16988"/>
      <c r="B16988"/>
    </row>
    <row r="16989" spans="1:2" x14ac:dyDescent="0.25">
      <c r="A16989"/>
      <c r="B16989"/>
    </row>
    <row r="16990" spans="1:2" x14ac:dyDescent="0.25">
      <c r="A16990"/>
      <c r="B16990"/>
    </row>
    <row r="16991" spans="1:2" x14ac:dyDescent="0.25">
      <c r="A16991"/>
      <c r="B16991"/>
    </row>
    <row r="16992" spans="1:2" x14ac:dyDescent="0.25">
      <c r="A16992"/>
      <c r="B16992"/>
    </row>
    <row r="16993" spans="1:2" x14ac:dyDescent="0.25">
      <c r="A16993"/>
      <c r="B16993"/>
    </row>
    <row r="16994" spans="1:2" x14ac:dyDescent="0.25">
      <c r="A16994"/>
      <c r="B16994"/>
    </row>
    <row r="16995" spans="1:2" x14ac:dyDescent="0.25">
      <c r="A16995"/>
      <c r="B16995"/>
    </row>
    <row r="16996" spans="1:2" x14ac:dyDescent="0.25">
      <c r="A16996"/>
      <c r="B16996"/>
    </row>
    <row r="16997" spans="1:2" x14ac:dyDescent="0.25">
      <c r="A16997"/>
      <c r="B16997"/>
    </row>
    <row r="16998" spans="1:2" x14ac:dyDescent="0.25">
      <c r="A16998"/>
      <c r="B16998"/>
    </row>
    <row r="16999" spans="1:2" x14ac:dyDescent="0.25">
      <c r="A16999"/>
      <c r="B16999"/>
    </row>
    <row r="17000" spans="1:2" x14ac:dyDescent="0.25">
      <c r="A17000"/>
      <c r="B17000"/>
    </row>
    <row r="17001" spans="1:2" x14ac:dyDescent="0.25">
      <c r="A17001"/>
      <c r="B17001"/>
    </row>
    <row r="17002" spans="1:2" x14ac:dyDescent="0.25">
      <c r="A17002"/>
      <c r="B17002"/>
    </row>
    <row r="17003" spans="1:2" x14ac:dyDescent="0.25">
      <c r="A17003"/>
      <c r="B17003"/>
    </row>
    <row r="17004" spans="1:2" x14ac:dyDescent="0.25">
      <c r="A17004"/>
      <c r="B17004"/>
    </row>
    <row r="17005" spans="1:2" x14ac:dyDescent="0.25">
      <c r="A17005"/>
      <c r="B17005"/>
    </row>
    <row r="17006" spans="1:2" x14ac:dyDescent="0.25">
      <c r="A17006"/>
      <c r="B17006"/>
    </row>
    <row r="17007" spans="1:2" x14ac:dyDescent="0.25">
      <c r="A17007"/>
      <c r="B17007"/>
    </row>
    <row r="17008" spans="1:2" x14ac:dyDescent="0.25">
      <c r="A17008"/>
      <c r="B17008"/>
    </row>
    <row r="17009" spans="1:2" x14ac:dyDescent="0.25">
      <c r="A17009"/>
      <c r="B17009"/>
    </row>
    <row r="17010" spans="1:2" x14ac:dyDescent="0.25">
      <c r="A17010"/>
      <c r="B17010"/>
    </row>
    <row r="17011" spans="1:2" x14ac:dyDescent="0.25">
      <c r="A17011"/>
      <c r="B17011"/>
    </row>
    <row r="17012" spans="1:2" x14ac:dyDescent="0.25">
      <c r="A17012"/>
      <c r="B17012"/>
    </row>
    <row r="17013" spans="1:2" x14ac:dyDescent="0.25">
      <c r="A17013"/>
      <c r="B17013"/>
    </row>
    <row r="17014" spans="1:2" x14ac:dyDescent="0.25">
      <c r="A17014"/>
      <c r="B17014"/>
    </row>
    <row r="17015" spans="1:2" x14ac:dyDescent="0.25">
      <c r="A17015"/>
      <c r="B17015"/>
    </row>
    <row r="17016" spans="1:2" x14ac:dyDescent="0.25">
      <c r="A17016"/>
      <c r="B17016"/>
    </row>
    <row r="17017" spans="1:2" x14ac:dyDescent="0.25">
      <c r="A17017"/>
      <c r="B17017"/>
    </row>
    <row r="17018" spans="1:2" x14ac:dyDescent="0.25">
      <c r="A17018"/>
      <c r="B17018"/>
    </row>
    <row r="17019" spans="1:2" x14ac:dyDescent="0.25">
      <c r="A17019"/>
      <c r="B17019"/>
    </row>
    <row r="17020" spans="1:2" x14ac:dyDescent="0.25">
      <c r="A17020"/>
      <c r="B17020"/>
    </row>
    <row r="17021" spans="1:2" x14ac:dyDescent="0.25">
      <c r="A17021"/>
      <c r="B17021"/>
    </row>
    <row r="17022" spans="1:2" x14ac:dyDescent="0.25">
      <c r="A17022"/>
      <c r="B17022"/>
    </row>
    <row r="17023" spans="1:2" x14ac:dyDescent="0.25">
      <c r="A17023"/>
      <c r="B17023"/>
    </row>
    <row r="17024" spans="1:2" x14ac:dyDescent="0.25">
      <c r="A17024"/>
      <c r="B17024"/>
    </row>
    <row r="17025" spans="1:2" x14ac:dyDescent="0.25">
      <c r="A17025"/>
      <c r="B17025"/>
    </row>
    <row r="17026" spans="1:2" x14ac:dyDescent="0.25">
      <c r="A17026"/>
      <c r="B17026"/>
    </row>
    <row r="17027" spans="1:2" x14ac:dyDescent="0.25">
      <c r="A17027"/>
      <c r="B17027"/>
    </row>
    <row r="17028" spans="1:2" x14ac:dyDescent="0.25">
      <c r="A17028"/>
      <c r="B17028"/>
    </row>
    <row r="17029" spans="1:2" x14ac:dyDescent="0.25">
      <c r="A17029"/>
      <c r="B17029"/>
    </row>
    <row r="17030" spans="1:2" x14ac:dyDescent="0.25">
      <c r="A17030"/>
      <c r="B17030"/>
    </row>
    <row r="17031" spans="1:2" x14ac:dyDescent="0.25">
      <c r="A17031"/>
      <c r="B17031"/>
    </row>
    <row r="17032" spans="1:2" x14ac:dyDescent="0.25">
      <c r="A17032"/>
      <c r="B17032"/>
    </row>
    <row r="17033" spans="1:2" x14ac:dyDescent="0.25">
      <c r="A17033"/>
      <c r="B17033"/>
    </row>
    <row r="17034" spans="1:2" x14ac:dyDescent="0.25">
      <c r="A17034"/>
      <c r="B17034"/>
    </row>
    <row r="17035" spans="1:2" x14ac:dyDescent="0.25">
      <c r="A17035"/>
      <c r="B17035"/>
    </row>
    <row r="17036" spans="1:2" x14ac:dyDescent="0.25">
      <c r="A17036"/>
      <c r="B17036"/>
    </row>
    <row r="17037" spans="1:2" x14ac:dyDescent="0.25">
      <c r="A17037"/>
      <c r="B17037"/>
    </row>
    <row r="17038" spans="1:2" x14ac:dyDescent="0.25">
      <c r="A17038"/>
      <c r="B17038"/>
    </row>
    <row r="17039" spans="1:2" x14ac:dyDescent="0.25">
      <c r="A17039"/>
      <c r="B17039"/>
    </row>
    <row r="17040" spans="1:2" x14ac:dyDescent="0.25">
      <c r="A17040"/>
      <c r="B17040"/>
    </row>
    <row r="17041" spans="1:2" x14ac:dyDescent="0.25">
      <c r="A17041"/>
      <c r="B17041"/>
    </row>
    <row r="17042" spans="1:2" x14ac:dyDescent="0.25">
      <c r="A17042"/>
      <c r="B17042"/>
    </row>
    <row r="17043" spans="1:2" x14ac:dyDescent="0.25">
      <c r="A17043"/>
      <c r="B17043"/>
    </row>
    <row r="17044" spans="1:2" x14ac:dyDescent="0.25">
      <c r="A17044"/>
      <c r="B17044"/>
    </row>
    <row r="17045" spans="1:2" x14ac:dyDescent="0.25">
      <c r="A17045"/>
      <c r="B17045"/>
    </row>
    <row r="17046" spans="1:2" x14ac:dyDescent="0.25">
      <c r="A17046"/>
      <c r="B17046"/>
    </row>
    <row r="17047" spans="1:2" x14ac:dyDescent="0.25">
      <c r="A17047"/>
      <c r="B17047"/>
    </row>
    <row r="17048" spans="1:2" x14ac:dyDescent="0.25">
      <c r="A17048"/>
      <c r="B17048"/>
    </row>
    <row r="17049" spans="1:2" x14ac:dyDescent="0.25">
      <c r="A17049"/>
      <c r="B17049"/>
    </row>
    <row r="17050" spans="1:2" x14ac:dyDescent="0.25">
      <c r="A17050"/>
      <c r="B17050"/>
    </row>
    <row r="17051" spans="1:2" x14ac:dyDescent="0.25">
      <c r="A17051"/>
      <c r="B17051"/>
    </row>
    <row r="17052" spans="1:2" x14ac:dyDescent="0.25">
      <c r="A17052"/>
      <c r="B17052"/>
    </row>
    <row r="17053" spans="1:2" x14ac:dyDescent="0.25">
      <c r="A17053"/>
      <c r="B17053"/>
    </row>
    <row r="17054" spans="1:2" x14ac:dyDescent="0.25">
      <c r="A17054"/>
      <c r="B17054"/>
    </row>
    <row r="17055" spans="1:2" x14ac:dyDescent="0.25">
      <c r="A17055"/>
      <c r="B17055"/>
    </row>
    <row r="17056" spans="1:2" x14ac:dyDescent="0.25">
      <c r="A17056"/>
      <c r="B17056"/>
    </row>
    <row r="17057" spans="1:2" x14ac:dyDescent="0.25">
      <c r="A17057"/>
      <c r="B17057"/>
    </row>
    <row r="17058" spans="1:2" x14ac:dyDescent="0.25">
      <c r="A17058"/>
      <c r="B17058"/>
    </row>
    <row r="17059" spans="1:2" x14ac:dyDescent="0.25">
      <c r="A17059"/>
      <c r="B17059"/>
    </row>
    <row r="17060" spans="1:2" x14ac:dyDescent="0.25">
      <c r="A17060"/>
      <c r="B17060"/>
    </row>
    <row r="17061" spans="1:2" x14ac:dyDescent="0.25">
      <c r="A17061"/>
      <c r="B17061"/>
    </row>
    <row r="17062" spans="1:2" x14ac:dyDescent="0.25">
      <c r="A17062"/>
      <c r="B17062"/>
    </row>
    <row r="17063" spans="1:2" x14ac:dyDescent="0.25">
      <c r="A17063"/>
      <c r="B17063"/>
    </row>
    <row r="17064" spans="1:2" x14ac:dyDescent="0.25">
      <c r="A17064"/>
      <c r="B17064"/>
    </row>
    <row r="17065" spans="1:2" x14ac:dyDescent="0.25">
      <c r="A17065"/>
      <c r="B17065"/>
    </row>
    <row r="17066" spans="1:2" x14ac:dyDescent="0.25">
      <c r="A17066"/>
      <c r="B17066"/>
    </row>
    <row r="17067" spans="1:2" x14ac:dyDescent="0.25">
      <c r="A17067"/>
      <c r="B17067"/>
    </row>
    <row r="17068" spans="1:2" x14ac:dyDescent="0.25">
      <c r="A17068"/>
      <c r="B17068"/>
    </row>
    <row r="17069" spans="1:2" x14ac:dyDescent="0.25">
      <c r="A17069"/>
      <c r="B17069"/>
    </row>
    <row r="17070" spans="1:2" x14ac:dyDescent="0.25">
      <c r="A17070"/>
      <c r="B17070"/>
    </row>
    <row r="17071" spans="1:2" x14ac:dyDescent="0.25">
      <c r="A17071"/>
      <c r="B17071"/>
    </row>
    <row r="17072" spans="1:2" x14ac:dyDescent="0.25">
      <c r="A17072"/>
      <c r="B17072"/>
    </row>
    <row r="17073" spans="1:2" x14ac:dyDescent="0.25">
      <c r="A17073"/>
      <c r="B17073"/>
    </row>
    <row r="17074" spans="1:2" x14ac:dyDescent="0.25">
      <c r="A17074"/>
      <c r="B17074"/>
    </row>
    <row r="17075" spans="1:2" x14ac:dyDescent="0.25">
      <c r="A17075"/>
      <c r="B17075"/>
    </row>
    <row r="17076" spans="1:2" x14ac:dyDescent="0.25">
      <c r="A17076"/>
      <c r="B17076"/>
    </row>
    <row r="17077" spans="1:2" x14ac:dyDescent="0.25">
      <c r="A17077"/>
      <c r="B17077"/>
    </row>
    <row r="17078" spans="1:2" x14ac:dyDescent="0.25">
      <c r="A17078"/>
      <c r="B17078"/>
    </row>
    <row r="17079" spans="1:2" x14ac:dyDescent="0.25">
      <c r="A17079"/>
      <c r="B17079"/>
    </row>
    <row r="17080" spans="1:2" x14ac:dyDescent="0.25">
      <c r="A17080"/>
      <c r="B17080"/>
    </row>
    <row r="17081" spans="1:2" x14ac:dyDescent="0.25">
      <c r="A17081"/>
      <c r="B17081"/>
    </row>
    <row r="17082" spans="1:2" x14ac:dyDescent="0.25">
      <c r="A17082"/>
      <c r="B17082"/>
    </row>
    <row r="17083" spans="1:2" x14ac:dyDescent="0.25">
      <c r="A17083"/>
      <c r="B17083"/>
    </row>
    <row r="17084" spans="1:2" x14ac:dyDescent="0.25">
      <c r="A17084"/>
      <c r="B17084"/>
    </row>
    <row r="17085" spans="1:2" x14ac:dyDescent="0.25">
      <c r="A17085"/>
      <c r="B17085"/>
    </row>
    <row r="17086" spans="1:2" x14ac:dyDescent="0.25">
      <c r="A17086"/>
      <c r="B17086"/>
    </row>
    <row r="17087" spans="1:2" x14ac:dyDescent="0.25">
      <c r="A17087"/>
      <c r="B17087"/>
    </row>
    <row r="17088" spans="1:2" x14ac:dyDescent="0.25">
      <c r="A17088"/>
      <c r="B17088"/>
    </row>
    <row r="17089" spans="1:2" x14ac:dyDescent="0.25">
      <c r="A17089"/>
      <c r="B17089"/>
    </row>
    <row r="17090" spans="1:2" x14ac:dyDescent="0.25">
      <c r="A17090"/>
      <c r="B17090"/>
    </row>
    <row r="17091" spans="1:2" x14ac:dyDescent="0.25">
      <c r="A17091"/>
      <c r="B17091"/>
    </row>
    <row r="17092" spans="1:2" x14ac:dyDescent="0.25">
      <c r="A17092"/>
      <c r="B17092"/>
    </row>
    <row r="17093" spans="1:2" x14ac:dyDescent="0.25">
      <c r="A17093"/>
      <c r="B17093"/>
    </row>
    <row r="17094" spans="1:2" x14ac:dyDescent="0.25">
      <c r="A17094"/>
      <c r="B17094"/>
    </row>
    <row r="17095" spans="1:2" x14ac:dyDescent="0.25">
      <c r="A17095"/>
      <c r="B17095"/>
    </row>
    <row r="17096" spans="1:2" x14ac:dyDescent="0.25">
      <c r="A17096"/>
      <c r="B17096"/>
    </row>
    <row r="17097" spans="1:2" x14ac:dyDescent="0.25">
      <c r="A17097"/>
      <c r="B17097"/>
    </row>
    <row r="17098" spans="1:2" x14ac:dyDescent="0.25">
      <c r="A17098"/>
      <c r="B17098"/>
    </row>
    <row r="17099" spans="1:2" x14ac:dyDescent="0.25">
      <c r="A17099"/>
      <c r="B17099"/>
    </row>
    <row r="17100" spans="1:2" x14ac:dyDescent="0.25">
      <c r="A17100"/>
      <c r="B17100"/>
    </row>
    <row r="17101" spans="1:2" x14ac:dyDescent="0.25">
      <c r="A17101"/>
      <c r="B17101"/>
    </row>
    <row r="17102" spans="1:2" x14ac:dyDescent="0.25">
      <c r="A17102"/>
      <c r="B17102"/>
    </row>
    <row r="17103" spans="1:2" x14ac:dyDescent="0.25">
      <c r="A17103"/>
      <c r="B17103"/>
    </row>
    <row r="17104" spans="1:2" x14ac:dyDescent="0.25">
      <c r="A17104"/>
      <c r="B17104"/>
    </row>
    <row r="17105" spans="1:2" x14ac:dyDescent="0.25">
      <c r="A17105"/>
      <c r="B17105"/>
    </row>
    <row r="17106" spans="1:2" x14ac:dyDescent="0.25">
      <c r="A17106"/>
      <c r="B17106"/>
    </row>
    <row r="17107" spans="1:2" x14ac:dyDescent="0.25">
      <c r="A17107"/>
      <c r="B17107"/>
    </row>
    <row r="17108" spans="1:2" x14ac:dyDescent="0.25">
      <c r="A17108"/>
      <c r="B17108"/>
    </row>
    <row r="17109" spans="1:2" x14ac:dyDescent="0.25">
      <c r="A17109"/>
      <c r="B17109"/>
    </row>
    <row r="17110" spans="1:2" x14ac:dyDescent="0.25">
      <c r="A17110"/>
      <c r="B17110"/>
    </row>
    <row r="17111" spans="1:2" x14ac:dyDescent="0.25">
      <c r="A17111"/>
      <c r="B17111"/>
    </row>
    <row r="17112" spans="1:2" x14ac:dyDescent="0.25">
      <c r="A17112"/>
      <c r="B17112"/>
    </row>
    <row r="17113" spans="1:2" x14ac:dyDescent="0.25">
      <c r="A17113"/>
      <c r="B17113"/>
    </row>
    <row r="17114" spans="1:2" x14ac:dyDescent="0.25">
      <c r="A17114"/>
      <c r="B17114"/>
    </row>
    <row r="17115" spans="1:2" x14ac:dyDescent="0.25">
      <c r="A17115"/>
      <c r="B17115"/>
    </row>
    <row r="17116" spans="1:2" x14ac:dyDescent="0.25">
      <c r="A17116"/>
      <c r="B17116"/>
    </row>
    <row r="17117" spans="1:2" x14ac:dyDescent="0.25">
      <c r="A17117"/>
      <c r="B17117"/>
    </row>
    <row r="17118" spans="1:2" x14ac:dyDescent="0.25">
      <c r="A17118"/>
      <c r="B17118"/>
    </row>
    <row r="17119" spans="1:2" x14ac:dyDescent="0.25">
      <c r="A17119"/>
      <c r="B17119"/>
    </row>
    <row r="17120" spans="1:2" x14ac:dyDescent="0.25">
      <c r="A17120"/>
      <c r="B17120"/>
    </row>
    <row r="17121" spans="1:2" x14ac:dyDescent="0.25">
      <c r="A17121"/>
      <c r="B17121"/>
    </row>
    <row r="17122" spans="1:2" x14ac:dyDescent="0.25">
      <c r="A17122"/>
      <c r="B17122"/>
    </row>
    <row r="17123" spans="1:2" x14ac:dyDescent="0.25">
      <c r="A17123"/>
      <c r="B17123"/>
    </row>
    <row r="17124" spans="1:2" x14ac:dyDescent="0.25">
      <c r="A17124"/>
      <c r="B17124"/>
    </row>
    <row r="17125" spans="1:2" x14ac:dyDescent="0.25">
      <c r="A17125"/>
      <c r="B17125"/>
    </row>
    <row r="17126" spans="1:2" x14ac:dyDescent="0.25">
      <c r="A17126"/>
      <c r="B17126"/>
    </row>
    <row r="17127" spans="1:2" x14ac:dyDescent="0.25">
      <c r="A17127"/>
      <c r="B17127"/>
    </row>
    <row r="17128" spans="1:2" x14ac:dyDescent="0.25">
      <c r="A17128"/>
      <c r="B17128"/>
    </row>
    <row r="17129" spans="1:2" x14ac:dyDescent="0.25">
      <c r="A17129"/>
      <c r="B17129"/>
    </row>
    <row r="17130" spans="1:2" x14ac:dyDescent="0.25">
      <c r="A17130"/>
      <c r="B17130"/>
    </row>
    <row r="17131" spans="1:2" x14ac:dyDescent="0.25">
      <c r="A17131"/>
      <c r="B17131"/>
    </row>
    <row r="17132" spans="1:2" x14ac:dyDescent="0.25">
      <c r="A17132"/>
      <c r="B17132"/>
    </row>
    <row r="17133" spans="1:2" x14ac:dyDescent="0.25">
      <c r="A17133"/>
      <c r="B17133"/>
    </row>
    <row r="17134" spans="1:2" x14ac:dyDescent="0.25">
      <c r="A17134"/>
      <c r="B17134"/>
    </row>
    <row r="17135" spans="1:2" x14ac:dyDescent="0.25">
      <c r="A17135"/>
      <c r="B17135"/>
    </row>
    <row r="17136" spans="1:2" x14ac:dyDescent="0.25">
      <c r="A17136"/>
      <c r="B17136"/>
    </row>
    <row r="17137" spans="1:2" x14ac:dyDescent="0.25">
      <c r="A17137"/>
      <c r="B17137"/>
    </row>
    <row r="17138" spans="1:2" x14ac:dyDescent="0.25">
      <c r="A17138"/>
      <c r="B17138"/>
    </row>
    <row r="17139" spans="1:2" x14ac:dyDescent="0.25">
      <c r="A17139"/>
      <c r="B17139"/>
    </row>
    <row r="17140" spans="1:2" x14ac:dyDescent="0.25">
      <c r="A17140"/>
      <c r="B17140"/>
    </row>
    <row r="17141" spans="1:2" x14ac:dyDescent="0.25">
      <c r="A17141"/>
      <c r="B17141"/>
    </row>
    <row r="17142" spans="1:2" x14ac:dyDescent="0.25">
      <c r="A17142"/>
      <c r="B17142"/>
    </row>
    <row r="17143" spans="1:2" x14ac:dyDescent="0.25">
      <c r="A17143"/>
      <c r="B17143"/>
    </row>
    <row r="17144" spans="1:2" x14ac:dyDescent="0.25">
      <c r="A17144"/>
      <c r="B17144"/>
    </row>
    <row r="17145" spans="1:2" x14ac:dyDescent="0.25">
      <c r="A17145"/>
      <c r="B17145"/>
    </row>
    <row r="17146" spans="1:2" x14ac:dyDescent="0.25">
      <c r="A17146"/>
      <c r="B17146"/>
    </row>
    <row r="17147" spans="1:2" x14ac:dyDescent="0.25">
      <c r="A17147"/>
      <c r="B17147"/>
    </row>
    <row r="17148" spans="1:2" x14ac:dyDescent="0.25">
      <c r="A17148"/>
      <c r="B17148"/>
    </row>
    <row r="17149" spans="1:2" x14ac:dyDescent="0.25">
      <c r="A17149"/>
      <c r="B17149"/>
    </row>
    <row r="17150" spans="1:2" x14ac:dyDescent="0.25">
      <c r="A17150"/>
      <c r="B17150"/>
    </row>
    <row r="17151" spans="1:2" x14ac:dyDescent="0.25">
      <c r="A17151"/>
      <c r="B17151"/>
    </row>
    <row r="17152" spans="1:2" x14ac:dyDescent="0.25">
      <c r="A17152"/>
      <c r="B17152"/>
    </row>
    <row r="17153" spans="1:2" x14ac:dyDescent="0.25">
      <c r="A17153"/>
      <c r="B17153"/>
    </row>
    <row r="17154" spans="1:2" x14ac:dyDescent="0.25">
      <c r="A17154"/>
      <c r="B17154"/>
    </row>
    <row r="17155" spans="1:2" x14ac:dyDescent="0.25">
      <c r="A17155"/>
      <c r="B17155"/>
    </row>
    <row r="17156" spans="1:2" x14ac:dyDescent="0.25">
      <c r="A17156"/>
      <c r="B17156"/>
    </row>
    <row r="17157" spans="1:2" x14ac:dyDescent="0.25">
      <c r="A17157"/>
      <c r="B17157"/>
    </row>
    <row r="17158" spans="1:2" x14ac:dyDescent="0.25">
      <c r="A17158"/>
      <c r="B17158"/>
    </row>
    <row r="17159" spans="1:2" x14ac:dyDescent="0.25">
      <c r="A17159"/>
      <c r="B17159"/>
    </row>
    <row r="17160" spans="1:2" x14ac:dyDescent="0.25">
      <c r="A17160"/>
      <c r="B17160"/>
    </row>
    <row r="17161" spans="1:2" x14ac:dyDescent="0.25">
      <c r="A17161"/>
      <c r="B17161"/>
    </row>
    <row r="17162" spans="1:2" x14ac:dyDescent="0.25">
      <c r="A17162"/>
      <c r="B17162"/>
    </row>
    <row r="17163" spans="1:2" x14ac:dyDescent="0.25">
      <c r="A17163"/>
      <c r="B17163"/>
    </row>
    <row r="17164" spans="1:2" x14ac:dyDescent="0.25">
      <c r="A17164"/>
      <c r="B17164"/>
    </row>
    <row r="17165" spans="1:2" x14ac:dyDescent="0.25">
      <c r="A17165"/>
      <c r="B17165"/>
    </row>
    <row r="17166" spans="1:2" x14ac:dyDescent="0.25">
      <c r="A17166"/>
      <c r="B17166"/>
    </row>
    <row r="17167" spans="1:2" x14ac:dyDescent="0.25">
      <c r="A17167"/>
      <c r="B17167"/>
    </row>
    <row r="17168" spans="1:2" x14ac:dyDescent="0.25">
      <c r="A17168"/>
      <c r="B17168"/>
    </row>
    <row r="17169" spans="1:2" x14ac:dyDescent="0.25">
      <c r="A17169"/>
      <c r="B17169"/>
    </row>
    <row r="17170" spans="1:2" x14ac:dyDescent="0.25">
      <c r="A17170"/>
      <c r="B17170"/>
    </row>
    <row r="17171" spans="1:2" x14ac:dyDescent="0.25">
      <c r="A17171"/>
      <c r="B17171"/>
    </row>
    <row r="17172" spans="1:2" x14ac:dyDescent="0.25">
      <c r="A17172"/>
      <c r="B17172"/>
    </row>
    <row r="17173" spans="1:2" x14ac:dyDescent="0.25">
      <c r="A17173"/>
      <c r="B17173"/>
    </row>
    <row r="17174" spans="1:2" x14ac:dyDescent="0.25">
      <c r="A17174"/>
      <c r="B17174"/>
    </row>
    <row r="17175" spans="1:2" x14ac:dyDescent="0.25">
      <c r="A17175"/>
      <c r="B17175"/>
    </row>
    <row r="17176" spans="1:2" x14ac:dyDescent="0.25">
      <c r="A17176"/>
      <c r="B17176"/>
    </row>
    <row r="17177" spans="1:2" x14ac:dyDescent="0.25">
      <c r="A17177"/>
      <c r="B17177"/>
    </row>
    <row r="17178" spans="1:2" x14ac:dyDescent="0.25">
      <c r="A17178"/>
      <c r="B17178"/>
    </row>
    <row r="17179" spans="1:2" x14ac:dyDescent="0.25">
      <c r="A17179"/>
      <c r="B17179"/>
    </row>
    <row r="17180" spans="1:2" x14ac:dyDescent="0.25">
      <c r="A17180"/>
      <c r="B17180"/>
    </row>
    <row r="17181" spans="1:2" x14ac:dyDescent="0.25">
      <c r="A17181"/>
      <c r="B17181"/>
    </row>
    <row r="17182" spans="1:2" x14ac:dyDescent="0.25">
      <c r="A17182"/>
      <c r="B17182"/>
    </row>
    <row r="17183" spans="1:2" x14ac:dyDescent="0.25">
      <c r="A17183"/>
      <c r="B17183"/>
    </row>
    <row r="17184" spans="1:2" x14ac:dyDescent="0.25">
      <c r="A17184"/>
      <c r="B17184"/>
    </row>
    <row r="17185" spans="1:2" x14ac:dyDescent="0.25">
      <c r="A17185"/>
      <c r="B17185"/>
    </row>
    <row r="17186" spans="1:2" x14ac:dyDescent="0.25">
      <c r="A17186"/>
      <c r="B17186"/>
    </row>
    <row r="17187" spans="1:2" x14ac:dyDescent="0.25">
      <c r="A17187"/>
      <c r="B17187"/>
    </row>
    <row r="17188" spans="1:2" x14ac:dyDescent="0.25">
      <c r="A17188"/>
      <c r="B17188"/>
    </row>
    <row r="17189" spans="1:2" x14ac:dyDescent="0.25">
      <c r="A17189"/>
      <c r="B17189"/>
    </row>
    <row r="17190" spans="1:2" x14ac:dyDescent="0.25">
      <c r="A17190"/>
      <c r="B17190"/>
    </row>
    <row r="17191" spans="1:2" x14ac:dyDescent="0.25">
      <c r="A17191"/>
      <c r="B17191"/>
    </row>
    <row r="17192" spans="1:2" x14ac:dyDescent="0.25">
      <c r="A17192"/>
      <c r="B17192"/>
    </row>
    <row r="17193" spans="1:2" x14ac:dyDescent="0.25">
      <c r="A17193"/>
      <c r="B17193"/>
    </row>
    <row r="17194" spans="1:2" x14ac:dyDescent="0.25">
      <c r="A17194"/>
      <c r="B17194"/>
    </row>
    <row r="17195" spans="1:2" x14ac:dyDescent="0.25">
      <c r="A17195"/>
      <c r="B17195"/>
    </row>
    <row r="17196" spans="1:2" x14ac:dyDescent="0.25">
      <c r="A17196"/>
      <c r="B17196"/>
    </row>
    <row r="17197" spans="1:2" x14ac:dyDescent="0.25">
      <c r="A17197"/>
      <c r="B17197"/>
    </row>
    <row r="17198" spans="1:2" x14ac:dyDescent="0.25">
      <c r="A17198"/>
      <c r="B17198"/>
    </row>
    <row r="17199" spans="1:2" x14ac:dyDescent="0.25">
      <c r="A17199"/>
      <c r="B17199"/>
    </row>
    <row r="17200" spans="1:2" x14ac:dyDescent="0.25">
      <c r="A17200"/>
      <c r="B17200"/>
    </row>
    <row r="17201" spans="1:2" x14ac:dyDescent="0.25">
      <c r="A17201"/>
      <c r="B17201"/>
    </row>
    <row r="17202" spans="1:2" x14ac:dyDescent="0.25">
      <c r="A17202"/>
      <c r="B17202"/>
    </row>
    <row r="17203" spans="1:2" x14ac:dyDescent="0.25">
      <c r="A17203"/>
      <c r="B17203"/>
    </row>
    <row r="17204" spans="1:2" x14ac:dyDescent="0.25">
      <c r="A17204"/>
      <c r="B17204"/>
    </row>
    <row r="17205" spans="1:2" x14ac:dyDescent="0.25">
      <c r="A17205"/>
      <c r="B17205"/>
    </row>
    <row r="17206" spans="1:2" x14ac:dyDescent="0.25">
      <c r="A17206"/>
      <c r="B17206"/>
    </row>
    <row r="17207" spans="1:2" x14ac:dyDescent="0.25">
      <c r="A17207"/>
      <c r="B17207"/>
    </row>
    <row r="17208" spans="1:2" x14ac:dyDescent="0.25">
      <c r="A17208"/>
      <c r="B17208"/>
    </row>
    <row r="17209" spans="1:2" x14ac:dyDescent="0.25">
      <c r="A17209"/>
      <c r="B17209"/>
    </row>
    <row r="17210" spans="1:2" x14ac:dyDescent="0.25">
      <c r="A17210"/>
      <c r="B17210"/>
    </row>
    <row r="17211" spans="1:2" x14ac:dyDescent="0.25">
      <c r="A17211"/>
      <c r="B17211"/>
    </row>
    <row r="17212" spans="1:2" x14ac:dyDescent="0.25">
      <c r="A17212"/>
      <c r="B17212"/>
    </row>
    <row r="17213" spans="1:2" x14ac:dyDescent="0.25">
      <c r="A17213"/>
      <c r="B17213"/>
    </row>
    <row r="17214" spans="1:2" x14ac:dyDescent="0.25">
      <c r="A17214"/>
      <c r="B17214"/>
    </row>
    <row r="17215" spans="1:2" x14ac:dyDescent="0.25">
      <c r="A17215"/>
      <c r="B17215"/>
    </row>
    <row r="17216" spans="1:2" x14ac:dyDescent="0.25">
      <c r="A17216"/>
      <c r="B17216"/>
    </row>
    <row r="17217" spans="1:2" x14ac:dyDescent="0.25">
      <c r="A17217"/>
      <c r="B17217"/>
    </row>
    <row r="17218" spans="1:2" x14ac:dyDescent="0.25">
      <c r="A17218"/>
      <c r="B17218"/>
    </row>
    <row r="17219" spans="1:2" x14ac:dyDescent="0.25">
      <c r="A17219"/>
      <c r="B17219"/>
    </row>
    <row r="17220" spans="1:2" x14ac:dyDescent="0.25">
      <c r="A17220"/>
      <c r="B17220"/>
    </row>
    <row r="17221" spans="1:2" x14ac:dyDescent="0.25">
      <c r="A17221"/>
      <c r="B17221"/>
    </row>
    <row r="17222" spans="1:2" x14ac:dyDescent="0.25">
      <c r="A17222"/>
      <c r="B17222"/>
    </row>
    <row r="17223" spans="1:2" x14ac:dyDescent="0.25">
      <c r="A17223"/>
      <c r="B17223"/>
    </row>
    <row r="17224" spans="1:2" x14ac:dyDescent="0.25">
      <c r="A17224"/>
      <c r="B17224"/>
    </row>
    <row r="17225" spans="1:2" x14ac:dyDescent="0.25">
      <c r="A17225"/>
      <c r="B17225"/>
    </row>
    <row r="17226" spans="1:2" x14ac:dyDescent="0.25">
      <c r="A17226"/>
      <c r="B17226"/>
    </row>
    <row r="17227" spans="1:2" x14ac:dyDescent="0.25">
      <c r="A17227"/>
      <c r="B17227"/>
    </row>
    <row r="17228" spans="1:2" x14ac:dyDescent="0.25">
      <c r="A17228"/>
      <c r="B17228"/>
    </row>
    <row r="17229" spans="1:2" x14ac:dyDescent="0.25">
      <c r="A17229"/>
      <c r="B17229"/>
    </row>
    <row r="17230" spans="1:2" x14ac:dyDescent="0.25">
      <c r="A17230"/>
      <c r="B17230"/>
    </row>
    <row r="17231" spans="1:2" x14ac:dyDescent="0.25">
      <c r="A17231"/>
      <c r="B17231"/>
    </row>
    <row r="17232" spans="1:2" x14ac:dyDescent="0.25">
      <c r="A17232"/>
      <c r="B17232"/>
    </row>
    <row r="17233" spans="1:2" x14ac:dyDescent="0.25">
      <c r="A17233"/>
      <c r="B17233"/>
    </row>
    <row r="17234" spans="1:2" x14ac:dyDescent="0.25">
      <c r="A17234"/>
      <c r="B17234"/>
    </row>
    <row r="17235" spans="1:2" x14ac:dyDescent="0.25">
      <c r="A17235"/>
      <c r="B17235"/>
    </row>
    <row r="17236" spans="1:2" x14ac:dyDescent="0.25">
      <c r="A17236"/>
      <c r="B17236"/>
    </row>
    <row r="17237" spans="1:2" x14ac:dyDescent="0.25">
      <c r="A17237"/>
      <c r="B17237"/>
    </row>
    <row r="17238" spans="1:2" x14ac:dyDescent="0.25">
      <c r="A17238"/>
      <c r="B17238"/>
    </row>
    <row r="17239" spans="1:2" x14ac:dyDescent="0.25">
      <c r="A17239"/>
      <c r="B17239"/>
    </row>
    <row r="17240" spans="1:2" x14ac:dyDescent="0.25">
      <c r="A17240"/>
      <c r="B17240"/>
    </row>
    <row r="17241" spans="1:2" x14ac:dyDescent="0.25">
      <c r="A17241"/>
      <c r="B17241"/>
    </row>
    <row r="17242" spans="1:2" x14ac:dyDescent="0.25">
      <c r="A17242"/>
      <c r="B17242"/>
    </row>
    <row r="17243" spans="1:2" x14ac:dyDescent="0.25">
      <c r="A17243"/>
      <c r="B17243"/>
    </row>
    <row r="17244" spans="1:2" x14ac:dyDescent="0.25">
      <c r="A17244"/>
      <c r="B17244"/>
    </row>
    <row r="17245" spans="1:2" x14ac:dyDescent="0.25">
      <c r="A17245"/>
      <c r="B17245"/>
    </row>
    <row r="17246" spans="1:2" x14ac:dyDescent="0.25">
      <c r="A17246"/>
      <c r="B17246"/>
    </row>
    <row r="17247" spans="1:2" x14ac:dyDescent="0.25">
      <c r="A17247"/>
      <c r="B17247"/>
    </row>
    <row r="17248" spans="1:2" x14ac:dyDescent="0.25">
      <c r="A17248"/>
      <c r="B17248"/>
    </row>
    <row r="17249" spans="1:2" x14ac:dyDescent="0.25">
      <c r="A17249"/>
      <c r="B17249"/>
    </row>
    <row r="17250" spans="1:2" x14ac:dyDescent="0.25">
      <c r="A17250"/>
      <c r="B17250"/>
    </row>
    <row r="17251" spans="1:2" x14ac:dyDescent="0.25">
      <c r="A17251"/>
      <c r="B17251"/>
    </row>
    <row r="17252" spans="1:2" x14ac:dyDescent="0.25">
      <c r="A17252"/>
      <c r="B17252"/>
    </row>
    <row r="17253" spans="1:2" x14ac:dyDescent="0.25">
      <c r="A17253"/>
      <c r="B17253"/>
    </row>
    <row r="17254" spans="1:2" x14ac:dyDescent="0.25">
      <c r="A17254"/>
      <c r="B17254"/>
    </row>
    <row r="17255" spans="1:2" x14ac:dyDescent="0.25">
      <c r="A17255"/>
      <c r="B17255"/>
    </row>
    <row r="17256" spans="1:2" x14ac:dyDescent="0.25">
      <c r="A17256"/>
      <c r="B17256"/>
    </row>
    <row r="17257" spans="1:2" x14ac:dyDescent="0.25">
      <c r="A17257"/>
      <c r="B17257"/>
    </row>
    <row r="17258" spans="1:2" x14ac:dyDescent="0.25">
      <c r="A17258"/>
      <c r="B17258"/>
    </row>
    <row r="17259" spans="1:2" x14ac:dyDescent="0.25">
      <c r="A17259"/>
      <c r="B17259"/>
    </row>
    <row r="17260" spans="1:2" x14ac:dyDescent="0.25">
      <c r="A17260"/>
      <c r="B17260"/>
    </row>
    <row r="17261" spans="1:2" x14ac:dyDescent="0.25">
      <c r="A17261"/>
      <c r="B17261"/>
    </row>
    <row r="17262" spans="1:2" x14ac:dyDescent="0.25">
      <c r="A17262"/>
      <c r="B17262"/>
    </row>
    <row r="17263" spans="1:2" x14ac:dyDescent="0.25">
      <c r="A17263"/>
      <c r="B17263"/>
    </row>
    <row r="17264" spans="1:2" x14ac:dyDescent="0.25">
      <c r="A17264"/>
      <c r="B17264"/>
    </row>
    <row r="17265" spans="1:2" x14ac:dyDescent="0.25">
      <c r="A17265"/>
      <c r="B17265"/>
    </row>
    <row r="17266" spans="1:2" x14ac:dyDescent="0.25">
      <c r="A17266"/>
      <c r="B17266"/>
    </row>
    <row r="17267" spans="1:2" x14ac:dyDescent="0.25">
      <c r="A17267"/>
      <c r="B17267"/>
    </row>
    <row r="17268" spans="1:2" x14ac:dyDescent="0.25">
      <c r="A17268"/>
      <c r="B17268"/>
    </row>
    <row r="17269" spans="1:2" x14ac:dyDescent="0.25">
      <c r="A17269"/>
      <c r="B17269"/>
    </row>
    <row r="17270" spans="1:2" x14ac:dyDescent="0.25">
      <c r="A17270"/>
      <c r="B17270"/>
    </row>
    <row r="17271" spans="1:2" x14ac:dyDescent="0.25">
      <c r="A17271"/>
      <c r="B17271"/>
    </row>
    <row r="17272" spans="1:2" x14ac:dyDescent="0.25">
      <c r="A17272"/>
      <c r="B17272"/>
    </row>
    <row r="17273" spans="1:2" x14ac:dyDescent="0.25">
      <c r="A17273"/>
      <c r="B17273"/>
    </row>
    <row r="17274" spans="1:2" x14ac:dyDescent="0.25">
      <c r="A17274"/>
      <c r="B17274"/>
    </row>
    <row r="17275" spans="1:2" x14ac:dyDescent="0.25">
      <c r="A17275"/>
      <c r="B17275"/>
    </row>
    <row r="17276" spans="1:2" x14ac:dyDescent="0.25">
      <c r="A17276"/>
      <c r="B17276"/>
    </row>
    <row r="17277" spans="1:2" x14ac:dyDescent="0.25">
      <c r="A17277"/>
      <c r="B17277"/>
    </row>
    <row r="17278" spans="1:2" x14ac:dyDescent="0.25">
      <c r="A17278"/>
      <c r="B17278"/>
    </row>
    <row r="17279" spans="1:2" x14ac:dyDescent="0.25">
      <c r="A17279"/>
      <c r="B17279"/>
    </row>
    <row r="17280" spans="1:2" x14ac:dyDescent="0.25">
      <c r="A17280"/>
      <c r="B17280"/>
    </row>
    <row r="17281" spans="1:2" x14ac:dyDescent="0.25">
      <c r="A17281"/>
      <c r="B17281"/>
    </row>
    <row r="17282" spans="1:2" x14ac:dyDescent="0.25">
      <c r="A17282"/>
      <c r="B17282"/>
    </row>
    <row r="17283" spans="1:2" x14ac:dyDescent="0.25">
      <c r="A17283"/>
      <c r="B17283"/>
    </row>
    <row r="17284" spans="1:2" x14ac:dyDescent="0.25">
      <c r="A17284"/>
      <c r="B17284"/>
    </row>
    <row r="17285" spans="1:2" x14ac:dyDescent="0.25">
      <c r="A17285"/>
      <c r="B17285"/>
    </row>
    <row r="17286" spans="1:2" x14ac:dyDescent="0.25">
      <c r="A17286"/>
      <c r="B17286"/>
    </row>
    <row r="17287" spans="1:2" x14ac:dyDescent="0.25">
      <c r="A17287"/>
      <c r="B17287"/>
    </row>
    <row r="17288" spans="1:2" x14ac:dyDescent="0.25">
      <c r="A17288"/>
      <c r="B17288"/>
    </row>
    <row r="17289" spans="1:2" x14ac:dyDescent="0.25">
      <c r="A17289"/>
      <c r="B17289"/>
    </row>
    <row r="17290" spans="1:2" x14ac:dyDescent="0.25">
      <c r="A17290"/>
      <c r="B17290"/>
    </row>
    <row r="17291" spans="1:2" x14ac:dyDescent="0.25">
      <c r="A17291"/>
      <c r="B17291"/>
    </row>
    <row r="17292" spans="1:2" x14ac:dyDescent="0.25">
      <c r="A17292"/>
      <c r="B17292"/>
    </row>
    <row r="17293" spans="1:2" x14ac:dyDescent="0.25">
      <c r="A17293"/>
      <c r="B17293"/>
    </row>
    <row r="17294" spans="1:2" x14ac:dyDescent="0.25">
      <c r="A17294"/>
      <c r="B17294"/>
    </row>
    <row r="17295" spans="1:2" x14ac:dyDescent="0.25">
      <c r="A17295"/>
      <c r="B17295"/>
    </row>
    <row r="17296" spans="1:2" x14ac:dyDescent="0.25">
      <c r="A17296"/>
      <c r="B17296"/>
    </row>
    <row r="17297" spans="1:2" x14ac:dyDescent="0.25">
      <c r="A17297"/>
      <c r="B17297"/>
    </row>
    <row r="17298" spans="1:2" x14ac:dyDescent="0.25">
      <c r="A17298"/>
      <c r="B17298"/>
    </row>
    <row r="17299" spans="1:2" x14ac:dyDescent="0.25">
      <c r="A17299"/>
      <c r="B17299"/>
    </row>
    <row r="17300" spans="1:2" x14ac:dyDescent="0.25">
      <c r="A17300"/>
      <c r="B17300"/>
    </row>
    <row r="17301" spans="1:2" x14ac:dyDescent="0.25">
      <c r="A17301"/>
      <c r="B17301"/>
    </row>
    <row r="17302" spans="1:2" x14ac:dyDescent="0.25">
      <c r="A17302"/>
      <c r="B17302"/>
    </row>
    <row r="17303" spans="1:2" x14ac:dyDescent="0.25">
      <c r="A17303"/>
      <c r="B17303"/>
    </row>
    <row r="17304" spans="1:2" x14ac:dyDescent="0.25">
      <c r="A17304"/>
      <c r="B17304"/>
    </row>
    <row r="17305" spans="1:2" x14ac:dyDescent="0.25">
      <c r="A17305"/>
      <c r="B17305"/>
    </row>
    <row r="17306" spans="1:2" x14ac:dyDescent="0.25">
      <c r="A17306"/>
      <c r="B17306"/>
    </row>
    <row r="17307" spans="1:2" x14ac:dyDescent="0.25">
      <c r="A17307"/>
      <c r="B17307"/>
    </row>
    <row r="17308" spans="1:2" x14ac:dyDescent="0.25">
      <c r="A17308"/>
      <c r="B17308"/>
    </row>
    <row r="17309" spans="1:2" x14ac:dyDescent="0.25">
      <c r="A17309"/>
      <c r="B17309"/>
    </row>
    <row r="17310" spans="1:2" x14ac:dyDescent="0.25">
      <c r="A17310"/>
      <c r="B17310"/>
    </row>
    <row r="17311" spans="1:2" x14ac:dyDescent="0.25">
      <c r="A17311"/>
      <c r="B17311"/>
    </row>
    <row r="17312" spans="1:2" x14ac:dyDescent="0.25">
      <c r="A17312"/>
      <c r="B17312"/>
    </row>
    <row r="17313" spans="1:2" x14ac:dyDescent="0.25">
      <c r="A17313"/>
      <c r="B17313"/>
    </row>
    <row r="17314" spans="1:2" x14ac:dyDescent="0.25">
      <c r="A17314"/>
      <c r="B17314"/>
    </row>
    <row r="17315" spans="1:2" x14ac:dyDescent="0.25">
      <c r="A17315"/>
      <c r="B17315"/>
    </row>
    <row r="17316" spans="1:2" x14ac:dyDescent="0.25">
      <c r="A17316"/>
      <c r="B17316"/>
    </row>
    <row r="17317" spans="1:2" x14ac:dyDescent="0.25">
      <c r="A17317"/>
      <c r="B17317"/>
    </row>
    <row r="17318" spans="1:2" x14ac:dyDescent="0.25">
      <c r="A17318"/>
      <c r="B17318"/>
    </row>
    <row r="17319" spans="1:2" x14ac:dyDescent="0.25">
      <c r="A17319"/>
      <c r="B17319"/>
    </row>
    <row r="17320" spans="1:2" x14ac:dyDescent="0.25">
      <c r="A17320"/>
      <c r="B17320"/>
    </row>
    <row r="17321" spans="1:2" x14ac:dyDescent="0.25">
      <c r="A17321"/>
      <c r="B17321"/>
    </row>
    <row r="17322" spans="1:2" x14ac:dyDescent="0.25">
      <c r="A17322"/>
      <c r="B17322"/>
    </row>
    <row r="17323" spans="1:2" x14ac:dyDescent="0.25">
      <c r="A17323"/>
      <c r="B17323"/>
    </row>
    <row r="17324" spans="1:2" x14ac:dyDescent="0.25">
      <c r="A17324"/>
      <c r="B17324"/>
    </row>
    <row r="17325" spans="1:2" x14ac:dyDescent="0.25">
      <c r="A17325"/>
      <c r="B17325"/>
    </row>
    <row r="17326" spans="1:2" x14ac:dyDescent="0.25">
      <c r="A17326"/>
      <c r="B17326"/>
    </row>
    <row r="17327" spans="1:2" x14ac:dyDescent="0.25">
      <c r="A17327"/>
      <c r="B17327"/>
    </row>
    <row r="17328" spans="1:2" x14ac:dyDescent="0.25">
      <c r="A17328"/>
      <c r="B17328"/>
    </row>
    <row r="17329" spans="1:2" x14ac:dyDescent="0.25">
      <c r="A17329"/>
      <c r="B17329"/>
    </row>
    <row r="17330" spans="1:2" x14ac:dyDescent="0.25">
      <c r="A17330"/>
      <c r="B17330"/>
    </row>
    <row r="17331" spans="1:2" x14ac:dyDescent="0.25">
      <c r="A17331"/>
      <c r="B17331"/>
    </row>
    <row r="17332" spans="1:2" x14ac:dyDescent="0.25">
      <c r="A17332"/>
      <c r="B17332"/>
    </row>
    <row r="17333" spans="1:2" x14ac:dyDescent="0.25">
      <c r="A17333"/>
      <c r="B17333"/>
    </row>
    <row r="17334" spans="1:2" x14ac:dyDescent="0.25">
      <c r="A17334"/>
      <c r="B17334"/>
    </row>
    <row r="17335" spans="1:2" x14ac:dyDescent="0.25">
      <c r="A17335"/>
      <c r="B17335"/>
    </row>
    <row r="17336" spans="1:2" x14ac:dyDescent="0.25">
      <c r="A17336"/>
      <c r="B17336"/>
    </row>
    <row r="17337" spans="1:2" x14ac:dyDescent="0.25">
      <c r="A17337"/>
      <c r="B17337"/>
    </row>
    <row r="17338" spans="1:2" x14ac:dyDescent="0.25">
      <c r="A17338"/>
      <c r="B17338"/>
    </row>
    <row r="17339" spans="1:2" x14ac:dyDescent="0.25">
      <c r="A17339"/>
      <c r="B17339"/>
    </row>
    <row r="17340" spans="1:2" x14ac:dyDescent="0.25">
      <c r="A17340"/>
      <c r="B17340"/>
    </row>
    <row r="17341" spans="1:2" x14ac:dyDescent="0.25">
      <c r="A17341"/>
      <c r="B17341"/>
    </row>
    <row r="17342" spans="1:2" x14ac:dyDescent="0.25">
      <c r="A17342"/>
      <c r="B17342"/>
    </row>
    <row r="17343" spans="1:2" x14ac:dyDescent="0.25">
      <c r="A17343"/>
      <c r="B17343"/>
    </row>
    <row r="17344" spans="1:2" x14ac:dyDescent="0.25">
      <c r="A17344"/>
      <c r="B17344"/>
    </row>
    <row r="17345" spans="1:2" x14ac:dyDescent="0.25">
      <c r="A17345"/>
      <c r="B17345"/>
    </row>
    <row r="17346" spans="1:2" x14ac:dyDescent="0.25">
      <c r="A17346"/>
      <c r="B17346"/>
    </row>
    <row r="17347" spans="1:2" x14ac:dyDescent="0.25">
      <c r="A17347"/>
      <c r="B17347"/>
    </row>
    <row r="17348" spans="1:2" x14ac:dyDescent="0.25">
      <c r="A17348"/>
      <c r="B17348"/>
    </row>
    <row r="17349" spans="1:2" x14ac:dyDescent="0.25">
      <c r="A17349"/>
      <c r="B17349"/>
    </row>
    <row r="17350" spans="1:2" x14ac:dyDescent="0.25">
      <c r="A17350"/>
      <c r="B17350"/>
    </row>
    <row r="17351" spans="1:2" x14ac:dyDescent="0.25">
      <c r="A17351"/>
      <c r="B17351"/>
    </row>
    <row r="17352" spans="1:2" x14ac:dyDescent="0.25">
      <c r="A17352"/>
      <c r="B17352"/>
    </row>
    <row r="17353" spans="1:2" x14ac:dyDescent="0.25">
      <c r="A17353"/>
      <c r="B17353"/>
    </row>
    <row r="17354" spans="1:2" x14ac:dyDescent="0.25">
      <c r="A17354"/>
      <c r="B17354"/>
    </row>
    <row r="17355" spans="1:2" x14ac:dyDescent="0.25">
      <c r="A17355"/>
      <c r="B17355"/>
    </row>
    <row r="17356" spans="1:2" x14ac:dyDescent="0.25">
      <c r="A17356"/>
      <c r="B17356"/>
    </row>
    <row r="17357" spans="1:2" x14ac:dyDescent="0.25">
      <c r="A17357"/>
      <c r="B17357"/>
    </row>
    <row r="17358" spans="1:2" x14ac:dyDescent="0.25">
      <c r="A17358"/>
      <c r="B17358"/>
    </row>
    <row r="17359" spans="1:2" x14ac:dyDescent="0.25">
      <c r="A17359"/>
      <c r="B17359"/>
    </row>
    <row r="17360" spans="1:2" x14ac:dyDescent="0.25">
      <c r="A17360"/>
      <c r="B17360"/>
    </row>
    <row r="17361" spans="1:2" x14ac:dyDescent="0.25">
      <c r="A17361"/>
      <c r="B17361"/>
    </row>
    <row r="17362" spans="1:2" x14ac:dyDescent="0.25">
      <c r="A17362"/>
      <c r="B17362"/>
    </row>
    <row r="17363" spans="1:2" x14ac:dyDescent="0.25">
      <c r="A17363"/>
      <c r="B17363"/>
    </row>
    <row r="17364" spans="1:2" x14ac:dyDescent="0.25">
      <c r="A17364"/>
      <c r="B17364"/>
    </row>
    <row r="17365" spans="1:2" x14ac:dyDescent="0.25">
      <c r="A17365"/>
      <c r="B17365"/>
    </row>
    <row r="17366" spans="1:2" x14ac:dyDescent="0.25">
      <c r="A17366"/>
      <c r="B17366"/>
    </row>
    <row r="17367" spans="1:2" x14ac:dyDescent="0.25">
      <c r="A17367"/>
      <c r="B17367"/>
    </row>
    <row r="17368" spans="1:2" x14ac:dyDescent="0.25">
      <c r="A17368"/>
      <c r="B17368"/>
    </row>
    <row r="17369" spans="1:2" x14ac:dyDescent="0.25">
      <c r="A17369"/>
      <c r="B17369"/>
    </row>
    <row r="17370" spans="1:2" x14ac:dyDescent="0.25">
      <c r="A17370"/>
      <c r="B17370"/>
    </row>
    <row r="17371" spans="1:2" x14ac:dyDescent="0.25">
      <c r="A17371"/>
      <c r="B17371"/>
    </row>
    <row r="17372" spans="1:2" x14ac:dyDescent="0.25">
      <c r="A17372"/>
      <c r="B17372"/>
    </row>
    <row r="17373" spans="1:2" x14ac:dyDescent="0.25">
      <c r="A17373"/>
      <c r="B17373"/>
    </row>
    <row r="17374" spans="1:2" x14ac:dyDescent="0.25">
      <c r="A17374"/>
      <c r="B17374"/>
    </row>
    <row r="17375" spans="1:2" x14ac:dyDescent="0.25">
      <c r="A17375"/>
      <c r="B17375"/>
    </row>
    <row r="17376" spans="1:2" x14ac:dyDescent="0.25">
      <c r="A17376"/>
      <c r="B17376"/>
    </row>
    <row r="17377" spans="1:2" x14ac:dyDescent="0.25">
      <c r="A17377"/>
      <c r="B17377"/>
    </row>
    <row r="17378" spans="1:2" x14ac:dyDescent="0.25">
      <c r="A17378"/>
      <c r="B17378"/>
    </row>
    <row r="17379" spans="1:2" x14ac:dyDescent="0.25">
      <c r="A17379"/>
      <c r="B17379"/>
    </row>
    <row r="17380" spans="1:2" x14ac:dyDescent="0.25">
      <c r="A17380"/>
      <c r="B17380"/>
    </row>
    <row r="17381" spans="1:2" x14ac:dyDescent="0.25">
      <c r="A17381"/>
      <c r="B17381"/>
    </row>
    <row r="17382" spans="1:2" x14ac:dyDescent="0.25">
      <c r="A17382"/>
      <c r="B17382"/>
    </row>
    <row r="17383" spans="1:2" x14ac:dyDescent="0.25">
      <c r="A17383"/>
      <c r="B17383"/>
    </row>
    <row r="17384" spans="1:2" x14ac:dyDescent="0.25">
      <c r="A17384"/>
      <c r="B17384"/>
    </row>
    <row r="17385" spans="1:2" x14ac:dyDescent="0.25">
      <c r="A17385"/>
      <c r="B17385"/>
    </row>
    <row r="17386" spans="1:2" x14ac:dyDescent="0.25">
      <c r="A17386"/>
      <c r="B17386"/>
    </row>
    <row r="17387" spans="1:2" x14ac:dyDescent="0.25">
      <c r="A17387"/>
      <c r="B17387"/>
    </row>
    <row r="17388" spans="1:2" x14ac:dyDescent="0.25">
      <c r="A17388"/>
      <c r="B17388"/>
    </row>
    <row r="17389" spans="1:2" x14ac:dyDescent="0.25">
      <c r="A17389"/>
      <c r="B17389"/>
    </row>
    <row r="17390" spans="1:2" x14ac:dyDescent="0.25">
      <c r="A17390"/>
      <c r="B17390"/>
    </row>
    <row r="17391" spans="1:2" x14ac:dyDescent="0.25">
      <c r="A17391"/>
      <c r="B17391"/>
    </row>
    <row r="17392" spans="1:2" x14ac:dyDescent="0.25">
      <c r="A17392"/>
      <c r="B17392"/>
    </row>
    <row r="17393" spans="1:2" x14ac:dyDescent="0.25">
      <c r="A17393"/>
      <c r="B17393"/>
    </row>
    <row r="17394" spans="1:2" x14ac:dyDescent="0.25">
      <c r="A17394"/>
      <c r="B17394"/>
    </row>
    <row r="17395" spans="1:2" x14ac:dyDescent="0.25">
      <c r="A17395"/>
      <c r="B17395"/>
    </row>
    <row r="17396" spans="1:2" x14ac:dyDescent="0.25">
      <c r="A17396"/>
      <c r="B17396"/>
    </row>
    <row r="17397" spans="1:2" x14ac:dyDescent="0.25">
      <c r="A17397"/>
      <c r="B17397"/>
    </row>
    <row r="17398" spans="1:2" x14ac:dyDescent="0.25">
      <c r="A17398"/>
      <c r="B17398"/>
    </row>
    <row r="17399" spans="1:2" x14ac:dyDescent="0.25">
      <c r="A17399"/>
      <c r="B17399"/>
    </row>
    <row r="17400" spans="1:2" x14ac:dyDescent="0.25">
      <c r="A17400"/>
      <c r="B17400"/>
    </row>
    <row r="17401" spans="1:2" x14ac:dyDescent="0.25">
      <c r="A17401"/>
      <c r="B17401"/>
    </row>
    <row r="17402" spans="1:2" x14ac:dyDescent="0.25">
      <c r="A17402"/>
      <c r="B17402"/>
    </row>
    <row r="17403" spans="1:2" x14ac:dyDescent="0.25">
      <c r="A17403"/>
      <c r="B17403"/>
    </row>
    <row r="17404" spans="1:2" x14ac:dyDescent="0.25">
      <c r="A17404"/>
      <c r="B17404"/>
    </row>
    <row r="17405" spans="1:2" x14ac:dyDescent="0.25">
      <c r="A17405"/>
      <c r="B17405"/>
    </row>
    <row r="17406" spans="1:2" x14ac:dyDescent="0.25">
      <c r="A17406"/>
      <c r="B17406"/>
    </row>
    <row r="17407" spans="1:2" x14ac:dyDescent="0.25">
      <c r="A17407"/>
      <c r="B17407"/>
    </row>
    <row r="17408" spans="1:2" x14ac:dyDescent="0.25">
      <c r="A17408"/>
      <c r="B17408"/>
    </row>
    <row r="17409" spans="1:2" x14ac:dyDescent="0.25">
      <c r="A17409"/>
      <c r="B17409"/>
    </row>
    <row r="17410" spans="1:2" x14ac:dyDescent="0.25">
      <c r="A17410"/>
      <c r="B17410"/>
    </row>
    <row r="17411" spans="1:2" x14ac:dyDescent="0.25">
      <c r="A17411"/>
      <c r="B17411"/>
    </row>
    <row r="17412" spans="1:2" x14ac:dyDescent="0.25">
      <c r="A17412"/>
      <c r="B17412"/>
    </row>
    <row r="17413" spans="1:2" x14ac:dyDescent="0.25">
      <c r="A17413"/>
      <c r="B17413"/>
    </row>
    <row r="17414" spans="1:2" x14ac:dyDescent="0.25">
      <c r="A17414"/>
      <c r="B17414"/>
    </row>
    <row r="17415" spans="1:2" x14ac:dyDescent="0.25">
      <c r="A17415"/>
      <c r="B17415"/>
    </row>
    <row r="17416" spans="1:2" x14ac:dyDescent="0.25">
      <c r="A17416"/>
      <c r="B17416"/>
    </row>
    <row r="17417" spans="1:2" x14ac:dyDescent="0.25">
      <c r="A17417"/>
      <c r="B17417"/>
    </row>
    <row r="17418" spans="1:2" x14ac:dyDescent="0.25">
      <c r="A17418"/>
      <c r="B17418"/>
    </row>
    <row r="17419" spans="1:2" x14ac:dyDescent="0.25">
      <c r="A17419"/>
      <c r="B17419"/>
    </row>
    <row r="17420" spans="1:2" x14ac:dyDescent="0.25">
      <c r="A17420"/>
      <c r="B17420"/>
    </row>
    <row r="17421" spans="1:2" x14ac:dyDescent="0.25">
      <c r="A17421"/>
      <c r="B17421"/>
    </row>
    <row r="17422" spans="1:2" x14ac:dyDescent="0.25">
      <c r="A17422"/>
      <c r="B17422"/>
    </row>
    <row r="17423" spans="1:2" x14ac:dyDescent="0.25">
      <c r="A17423"/>
      <c r="B17423"/>
    </row>
    <row r="17424" spans="1:2" x14ac:dyDescent="0.25">
      <c r="A17424"/>
      <c r="B17424"/>
    </row>
    <row r="17425" spans="1:2" x14ac:dyDescent="0.25">
      <c r="A17425"/>
      <c r="B17425"/>
    </row>
    <row r="17426" spans="1:2" x14ac:dyDescent="0.25">
      <c r="A17426"/>
      <c r="B17426"/>
    </row>
    <row r="17427" spans="1:2" x14ac:dyDescent="0.25">
      <c r="A17427"/>
      <c r="B17427"/>
    </row>
    <row r="17428" spans="1:2" x14ac:dyDescent="0.25">
      <c r="A17428"/>
      <c r="B17428"/>
    </row>
    <row r="17429" spans="1:2" x14ac:dyDescent="0.25">
      <c r="A17429"/>
      <c r="B17429"/>
    </row>
    <row r="17430" spans="1:2" x14ac:dyDescent="0.25">
      <c r="A17430"/>
      <c r="B17430"/>
    </row>
    <row r="17431" spans="1:2" x14ac:dyDescent="0.25">
      <c r="A17431"/>
      <c r="B17431"/>
    </row>
    <row r="17432" spans="1:2" x14ac:dyDescent="0.25">
      <c r="A17432"/>
      <c r="B17432"/>
    </row>
    <row r="17433" spans="1:2" x14ac:dyDescent="0.25">
      <c r="A17433"/>
      <c r="B17433"/>
    </row>
    <row r="17434" spans="1:2" x14ac:dyDescent="0.25">
      <c r="A17434"/>
      <c r="B17434"/>
    </row>
    <row r="17435" spans="1:2" x14ac:dyDescent="0.25">
      <c r="A17435"/>
      <c r="B17435"/>
    </row>
    <row r="17436" spans="1:2" x14ac:dyDescent="0.25">
      <c r="A17436"/>
      <c r="B17436"/>
    </row>
    <row r="17437" spans="1:2" x14ac:dyDescent="0.25">
      <c r="A17437"/>
      <c r="B17437"/>
    </row>
    <row r="17438" spans="1:2" x14ac:dyDescent="0.25">
      <c r="A17438"/>
      <c r="B17438"/>
    </row>
    <row r="17439" spans="1:2" x14ac:dyDescent="0.25">
      <c r="A17439"/>
      <c r="B17439"/>
    </row>
    <row r="17440" spans="1:2" x14ac:dyDescent="0.25">
      <c r="A17440"/>
      <c r="B17440"/>
    </row>
    <row r="17441" spans="1:2" x14ac:dyDescent="0.25">
      <c r="A17441"/>
      <c r="B17441"/>
    </row>
    <row r="17442" spans="1:2" x14ac:dyDescent="0.25">
      <c r="A17442"/>
      <c r="B17442"/>
    </row>
    <row r="17443" spans="1:2" x14ac:dyDescent="0.25">
      <c r="A17443"/>
      <c r="B17443"/>
    </row>
    <row r="17444" spans="1:2" x14ac:dyDescent="0.25">
      <c r="A17444"/>
      <c r="B17444"/>
    </row>
    <row r="17445" spans="1:2" x14ac:dyDescent="0.25">
      <c r="A17445"/>
      <c r="B17445"/>
    </row>
    <row r="17446" spans="1:2" x14ac:dyDescent="0.25">
      <c r="A17446"/>
      <c r="B17446"/>
    </row>
    <row r="17447" spans="1:2" x14ac:dyDescent="0.25">
      <c r="A17447"/>
      <c r="B17447"/>
    </row>
    <row r="17448" spans="1:2" x14ac:dyDescent="0.25">
      <c r="A17448"/>
      <c r="B17448"/>
    </row>
    <row r="17449" spans="1:2" x14ac:dyDescent="0.25">
      <c r="A17449"/>
      <c r="B17449"/>
    </row>
    <row r="17450" spans="1:2" x14ac:dyDescent="0.25">
      <c r="A17450"/>
      <c r="B17450"/>
    </row>
    <row r="17451" spans="1:2" x14ac:dyDescent="0.25">
      <c r="A17451"/>
      <c r="B17451"/>
    </row>
    <row r="17452" spans="1:2" x14ac:dyDescent="0.25">
      <c r="A17452"/>
      <c r="B17452"/>
    </row>
    <row r="17453" spans="1:2" x14ac:dyDescent="0.25">
      <c r="A17453"/>
      <c r="B17453"/>
    </row>
    <row r="17454" spans="1:2" x14ac:dyDescent="0.25">
      <c r="A17454"/>
      <c r="B17454"/>
    </row>
    <row r="17455" spans="1:2" x14ac:dyDescent="0.25">
      <c r="A17455"/>
      <c r="B17455"/>
    </row>
    <row r="17456" spans="1:2" x14ac:dyDescent="0.25">
      <c r="A17456"/>
      <c r="B17456"/>
    </row>
    <row r="17457" spans="1:2" x14ac:dyDescent="0.25">
      <c r="A17457"/>
      <c r="B17457"/>
    </row>
    <row r="17458" spans="1:2" x14ac:dyDescent="0.25">
      <c r="A17458"/>
      <c r="B17458"/>
    </row>
    <row r="17459" spans="1:2" x14ac:dyDescent="0.25">
      <c r="A17459"/>
      <c r="B17459"/>
    </row>
    <row r="17460" spans="1:2" x14ac:dyDescent="0.25">
      <c r="A17460"/>
      <c r="B17460"/>
    </row>
    <row r="17461" spans="1:2" x14ac:dyDescent="0.25">
      <c r="A17461"/>
      <c r="B17461"/>
    </row>
    <row r="17462" spans="1:2" x14ac:dyDescent="0.25">
      <c r="A17462"/>
      <c r="B17462"/>
    </row>
    <row r="17463" spans="1:2" x14ac:dyDescent="0.25">
      <c r="A17463"/>
      <c r="B17463"/>
    </row>
    <row r="17464" spans="1:2" x14ac:dyDescent="0.25">
      <c r="A17464"/>
      <c r="B17464"/>
    </row>
    <row r="17465" spans="1:2" x14ac:dyDescent="0.25">
      <c r="A17465"/>
      <c r="B17465"/>
    </row>
    <row r="17466" spans="1:2" x14ac:dyDescent="0.25">
      <c r="A17466"/>
      <c r="B17466"/>
    </row>
    <row r="17467" spans="1:2" x14ac:dyDescent="0.25">
      <c r="A17467"/>
      <c r="B17467"/>
    </row>
    <row r="17468" spans="1:2" x14ac:dyDescent="0.25">
      <c r="A17468"/>
      <c r="B17468"/>
    </row>
    <row r="17469" spans="1:2" x14ac:dyDescent="0.25">
      <c r="A17469"/>
      <c r="B17469"/>
    </row>
    <row r="17470" spans="1:2" x14ac:dyDescent="0.25">
      <c r="A17470"/>
      <c r="B17470"/>
    </row>
    <row r="17471" spans="1:2" x14ac:dyDescent="0.25">
      <c r="A17471"/>
      <c r="B17471"/>
    </row>
    <row r="17472" spans="1:2" x14ac:dyDescent="0.25">
      <c r="A17472"/>
      <c r="B17472"/>
    </row>
    <row r="17473" spans="1:2" x14ac:dyDescent="0.25">
      <c r="A17473"/>
      <c r="B17473"/>
    </row>
    <row r="17474" spans="1:2" x14ac:dyDescent="0.25">
      <c r="A17474"/>
      <c r="B17474"/>
    </row>
    <row r="17475" spans="1:2" x14ac:dyDescent="0.25">
      <c r="A17475"/>
      <c r="B17475"/>
    </row>
    <row r="17476" spans="1:2" x14ac:dyDescent="0.25">
      <c r="A17476"/>
      <c r="B17476"/>
    </row>
    <row r="17477" spans="1:2" x14ac:dyDescent="0.25">
      <c r="A17477"/>
      <c r="B17477"/>
    </row>
    <row r="17478" spans="1:2" x14ac:dyDescent="0.25">
      <c r="A17478"/>
      <c r="B17478"/>
    </row>
    <row r="17479" spans="1:2" x14ac:dyDescent="0.25">
      <c r="A17479"/>
      <c r="B17479"/>
    </row>
    <row r="17480" spans="1:2" x14ac:dyDescent="0.25">
      <c r="A17480"/>
      <c r="B17480"/>
    </row>
    <row r="17481" spans="1:2" x14ac:dyDescent="0.25">
      <c r="A17481"/>
      <c r="B17481"/>
    </row>
    <row r="17482" spans="1:2" x14ac:dyDescent="0.25">
      <c r="A17482"/>
      <c r="B17482"/>
    </row>
    <row r="17483" spans="1:2" x14ac:dyDescent="0.25">
      <c r="A17483"/>
      <c r="B17483"/>
    </row>
    <row r="17484" spans="1:2" x14ac:dyDescent="0.25">
      <c r="A17484"/>
      <c r="B17484"/>
    </row>
    <row r="17485" spans="1:2" x14ac:dyDescent="0.25">
      <c r="A17485"/>
      <c r="B17485"/>
    </row>
    <row r="17486" spans="1:2" x14ac:dyDescent="0.25">
      <c r="A17486"/>
      <c r="B17486"/>
    </row>
    <row r="17487" spans="1:2" x14ac:dyDescent="0.25">
      <c r="A17487"/>
      <c r="B17487"/>
    </row>
    <row r="17488" spans="1:2" x14ac:dyDescent="0.25">
      <c r="A17488"/>
      <c r="B17488"/>
    </row>
    <row r="17489" spans="1:2" x14ac:dyDescent="0.25">
      <c r="A17489"/>
      <c r="B17489"/>
    </row>
    <row r="17490" spans="1:2" x14ac:dyDescent="0.25">
      <c r="A17490"/>
      <c r="B17490"/>
    </row>
    <row r="17491" spans="1:2" x14ac:dyDescent="0.25">
      <c r="A17491"/>
      <c r="B17491"/>
    </row>
    <row r="17492" spans="1:2" x14ac:dyDescent="0.25">
      <c r="A17492"/>
      <c r="B17492"/>
    </row>
    <row r="17493" spans="1:2" x14ac:dyDescent="0.25">
      <c r="A17493"/>
      <c r="B17493"/>
    </row>
    <row r="17494" spans="1:2" x14ac:dyDescent="0.25">
      <c r="A17494"/>
      <c r="B17494"/>
    </row>
    <row r="17495" spans="1:2" x14ac:dyDescent="0.25">
      <c r="A17495"/>
      <c r="B17495"/>
    </row>
    <row r="17496" spans="1:2" x14ac:dyDescent="0.25">
      <c r="A17496"/>
      <c r="B17496"/>
    </row>
    <row r="17497" spans="1:2" x14ac:dyDescent="0.25">
      <c r="A17497"/>
      <c r="B17497"/>
    </row>
    <row r="17498" spans="1:2" x14ac:dyDescent="0.25">
      <c r="A17498"/>
      <c r="B17498"/>
    </row>
    <row r="17499" spans="1:2" x14ac:dyDescent="0.25">
      <c r="A17499"/>
      <c r="B17499"/>
    </row>
    <row r="17500" spans="1:2" x14ac:dyDescent="0.25">
      <c r="A17500"/>
      <c r="B17500"/>
    </row>
    <row r="17501" spans="1:2" x14ac:dyDescent="0.25">
      <c r="A17501"/>
      <c r="B17501"/>
    </row>
    <row r="17502" spans="1:2" x14ac:dyDescent="0.25">
      <c r="A17502"/>
      <c r="B17502"/>
    </row>
    <row r="17503" spans="1:2" x14ac:dyDescent="0.25">
      <c r="A17503"/>
      <c r="B17503"/>
    </row>
    <row r="17504" spans="1:2" x14ac:dyDescent="0.25">
      <c r="A17504"/>
      <c r="B17504"/>
    </row>
    <row r="17505" spans="1:2" x14ac:dyDescent="0.25">
      <c r="A17505"/>
      <c r="B17505"/>
    </row>
    <row r="17506" spans="1:2" x14ac:dyDescent="0.25">
      <c r="A17506"/>
      <c r="B17506"/>
    </row>
    <row r="17507" spans="1:2" x14ac:dyDescent="0.25">
      <c r="A17507"/>
      <c r="B17507"/>
    </row>
    <row r="17508" spans="1:2" x14ac:dyDescent="0.25">
      <c r="A17508"/>
      <c r="B17508"/>
    </row>
    <row r="17509" spans="1:2" x14ac:dyDescent="0.25">
      <c r="A17509"/>
      <c r="B17509"/>
    </row>
    <row r="17510" spans="1:2" x14ac:dyDescent="0.25">
      <c r="A17510"/>
      <c r="B17510"/>
    </row>
    <row r="17511" spans="1:2" x14ac:dyDescent="0.25">
      <c r="A17511"/>
      <c r="B17511"/>
    </row>
    <row r="17512" spans="1:2" x14ac:dyDescent="0.25">
      <c r="A17512"/>
      <c r="B17512"/>
    </row>
    <row r="17513" spans="1:2" x14ac:dyDescent="0.25">
      <c r="A17513"/>
      <c r="B17513"/>
    </row>
    <row r="17514" spans="1:2" x14ac:dyDescent="0.25">
      <c r="A17514"/>
      <c r="B17514"/>
    </row>
    <row r="17515" spans="1:2" x14ac:dyDescent="0.25">
      <c r="A17515"/>
      <c r="B17515"/>
    </row>
    <row r="17516" spans="1:2" x14ac:dyDescent="0.25">
      <c r="A17516"/>
      <c r="B17516"/>
    </row>
    <row r="17517" spans="1:2" x14ac:dyDescent="0.25">
      <c r="A17517"/>
      <c r="B17517"/>
    </row>
    <row r="17518" spans="1:2" x14ac:dyDescent="0.25">
      <c r="A17518"/>
      <c r="B17518"/>
    </row>
    <row r="17519" spans="1:2" x14ac:dyDescent="0.25">
      <c r="A17519"/>
      <c r="B17519"/>
    </row>
    <row r="17520" spans="1:2" x14ac:dyDescent="0.25">
      <c r="A17520"/>
      <c r="B17520"/>
    </row>
    <row r="17521" spans="1:2" x14ac:dyDescent="0.25">
      <c r="A17521"/>
      <c r="B17521"/>
    </row>
    <row r="17522" spans="1:2" x14ac:dyDescent="0.25">
      <c r="A17522"/>
      <c r="B17522"/>
    </row>
    <row r="17523" spans="1:2" x14ac:dyDescent="0.25">
      <c r="A17523"/>
      <c r="B17523"/>
    </row>
    <row r="17524" spans="1:2" x14ac:dyDescent="0.25">
      <c r="A17524"/>
      <c r="B17524"/>
    </row>
    <row r="17525" spans="1:2" x14ac:dyDescent="0.25">
      <c r="A17525"/>
      <c r="B17525"/>
    </row>
    <row r="17526" spans="1:2" x14ac:dyDescent="0.25">
      <c r="A17526"/>
      <c r="B17526"/>
    </row>
    <row r="17527" spans="1:2" x14ac:dyDescent="0.25">
      <c r="A17527"/>
      <c r="B17527"/>
    </row>
    <row r="17528" spans="1:2" x14ac:dyDescent="0.25">
      <c r="A17528"/>
      <c r="B17528"/>
    </row>
    <row r="17529" spans="1:2" x14ac:dyDescent="0.25">
      <c r="A17529"/>
      <c r="B17529"/>
    </row>
    <row r="17530" spans="1:2" x14ac:dyDescent="0.25">
      <c r="A17530"/>
      <c r="B17530"/>
    </row>
    <row r="17531" spans="1:2" x14ac:dyDescent="0.25">
      <c r="A17531"/>
      <c r="B17531"/>
    </row>
    <row r="17532" spans="1:2" x14ac:dyDescent="0.25">
      <c r="A17532"/>
      <c r="B17532"/>
    </row>
    <row r="17533" spans="1:2" x14ac:dyDescent="0.25">
      <c r="A17533"/>
      <c r="B17533"/>
    </row>
    <row r="17534" spans="1:2" x14ac:dyDescent="0.25">
      <c r="A17534"/>
      <c r="B17534"/>
    </row>
    <row r="17535" spans="1:2" x14ac:dyDescent="0.25">
      <c r="A17535"/>
      <c r="B17535"/>
    </row>
    <row r="17536" spans="1:2" x14ac:dyDescent="0.25">
      <c r="A17536"/>
      <c r="B17536"/>
    </row>
    <row r="17537" spans="1:2" x14ac:dyDescent="0.25">
      <c r="A17537"/>
      <c r="B17537"/>
    </row>
    <row r="17538" spans="1:2" x14ac:dyDescent="0.25">
      <c r="A17538"/>
      <c r="B17538"/>
    </row>
    <row r="17539" spans="1:2" x14ac:dyDescent="0.25">
      <c r="A17539"/>
      <c r="B17539"/>
    </row>
    <row r="17540" spans="1:2" x14ac:dyDescent="0.25">
      <c r="A17540"/>
      <c r="B17540"/>
    </row>
    <row r="17541" spans="1:2" x14ac:dyDescent="0.25">
      <c r="A17541"/>
      <c r="B17541"/>
    </row>
    <row r="17542" spans="1:2" x14ac:dyDescent="0.25">
      <c r="A17542"/>
      <c r="B17542"/>
    </row>
    <row r="17543" spans="1:2" x14ac:dyDescent="0.25">
      <c r="A17543"/>
      <c r="B17543"/>
    </row>
    <row r="17544" spans="1:2" x14ac:dyDescent="0.25">
      <c r="A17544"/>
      <c r="B17544"/>
    </row>
    <row r="17545" spans="1:2" x14ac:dyDescent="0.25">
      <c r="A17545"/>
      <c r="B17545"/>
    </row>
    <row r="17546" spans="1:2" x14ac:dyDescent="0.25">
      <c r="A17546"/>
      <c r="B17546"/>
    </row>
    <row r="17547" spans="1:2" x14ac:dyDescent="0.25">
      <c r="A17547"/>
      <c r="B17547"/>
    </row>
    <row r="17548" spans="1:2" x14ac:dyDescent="0.25">
      <c r="A17548"/>
      <c r="B17548"/>
    </row>
    <row r="17549" spans="1:2" x14ac:dyDescent="0.25">
      <c r="A17549"/>
      <c r="B17549"/>
    </row>
    <row r="17550" spans="1:2" x14ac:dyDescent="0.25">
      <c r="A17550"/>
      <c r="B17550"/>
    </row>
    <row r="17551" spans="1:2" x14ac:dyDescent="0.25">
      <c r="A17551"/>
      <c r="B17551"/>
    </row>
    <row r="17552" spans="1:2" x14ac:dyDescent="0.25">
      <c r="A17552"/>
      <c r="B17552"/>
    </row>
    <row r="17553" spans="1:2" x14ac:dyDescent="0.25">
      <c r="A17553"/>
      <c r="B17553"/>
    </row>
    <row r="17554" spans="1:2" x14ac:dyDescent="0.25">
      <c r="A17554"/>
      <c r="B17554"/>
    </row>
    <row r="17555" spans="1:2" x14ac:dyDescent="0.25">
      <c r="A17555"/>
      <c r="B17555"/>
    </row>
    <row r="17556" spans="1:2" x14ac:dyDescent="0.25">
      <c r="A17556"/>
      <c r="B17556"/>
    </row>
    <row r="17557" spans="1:2" x14ac:dyDescent="0.25">
      <c r="A17557"/>
      <c r="B17557"/>
    </row>
    <row r="17558" spans="1:2" x14ac:dyDescent="0.25">
      <c r="A17558"/>
      <c r="B17558"/>
    </row>
    <row r="17559" spans="1:2" x14ac:dyDescent="0.25">
      <c r="A17559"/>
      <c r="B17559"/>
    </row>
    <row r="17560" spans="1:2" x14ac:dyDescent="0.25">
      <c r="A17560"/>
      <c r="B17560"/>
    </row>
    <row r="17561" spans="1:2" x14ac:dyDescent="0.25">
      <c r="A17561"/>
      <c r="B17561"/>
    </row>
    <row r="17562" spans="1:2" x14ac:dyDescent="0.25">
      <c r="A17562"/>
      <c r="B17562"/>
    </row>
    <row r="17563" spans="1:2" x14ac:dyDescent="0.25">
      <c r="A17563"/>
      <c r="B17563"/>
    </row>
    <row r="17564" spans="1:2" x14ac:dyDescent="0.25">
      <c r="A17564"/>
      <c r="B17564"/>
    </row>
    <row r="17565" spans="1:2" x14ac:dyDescent="0.25">
      <c r="A17565"/>
      <c r="B17565"/>
    </row>
    <row r="17566" spans="1:2" x14ac:dyDescent="0.25">
      <c r="A17566"/>
      <c r="B17566"/>
    </row>
    <row r="17567" spans="1:2" x14ac:dyDescent="0.25">
      <c r="A17567"/>
      <c r="B17567"/>
    </row>
    <row r="17568" spans="1:2" x14ac:dyDescent="0.25">
      <c r="A17568"/>
      <c r="B17568"/>
    </row>
    <row r="17569" spans="1:2" x14ac:dyDescent="0.25">
      <c r="A17569"/>
      <c r="B17569"/>
    </row>
    <row r="17570" spans="1:2" x14ac:dyDescent="0.25">
      <c r="A17570"/>
      <c r="B17570"/>
    </row>
    <row r="17571" spans="1:2" x14ac:dyDescent="0.25">
      <c r="A17571"/>
      <c r="B17571"/>
    </row>
    <row r="17572" spans="1:2" x14ac:dyDescent="0.25">
      <c r="A17572"/>
      <c r="B17572"/>
    </row>
    <row r="17573" spans="1:2" x14ac:dyDescent="0.25">
      <c r="A17573"/>
      <c r="B17573"/>
    </row>
    <row r="17574" spans="1:2" x14ac:dyDescent="0.25">
      <c r="A17574"/>
      <c r="B17574"/>
    </row>
    <row r="17575" spans="1:2" x14ac:dyDescent="0.25">
      <c r="A17575"/>
      <c r="B17575"/>
    </row>
    <row r="17576" spans="1:2" x14ac:dyDescent="0.25">
      <c r="A17576"/>
      <c r="B17576"/>
    </row>
    <row r="17577" spans="1:2" x14ac:dyDescent="0.25">
      <c r="A17577"/>
      <c r="B17577"/>
    </row>
    <row r="17578" spans="1:2" x14ac:dyDescent="0.25">
      <c r="A17578"/>
      <c r="B17578"/>
    </row>
    <row r="17579" spans="1:2" x14ac:dyDescent="0.25">
      <c r="A17579"/>
      <c r="B17579"/>
    </row>
    <row r="17580" spans="1:2" x14ac:dyDescent="0.25">
      <c r="A17580"/>
      <c r="B17580"/>
    </row>
    <row r="17581" spans="1:2" x14ac:dyDescent="0.25">
      <c r="A17581"/>
      <c r="B17581"/>
    </row>
    <row r="17582" spans="1:2" x14ac:dyDescent="0.25">
      <c r="A17582"/>
      <c r="B17582"/>
    </row>
    <row r="17583" spans="1:2" x14ac:dyDescent="0.25">
      <c r="A17583"/>
      <c r="B17583"/>
    </row>
    <row r="17584" spans="1:2" x14ac:dyDescent="0.25">
      <c r="A17584"/>
      <c r="B17584"/>
    </row>
    <row r="17585" spans="1:2" x14ac:dyDescent="0.25">
      <c r="A17585"/>
      <c r="B17585"/>
    </row>
    <row r="17586" spans="1:2" x14ac:dyDescent="0.25">
      <c r="A17586"/>
      <c r="B17586"/>
    </row>
    <row r="17587" spans="1:2" x14ac:dyDescent="0.25">
      <c r="A17587"/>
      <c r="B17587"/>
    </row>
    <row r="17588" spans="1:2" x14ac:dyDescent="0.25">
      <c r="A17588"/>
      <c r="B17588"/>
    </row>
    <row r="17589" spans="1:2" x14ac:dyDescent="0.25">
      <c r="A17589"/>
      <c r="B17589"/>
    </row>
    <row r="17590" spans="1:2" x14ac:dyDescent="0.25">
      <c r="A17590"/>
      <c r="B17590"/>
    </row>
    <row r="17591" spans="1:2" x14ac:dyDescent="0.25">
      <c r="A17591"/>
      <c r="B17591"/>
    </row>
    <row r="17592" spans="1:2" x14ac:dyDescent="0.25">
      <c r="A17592"/>
      <c r="B17592"/>
    </row>
    <row r="17593" spans="1:2" x14ac:dyDescent="0.25">
      <c r="A17593"/>
      <c r="B17593"/>
    </row>
    <row r="17594" spans="1:2" x14ac:dyDescent="0.25">
      <c r="A17594"/>
      <c r="B17594"/>
    </row>
    <row r="17595" spans="1:2" x14ac:dyDescent="0.25">
      <c r="A17595"/>
      <c r="B17595"/>
    </row>
    <row r="17596" spans="1:2" x14ac:dyDescent="0.25">
      <c r="A17596"/>
      <c r="B17596"/>
    </row>
    <row r="17597" spans="1:2" x14ac:dyDescent="0.25">
      <c r="A17597"/>
      <c r="B17597"/>
    </row>
    <row r="17598" spans="1:2" x14ac:dyDescent="0.25">
      <c r="A17598"/>
      <c r="B17598"/>
    </row>
    <row r="17599" spans="1:2" x14ac:dyDescent="0.25">
      <c r="A17599"/>
      <c r="B17599"/>
    </row>
    <row r="17600" spans="1:2" x14ac:dyDescent="0.25">
      <c r="A17600"/>
      <c r="B17600"/>
    </row>
    <row r="17601" spans="1:2" x14ac:dyDescent="0.25">
      <c r="A17601"/>
      <c r="B17601"/>
    </row>
    <row r="17602" spans="1:2" x14ac:dyDescent="0.25">
      <c r="A17602"/>
      <c r="B17602"/>
    </row>
    <row r="17603" spans="1:2" x14ac:dyDescent="0.25">
      <c r="A17603"/>
      <c r="B17603"/>
    </row>
    <row r="17604" spans="1:2" x14ac:dyDescent="0.25">
      <c r="A17604"/>
      <c r="B17604"/>
    </row>
    <row r="17605" spans="1:2" x14ac:dyDescent="0.25">
      <c r="A17605"/>
      <c r="B17605"/>
    </row>
    <row r="17606" spans="1:2" x14ac:dyDescent="0.25">
      <c r="A17606"/>
      <c r="B17606"/>
    </row>
    <row r="17607" spans="1:2" x14ac:dyDescent="0.25">
      <c r="A17607"/>
      <c r="B17607"/>
    </row>
    <row r="17608" spans="1:2" x14ac:dyDescent="0.25">
      <c r="A17608"/>
      <c r="B17608"/>
    </row>
    <row r="17609" spans="1:2" x14ac:dyDescent="0.25">
      <c r="A17609"/>
      <c r="B17609"/>
    </row>
    <row r="17610" spans="1:2" x14ac:dyDescent="0.25">
      <c r="A17610"/>
      <c r="B17610"/>
    </row>
    <row r="17611" spans="1:2" x14ac:dyDescent="0.25">
      <c r="A17611"/>
      <c r="B17611"/>
    </row>
    <row r="17612" spans="1:2" x14ac:dyDescent="0.25">
      <c r="A17612"/>
      <c r="B17612"/>
    </row>
    <row r="17613" spans="1:2" x14ac:dyDescent="0.25">
      <c r="A17613"/>
      <c r="B17613"/>
    </row>
    <row r="17614" spans="1:2" x14ac:dyDescent="0.25">
      <c r="A17614"/>
      <c r="B17614"/>
    </row>
    <row r="17615" spans="1:2" x14ac:dyDescent="0.25">
      <c r="A17615"/>
      <c r="B17615"/>
    </row>
    <row r="17616" spans="1:2" x14ac:dyDescent="0.25">
      <c r="A17616"/>
      <c r="B17616"/>
    </row>
    <row r="17617" spans="1:2" x14ac:dyDescent="0.25">
      <c r="A17617"/>
      <c r="B17617"/>
    </row>
    <row r="17618" spans="1:2" x14ac:dyDescent="0.25">
      <c r="A17618"/>
      <c r="B17618"/>
    </row>
    <row r="17619" spans="1:2" x14ac:dyDescent="0.25">
      <c r="A17619"/>
      <c r="B17619"/>
    </row>
    <row r="17620" spans="1:2" x14ac:dyDescent="0.25">
      <c r="A17620"/>
      <c r="B17620"/>
    </row>
    <row r="17621" spans="1:2" x14ac:dyDescent="0.25">
      <c r="A17621"/>
      <c r="B17621"/>
    </row>
    <row r="17622" spans="1:2" x14ac:dyDescent="0.25">
      <c r="A17622"/>
      <c r="B17622"/>
    </row>
    <row r="17623" spans="1:2" x14ac:dyDescent="0.25">
      <c r="A17623"/>
      <c r="B17623"/>
    </row>
    <row r="17624" spans="1:2" x14ac:dyDescent="0.25">
      <c r="A17624"/>
      <c r="B17624"/>
    </row>
    <row r="17625" spans="1:2" x14ac:dyDescent="0.25">
      <c r="A17625"/>
      <c r="B17625"/>
    </row>
    <row r="17626" spans="1:2" x14ac:dyDescent="0.25">
      <c r="A17626"/>
      <c r="B17626"/>
    </row>
    <row r="17627" spans="1:2" x14ac:dyDescent="0.25">
      <c r="A17627"/>
      <c r="B17627"/>
    </row>
    <row r="17628" spans="1:2" x14ac:dyDescent="0.25">
      <c r="A17628"/>
      <c r="B17628"/>
    </row>
    <row r="17629" spans="1:2" x14ac:dyDescent="0.25">
      <c r="A17629"/>
      <c r="B17629"/>
    </row>
    <row r="17630" spans="1:2" x14ac:dyDescent="0.25">
      <c r="A17630"/>
      <c r="B17630"/>
    </row>
    <row r="17631" spans="1:2" x14ac:dyDescent="0.25">
      <c r="A17631"/>
      <c r="B17631"/>
    </row>
    <row r="17632" spans="1:2" x14ac:dyDescent="0.25">
      <c r="A17632"/>
      <c r="B17632"/>
    </row>
    <row r="17633" spans="1:2" x14ac:dyDescent="0.25">
      <c r="A17633"/>
      <c r="B17633"/>
    </row>
    <row r="17634" spans="1:2" x14ac:dyDescent="0.25">
      <c r="A17634"/>
      <c r="B17634"/>
    </row>
    <row r="17635" spans="1:2" x14ac:dyDescent="0.25">
      <c r="A17635"/>
      <c r="B17635"/>
    </row>
    <row r="17636" spans="1:2" x14ac:dyDescent="0.25">
      <c r="A17636"/>
      <c r="B17636"/>
    </row>
    <row r="17637" spans="1:2" x14ac:dyDescent="0.25">
      <c r="A17637"/>
      <c r="B17637"/>
    </row>
    <row r="17638" spans="1:2" x14ac:dyDescent="0.25">
      <c r="A17638"/>
      <c r="B17638"/>
    </row>
    <row r="17639" spans="1:2" x14ac:dyDescent="0.25">
      <c r="A17639"/>
      <c r="B17639"/>
    </row>
    <row r="17640" spans="1:2" x14ac:dyDescent="0.25">
      <c r="A17640"/>
      <c r="B17640"/>
    </row>
    <row r="17641" spans="1:2" x14ac:dyDescent="0.25">
      <c r="A17641"/>
      <c r="B17641"/>
    </row>
    <row r="17642" spans="1:2" x14ac:dyDescent="0.25">
      <c r="A17642"/>
      <c r="B17642"/>
    </row>
    <row r="17643" spans="1:2" x14ac:dyDescent="0.25">
      <c r="A17643"/>
      <c r="B17643"/>
    </row>
    <row r="17644" spans="1:2" x14ac:dyDescent="0.25">
      <c r="A17644"/>
      <c r="B17644"/>
    </row>
    <row r="17645" spans="1:2" x14ac:dyDescent="0.25">
      <c r="A17645"/>
      <c r="B17645"/>
    </row>
    <row r="17646" spans="1:2" x14ac:dyDescent="0.25">
      <c r="A17646"/>
      <c r="B17646"/>
    </row>
    <row r="17647" spans="1:2" x14ac:dyDescent="0.25">
      <c r="A17647"/>
      <c r="B17647"/>
    </row>
    <row r="17648" spans="1:2" x14ac:dyDescent="0.25">
      <c r="A17648"/>
      <c r="B17648"/>
    </row>
    <row r="17649" spans="1:2" x14ac:dyDescent="0.25">
      <c r="A17649"/>
      <c r="B17649"/>
    </row>
    <row r="17650" spans="1:2" x14ac:dyDescent="0.25">
      <c r="A17650"/>
      <c r="B17650"/>
    </row>
    <row r="17651" spans="1:2" x14ac:dyDescent="0.25">
      <c r="A17651"/>
      <c r="B17651"/>
    </row>
    <row r="17652" spans="1:2" x14ac:dyDescent="0.25">
      <c r="A17652"/>
      <c r="B17652"/>
    </row>
    <row r="17653" spans="1:2" x14ac:dyDescent="0.25">
      <c r="A17653"/>
      <c r="B17653"/>
    </row>
    <row r="17654" spans="1:2" x14ac:dyDescent="0.25">
      <c r="A17654"/>
      <c r="B17654"/>
    </row>
    <row r="17655" spans="1:2" x14ac:dyDescent="0.25">
      <c r="A17655"/>
      <c r="B17655"/>
    </row>
    <row r="17656" spans="1:2" x14ac:dyDescent="0.25">
      <c r="A17656"/>
      <c r="B17656"/>
    </row>
    <row r="17657" spans="1:2" x14ac:dyDescent="0.25">
      <c r="A17657"/>
      <c r="B17657"/>
    </row>
    <row r="17658" spans="1:2" x14ac:dyDescent="0.25">
      <c r="A17658"/>
      <c r="B17658"/>
    </row>
    <row r="17659" spans="1:2" x14ac:dyDescent="0.25">
      <c r="A17659"/>
      <c r="B17659"/>
    </row>
    <row r="17660" spans="1:2" x14ac:dyDescent="0.25">
      <c r="A17660"/>
      <c r="B17660"/>
    </row>
    <row r="17661" spans="1:2" x14ac:dyDescent="0.25">
      <c r="A17661"/>
      <c r="B17661"/>
    </row>
    <row r="17662" spans="1:2" x14ac:dyDescent="0.25">
      <c r="A17662"/>
      <c r="B17662"/>
    </row>
    <row r="17663" spans="1:2" x14ac:dyDescent="0.25">
      <c r="A17663"/>
      <c r="B17663"/>
    </row>
    <row r="17664" spans="1:2" x14ac:dyDescent="0.25">
      <c r="A17664"/>
      <c r="B17664"/>
    </row>
    <row r="17665" spans="1:2" x14ac:dyDescent="0.25">
      <c r="A17665"/>
      <c r="B17665"/>
    </row>
    <row r="17666" spans="1:2" x14ac:dyDescent="0.25">
      <c r="A17666"/>
      <c r="B17666"/>
    </row>
    <row r="17667" spans="1:2" x14ac:dyDescent="0.25">
      <c r="A17667"/>
      <c r="B17667"/>
    </row>
    <row r="17668" spans="1:2" x14ac:dyDescent="0.25">
      <c r="A17668"/>
      <c r="B17668"/>
    </row>
    <row r="17669" spans="1:2" x14ac:dyDescent="0.25">
      <c r="A17669"/>
      <c r="B17669"/>
    </row>
    <row r="17670" spans="1:2" x14ac:dyDescent="0.25">
      <c r="A17670"/>
      <c r="B17670"/>
    </row>
    <row r="17671" spans="1:2" x14ac:dyDescent="0.25">
      <c r="A17671"/>
      <c r="B17671"/>
    </row>
    <row r="17672" spans="1:2" x14ac:dyDescent="0.25">
      <c r="A17672"/>
      <c r="B17672"/>
    </row>
    <row r="17673" spans="1:2" x14ac:dyDescent="0.25">
      <c r="A17673"/>
      <c r="B17673"/>
    </row>
    <row r="17674" spans="1:2" x14ac:dyDescent="0.25">
      <c r="A17674"/>
      <c r="B17674"/>
    </row>
    <row r="17675" spans="1:2" x14ac:dyDescent="0.25">
      <c r="A17675"/>
      <c r="B17675"/>
    </row>
    <row r="17676" spans="1:2" x14ac:dyDescent="0.25">
      <c r="A17676"/>
      <c r="B17676"/>
    </row>
    <row r="17677" spans="1:2" x14ac:dyDescent="0.25">
      <c r="A17677"/>
      <c r="B17677"/>
    </row>
    <row r="17678" spans="1:2" x14ac:dyDescent="0.25">
      <c r="A17678"/>
      <c r="B17678"/>
    </row>
    <row r="17679" spans="1:2" x14ac:dyDescent="0.25">
      <c r="A17679"/>
      <c r="B17679"/>
    </row>
    <row r="17680" spans="1:2" x14ac:dyDescent="0.25">
      <c r="A17680"/>
      <c r="B17680"/>
    </row>
    <row r="17681" spans="1:2" x14ac:dyDescent="0.25">
      <c r="A17681"/>
      <c r="B17681"/>
    </row>
    <row r="17682" spans="1:2" x14ac:dyDescent="0.25">
      <c r="A17682"/>
      <c r="B17682"/>
    </row>
    <row r="17683" spans="1:2" x14ac:dyDescent="0.25">
      <c r="A17683"/>
      <c r="B17683"/>
    </row>
    <row r="17684" spans="1:2" x14ac:dyDescent="0.25">
      <c r="A17684"/>
      <c r="B17684"/>
    </row>
    <row r="17685" spans="1:2" x14ac:dyDescent="0.25">
      <c r="A17685"/>
      <c r="B17685"/>
    </row>
    <row r="17686" spans="1:2" x14ac:dyDescent="0.25">
      <c r="A17686"/>
      <c r="B17686"/>
    </row>
    <row r="17687" spans="1:2" x14ac:dyDescent="0.25">
      <c r="A17687"/>
      <c r="B17687"/>
    </row>
    <row r="17688" spans="1:2" x14ac:dyDescent="0.25">
      <c r="A17688"/>
      <c r="B17688"/>
    </row>
    <row r="17689" spans="1:2" x14ac:dyDescent="0.25">
      <c r="A17689"/>
      <c r="B17689"/>
    </row>
    <row r="17690" spans="1:2" x14ac:dyDescent="0.25">
      <c r="A17690"/>
      <c r="B17690"/>
    </row>
    <row r="17691" spans="1:2" x14ac:dyDescent="0.25">
      <c r="A17691"/>
      <c r="B17691"/>
    </row>
    <row r="17692" spans="1:2" x14ac:dyDescent="0.25">
      <c r="A17692"/>
      <c r="B17692"/>
    </row>
    <row r="17693" spans="1:2" x14ac:dyDescent="0.25">
      <c r="A17693"/>
      <c r="B17693"/>
    </row>
    <row r="17694" spans="1:2" x14ac:dyDescent="0.25">
      <c r="A17694"/>
      <c r="B17694"/>
    </row>
    <row r="17695" spans="1:2" x14ac:dyDescent="0.25">
      <c r="A17695"/>
      <c r="B17695"/>
    </row>
    <row r="17696" spans="1:2" x14ac:dyDescent="0.25">
      <c r="A17696"/>
      <c r="B17696"/>
    </row>
    <row r="17697" spans="1:2" x14ac:dyDescent="0.25">
      <c r="A17697"/>
      <c r="B17697"/>
    </row>
    <row r="17698" spans="1:2" x14ac:dyDescent="0.25">
      <c r="A17698"/>
      <c r="B17698"/>
    </row>
    <row r="17699" spans="1:2" x14ac:dyDescent="0.25">
      <c r="A17699"/>
      <c r="B17699"/>
    </row>
    <row r="17700" spans="1:2" x14ac:dyDescent="0.25">
      <c r="A17700"/>
      <c r="B17700"/>
    </row>
    <row r="17701" spans="1:2" x14ac:dyDescent="0.25">
      <c r="A17701"/>
      <c r="B17701"/>
    </row>
    <row r="17702" spans="1:2" x14ac:dyDescent="0.25">
      <c r="A17702"/>
      <c r="B17702"/>
    </row>
    <row r="17703" spans="1:2" x14ac:dyDescent="0.25">
      <c r="A17703"/>
      <c r="B17703"/>
    </row>
    <row r="17704" spans="1:2" x14ac:dyDescent="0.25">
      <c r="A17704"/>
      <c r="B17704"/>
    </row>
    <row r="17705" spans="1:2" x14ac:dyDescent="0.25">
      <c r="A17705"/>
      <c r="B17705"/>
    </row>
    <row r="17706" spans="1:2" x14ac:dyDescent="0.25">
      <c r="A17706"/>
      <c r="B17706"/>
    </row>
    <row r="17707" spans="1:2" x14ac:dyDescent="0.25">
      <c r="A17707"/>
      <c r="B17707"/>
    </row>
    <row r="17708" spans="1:2" x14ac:dyDescent="0.25">
      <c r="A17708"/>
      <c r="B17708"/>
    </row>
    <row r="17709" spans="1:2" x14ac:dyDescent="0.25">
      <c r="A17709"/>
      <c r="B17709"/>
    </row>
    <row r="17710" spans="1:2" x14ac:dyDescent="0.25">
      <c r="A17710"/>
      <c r="B17710"/>
    </row>
    <row r="17711" spans="1:2" x14ac:dyDescent="0.25">
      <c r="A17711"/>
      <c r="B17711"/>
    </row>
    <row r="17712" spans="1:2" x14ac:dyDescent="0.25">
      <c r="A17712"/>
      <c r="B17712"/>
    </row>
    <row r="17713" spans="1:2" x14ac:dyDescent="0.25">
      <c r="A17713"/>
      <c r="B17713"/>
    </row>
    <row r="17714" spans="1:2" x14ac:dyDescent="0.25">
      <c r="A17714"/>
      <c r="B17714"/>
    </row>
    <row r="17715" spans="1:2" x14ac:dyDescent="0.25">
      <c r="A17715"/>
      <c r="B17715"/>
    </row>
    <row r="17716" spans="1:2" x14ac:dyDescent="0.25">
      <c r="A17716"/>
      <c r="B17716"/>
    </row>
    <row r="17717" spans="1:2" x14ac:dyDescent="0.25">
      <c r="A17717"/>
      <c r="B17717"/>
    </row>
    <row r="17718" spans="1:2" x14ac:dyDescent="0.25">
      <c r="A17718"/>
      <c r="B17718"/>
    </row>
    <row r="17719" spans="1:2" x14ac:dyDescent="0.25">
      <c r="A17719"/>
      <c r="B17719"/>
    </row>
    <row r="17720" spans="1:2" x14ac:dyDescent="0.25">
      <c r="A17720"/>
      <c r="B17720"/>
    </row>
    <row r="17721" spans="1:2" x14ac:dyDescent="0.25">
      <c r="A17721"/>
      <c r="B17721"/>
    </row>
    <row r="17722" spans="1:2" x14ac:dyDescent="0.25">
      <c r="A17722"/>
      <c r="B17722"/>
    </row>
    <row r="17723" spans="1:2" x14ac:dyDescent="0.25">
      <c r="A17723"/>
      <c r="B17723"/>
    </row>
    <row r="17724" spans="1:2" x14ac:dyDescent="0.25">
      <c r="A17724"/>
      <c r="B17724"/>
    </row>
    <row r="17725" spans="1:2" x14ac:dyDescent="0.25">
      <c r="A17725"/>
      <c r="B17725"/>
    </row>
    <row r="17726" spans="1:2" x14ac:dyDescent="0.25">
      <c r="A17726"/>
      <c r="B17726"/>
    </row>
    <row r="17727" spans="1:2" x14ac:dyDescent="0.25">
      <c r="A17727"/>
      <c r="B17727"/>
    </row>
    <row r="17728" spans="1:2" x14ac:dyDescent="0.25">
      <c r="A17728"/>
      <c r="B17728"/>
    </row>
    <row r="17729" spans="1:2" x14ac:dyDescent="0.25">
      <c r="A17729"/>
      <c r="B17729"/>
    </row>
    <row r="17730" spans="1:2" x14ac:dyDescent="0.25">
      <c r="A17730"/>
      <c r="B17730"/>
    </row>
    <row r="17731" spans="1:2" x14ac:dyDescent="0.25">
      <c r="A17731"/>
      <c r="B17731"/>
    </row>
    <row r="17732" spans="1:2" x14ac:dyDescent="0.25">
      <c r="A17732"/>
      <c r="B17732"/>
    </row>
    <row r="17733" spans="1:2" x14ac:dyDescent="0.25">
      <c r="A17733"/>
      <c r="B17733"/>
    </row>
    <row r="17734" spans="1:2" x14ac:dyDescent="0.25">
      <c r="A17734"/>
      <c r="B17734"/>
    </row>
    <row r="17735" spans="1:2" x14ac:dyDescent="0.25">
      <c r="A17735"/>
      <c r="B17735"/>
    </row>
    <row r="17736" spans="1:2" x14ac:dyDescent="0.25">
      <c r="A17736"/>
      <c r="B17736"/>
    </row>
    <row r="17737" spans="1:2" x14ac:dyDescent="0.25">
      <c r="A17737"/>
      <c r="B17737"/>
    </row>
    <row r="17738" spans="1:2" x14ac:dyDescent="0.25">
      <c r="A17738"/>
      <c r="B17738"/>
    </row>
    <row r="17739" spans="1:2" x14ac:dyDescent="0.25">
      <c r="A17739"/>
      <c r="B17739"/>
    </row>
    <row r="17740" spans="1:2" x14ac:dyDescent="0.25">
      <c r="A17740"/>
      <c r="B17740"/>
    </row>
    <row r="17741" spans="1:2" x14ac:dyDescent="0.25">
      <c r="A17741"/>
      <c r="B17741"/>
    </row>
    <row r="17742" spans="1:2" x14ac:dyDescent="0.25">
      <c r="A17742"/>
      <c r="B17742"/>
    </row>
    <row r="17743" spans="1:2" x14ac:dyDescent="0.25">
      <c r="A17743"/>
      <c r="B17743"/>
    </row>
    <row r="17744" spans="1:2" x14ac:dyDescent="0.25">
      <c r="A17744"/>
      <c r="B17744"/>
    </row>
    <row r="17745" spans="1:2" x14ac:dyDescent="0.25">
      <c r="A17745"/>
      <c r="B17745"/>
    </row>
    <row r="17746" spans="1:2" x14ac:dyDescent="0.25">
      <c r="A17746"/>
      <c r="B17746"/>
    </row>
    <row r="17747" spans="1:2" x14ac:dyDescent="0.25">
      <c r="A17747"/>
      <c r="B17747"/>
    </row>
    <row r="17748" spans="1:2" x14ac:dyDescent="0.25">
      <c r="A17748"/>
      <c r="B17748"/>
    </row>
    <row r="17749" spans="1:2" x14ac:dyDescent="0.25">
      <c r="A17749"/>
      <c r="B17749"/>
    </row>
    <row r="17750" spans="1:2" x14ac:dyDescent="0.25">
      <c r="A17750"/>
      <c r="B17750"/>
    </row>
    <row r="17751" spans="1:2" x14ac:dyDescent="0.25">
      <c r="A17751"/>
      <c r="B17751"/>
    </row>
    <row r="17752" spans="1:2" x14ac:dyDescent="0.25">
      <c r="A17752"/>
      <c r="B17752"/>
    </row>
    <row r="17753" spans="1:2" x14ac:dyDescent="0.25">
      <c r="A17753"/>
      <c r="B17753"/>
    </row>
    <row r="17754" spans="1:2" x14ac:dyDescent="0.25">
      <c r="A17754"/>
      <c r="B17754"/>
    </row>
    <row r="17755" spans="1:2" x14ac:dyDescent="0.25">
      <c r="A17755"/>
      <c r="B17755"/>
    </row>
    <row r="17756" spans="1:2" x14ac:dyDescent="0.25">
      <c r="A17756"/>
      <c r="B17756"/>
    </row>
    <row r="17757" spans="1:2" x14ac:dyDescent="0.25">
      <c r="A17757"/>
      <c r="B17757"/>
    </row>
    <row r="17758" spans="1:2" x14ac:dyDescent="0.25">
      <c r="A17758"/>
      <c r="B17758"/>
    </row>
    <row r="17759" spans="1:2" x14ac:dyDescent="0.25">
      <c r="A17759"/>
      <c r="B17759"/>
    </row>
    <row r="17760" spans="1:2" x14ac:dyDescent="0.25">
      <c r="A17760"/>
      <c r="B17760"/>
    </row>
    <row r="17761" spans="1:2" x14ac:dyDescent="0.25">
      <c r="A17761"/>
      <c r="B17761"/>
    </row>
    <row r="17762" spans="1:2" x14ac:dyDescent="0.25">
      <c r="A17762"/>
      <c r="B17762"/>
    </row>
    <row r="17763" spans="1:2" x14ac:dyDescent="0.25">
      <c r="A17763"/>
      <c r="B17763"/>
    </row>
    <row r="17764" spans="1:2" x14ac:dyDescent="0.25">
      <c r="A17764"/>
      <c r="B17764"/>
    </row>
    <row r="17765" spans="1:2" x14ac:dyDescent="0.25">
      <c r="A17765"/>
      <c r="B17765"/>
    </row>
    <row r="17766" spans="1:2" x14ac:dyDescent="0.25">
      <c r="A17766"/>
      <c r="B17766"/>
    </row>
    <row r="17767" spans="1:2" x14ac:dyDescent="0.25">
      <c r="A17767"/>
      <c r="B17767"/>
    </row>
    <row r="17768" spans="1:2" x14ac:dyDescent="0.25">
      <c r="A17768"/>
      <c r="B17768"/>
    </row>
    <row r="17769" spans="1:2" x14ac:dyDescent="0.25">
      <c r="A17769"/>
      <c r="B17769"/>
    </row>
    <row r="17770" spans="1:2" x14ac:dyDescent="0.25">
      <c r="A17770"/>
      <c r="B17770"/>
    </row>
    <row r="17771" spans="1:2" x14ac:dyDescent="0.25">
      <c r="A17771"/>
      <c r="B17771"/>
    </row>
    <row r="17772" spans="1:2" x14ac:dyDescent="0.25">
      <c r="A17772"/>
      <c r="B17772"/>
    </row>
    <row r="17773" spans="1:2" x14ac:dyDescent="0.25">
      <c r="A17773"/>
      <c r="B17773"/>
    </row>
    <row r="17774" spans="1:2" x14ac:dyDescent="0.25">
      <c r="A17774"/>
      <c r="B17774"/>
    </row>
    <row r="17775" spans="1:2" x14ac:dyDescent="0.25">
      <c r="A17775"/>
      <c r="B17775"/>
    </row>
    <row r="17776" spans="1:2" x14ac:dyDescent="0.25">
      <c r="A17776"/>
      <c r="B17776"/>
    </row>
    <row r="17777" spans="1:2" x14ac:dyDescent="0.25">
      <c r="A17777"/>
      <c r="B17777"/>
    </row>
    <row r="17778" spans="1:2" x14ac:dyDescent="0.25">
      <c r="A17778"/>
      <c r="B17778"/>
    </row>
    <row r="17779" spans="1:2" x14ac:dyDescent="0.25">
      <c r="A17779"/>
      <c r="B17779"/>
    </row>
    <row r="17780" spans="1:2" x14ac:dyDescent="0.25">
      <c r="A17780"/>
      <c r="B17780"/>
    </row>
    <row r="17781" spans="1:2" x14ac:dyDescent="0.25">
      <c r="A17781"/>
      <c r="B17781"/>
    </row>
    <row r="17782" spans="1:2" x14ac:dyDescent="0.25">
      <c r="A17782"/>
      <c r="B17782"/>
    </row>
    <row r="17783" spans="1:2" x14ac:dyDescent="0.25">
      <c r="A17783"/>
      <c r="B17783"/>
    </row>
    <row r="17784" spans="1:2" x14ac:dyDescent="0.25">
      <c r="A17784"/>
      <c r="B17784"/>
    </row>
    <row r="17785" spans="1:2" x14ac:dyDescent="0.25">
      <c r="A17785"/>
      <c r="B17785"/>
    </row>
    <row r="17786" spans="1:2" x14ac:dyDescent="0.25">
      <c r="A17786"/>
      <c r="B17786"/>
    </row>
    <row r="17787" spans="1:2" x14ac:dyDescent="0.25">
      <c r="A17787"/>
      <c r="B17787"/>
    </row>
    <row r="17788" spans="1:2" x14ac:dyDescent="0.25">
      <c r="A17788"/>
      <c r="B17788"/>
    </row>
    <row r="17789" spans="1:2" x14ac:dyDescent="0.25">
      <c r="A17789"/>
      <c r="B17789"/>
    </row>
    <row r="17790" spans="1:2" x14ac:dyDescent="0.25">
      <c r="A17790"/>
      <c r="B17790"/>
    </row>
    <row r="17791" spans="1:2" x14ac:dyDescent="0.25">
      <c r="A17791"/>
      <c r="B17791"/>
    </row>
    <row r="17792" spans="1:2" x14ac:dyDescent="0.25">
      <c r="A17792"/>
      <c r="B17792"/>
    </row>
    <row r="17793" spans="1:2" x14ac:dyDescent="0.25">
      <c r="A17793"/>
      <c r="B17793"/>
    </row>
    <row r="17794" spans="1:2" x14ac:dyDescent="0.25">
      <c r="A17794"/>
      <c r="B17794"/>
    </row>
    <row r="17795" spans="1:2" x14ac:dyDescent="0.25">
      <c r="A17795"/>
      <c r="B17795"/>
    </row>
    <row r="17796" spans="1:2" x14ac:dyDescent="0.25">
      <c r="A17796"/>
      <c r="B17796"/>
    </row>
    <row r="17797" spans="1:2" x14ac:dyDescent="0.25">
      <c r="A17797"/>
      <c r="B17797"/>
    </row>
    <row r="17798" spans="1:2" x14ac:dyDescent="0.25">
      <c r="A17798"/>
      <c r="B17798"/>
    </row>
    <row r="17799" spans="1:2" x14ac:dyDescent="0.25">
      <c r="A17799"/>
      <c r="B17799"/>
    </row>
    <row r="17800" spans="1:2" x14ac:dyDescent="0.25">
      <c r="A17800"/>
      <c r="B17800"/>
    </row>
    <row r="17801" spans="1:2" x14ac:dyDescent="0.25">
      <c r="A17801"/>
      <c r="B17801"/>
    </row>
    <row r="17802" spans="1:2" x14ac:dyDescent="0.25">
      <c r="A17802"/>
      <c r="B17802"/>
    </row>
    <row r="17803" spans="1:2" x14ac:dyDescent="0.25">
      <c r="A17803"/>
      <c r="B17803"/>
    </row>
    <row r="17804" spans="1:2" x14ac:dyDescent="0.25">
      <c r="A17804"/>
      <c r="B17804"/>
    </row>
    <row r="17805" spans="1:2" x14ac:dyDescent="0.25">
      <c r="A17805"/>
      <c r="B17805"/>
    </row>
    <row r="17806" spans="1:2" x14ac:dyDescent="0.25">
      <c r="A17806"/>
      <c r="B17806"/>
    </row>
    <row r="17807" spans="1:2" x14ac:dyDescent="0.25">
      <c r="A17807"/>
      <c r="B17807"/>
    </row>
    <row r="17808" spans="1:2" x14ac:dyDescent="0.25">
      <c r="A17808"/>
      <c r="B17808"/>
    </row>
    <row r="17809" spans="1:2" x14ac:dyDescent="0.25">
      <c r="A17809"/>
      <c r="B17809"/>
    </row>
    <row r="17810" spans="1:2" x14ac:dyDescent="0.25">
      <c r="A17810"/>
      <c r="B17810"/>
    </row>
    <row r="17811" spans="1:2" x14ac:dyDescent="0.25">
      <c r="A17811"/>
      <c r="B17811"/>
    </row>
    <row r="17812" spans="1:2" x14ac:dyDescent="0.25">
      <c r="A17812"/>
      <c r="B17812"/>
    </row>
    <row r="17813" spans="1:2" x14ac:dyDescent="0.25">
      <c r="A17813"/>
      <c r="B17813"/>
    </row>
    <row r="17814" spans="1:2" x14ac:dyDescent="0.25">
      <c r="A17814"/>
      <c r="B17814"/>
    </row>
    <row r="17815" spans="1:2" x14ac:dyDescent="0.25">
      <c r="A17815"/>
      <c r="B17815"/>
    </row>
    <row r="17816" spans="1:2" x14ac:dyDescent="0.25">
      <c r="A17816"/>
      <c r="B17816"/>
    </row>
    <row r="17817" spans="1:2" x14ac:dyDescent="0.25">
      <c r="A17817"/>
      <c r="B17817"/>
    </row>
    <row r="17818" spans="1:2" x14ac:dyDescent="0.25">
      <c r="A17818"/>
      <c r="B17818"/>
    </row>
    <row r="17819" spans="1:2" x14ac:dyDescent="0.25">
      <c r="A17819"/>
      <c r="B17819"/>
    </row>
    <row r="17820" spans="1:2" x14ac:dyDescent="0.25">
      <c r="A17820"/>
      <c r="B17820"/>
    </row>
    <row r="17821" spans="1:2" x14ac:dyDescent="0.25">
      <c r="A17821"/>
      <c r="B17821"/>
    </row>
    <row r="17822" spans="1:2" x14ac:dyDescent="0.25">
      <c r="A17822"/>
      <c r="B17822"/>
    </row>
    <row r="17823" spans="1:2" x14ac:dyDescent="0.25">
      <c r="A17823"/>
      <c r="B17823"/>
    </row>
    <row r="17824" spans="1:2" x14ac:dyDescent="0.25">
      <c r="A17824"/>
      <c r="B17824"/>
    </row>
    <row r="17825" spans="1:2" x14ac:dyDescent="0.25">
      <c r="A17825"/>
      <c r="B17825"/>
    </row>
    <row r="17826" spans="1:2" x14ac:dyDescent="0.25">
      <c r="A17826"/>
      <c r="B17826"/>
    </row>
    <row r="17827" spans="1:2" x14ac:dyDescent="0.25">
      <c r="A17827"/>
      <c r="B17827"/>
    </row>
    <row r="17828" spans="1:2" x14ac:dyDescent="0.25">
      <c r="A17828"/>
      <c r="B17828"/>
    </row>
    <row r="17829" spans="1:2" x14ac:dyDescent="0.25">
      <c r="A17829"/>
      <c r="B17829"/>
    </row>
    <row r="17830" spans="1:2" x14ac:dyDescent="0.25">
      <c r="A17830"/>
      <c r="B17830"/>
    </row>
    <row r="17831" spans="1:2" x14ac:dyDescent="0.25">
      <c r="A17831"/>
      <c r="B17831"/>
    </row>
    <row r="17832" spans="1:2" x14ac:dyDescent="0.25">
      <c r="A17832"/>
      <c r="B17832"/>
    </row>
    <row r="17833" spans="1:2" x14ac:dyDescent="0.25">
      <c r="A17833"/>
      <c r="B17833"/>
    </row>
    <row r="17834" spans="1:2" x14ac:dyDescent="0.25">
      <c r="A17834"/>
      <c r="B17834"/>
    </row>
    <row r="17835" spans="1:2" x14ac:dyDescent="0.25">
      <c r="A17835"/>
      <c r="B17835"/>
    </row>
    <row r="17836" spans="1:2" x14ac:dyDescent="0.25">
      <c r="A17836"/>
      <c r="B17836"/>
    </row>
    <row r="17837" spans="1:2" x14ac:dyDescent="0.25">
      <c r="A17837"/>
      <c r="B17837"/>
    </row>
    <row r="17838" spans="1:2" x14ac:dyDescent="0.25">
      <c r="A17838"/>
      <c r="B17838"/>
    </row>
    <row r="17839" spans="1:2" x14ac:dyDescent="0.25">
      <c r="A17839"/>
      <c r="B17839"/>
    </row>
    <row r="17840" spans="1:2" x14ac:dyDescent="0.25">
      <c r="A17840"/>
      <c r="B17840"/>
    </row>
    <row r="17841" spans="1:2" x14ac:dyDescent="0.25">
      <c r="A17841"/>
      <c r="B17841"/>
    </row>
    <row r="17842" spans="1:2" x14ac:dyDescent="0.25">
      <c r="A17842"/>
      <c r="B17842"/>
    </row>
    <row r="17843" spans="1:2" x14ac:dyDescent="0.25">
      <c r="A17843"/>
      <c r="B17843"/>
    </row>
    <row r="17844" spans="1:2" x14ac:dyDescent="0.25">
      <c r="A17844"/>
      <c r="B17844"/>
    </row>
    <row r="17845" spans="1:2" x14ac:dyDescent="0.25">
      <c r="A17845"/>
      <c r="B17845"/>
    </row>
    <row r="17846" spans="1:2" x14ac:dyDescent="0.25">
      <c r="A17846"/>
      <c r="B17846"/>
    </row>
    <row r="17847" spans="1:2" x14ac:dyDescent="0.25">
      <c r="A17847"/>
      <c r="B17847"/>
    </row>
    <row r="17848" spans="1:2" x14ac:dyDescent="0.25">
      <c r="A17848"/>
      <c r="B17848"/>
    </row>
    <row r="17849" spans="1:2" x14ac:dyDescent="0.25">
      <c r="A17849"/>
      <c r="B17849"/>
    </row>
    <row r="17850" spans="1:2" x14ac:dyDescent="0.25">
      <c r="A17850"/>
      <c r="B17850"/>
    </row>
    <row r="17851" spans="1:2" x14ac:dyDescent="0.25">
      <c r="A17851"/>
      <c r="B17851"/>
    </row>
    <row r="17852" spans="1:2" x14ac:dyDescent="0.25">
      <c r="A17852"/>
      <c r="B17852"/>
    </row>
    <row r="17853" spans="1:2" x14ac:dyDescent="0.25">
      <c r="A17853"/>
      <c r="B17853"/>
    </row>
    <row r="17854" spans="1:2" x14ac:dyDescent="0.25">
      <c r="A17854"/>
      <c r="B17854"/>
    </row>
    <row r="17855" spans="1:2" x14ac:dyDescent="0.25">
      <c r="A17855"/>
      <c r="B17855"/>
    </row>
    <row r="17856" spans="1:2" x14ac:dyDescent="0.25">
      <c r="A17856"/>
      <c r="B17856"/>
    </row>
    <row r="17857" spans="1:2" x14ac:dyDescent="0.25">
      <c r="A17857"/>
      <c r="B17857"/>
    </row>
    <row r="17858" spans="1:2" x14ac:dyDescent="0.25">
      <c r="A17858"/>
      <c r="B17858"/>
    </row>
    <row r="17859" spans="1:2" x14ac:dyDescent="0.25">
      <c r="A17859"/>
      <c r="B17859"/>
    </row>
    <row r="17860" spans="1:2" x14ac:dyDescent="0.25">
      <c r="A17860"/>
      <c r="B17860"/>
    </row>
    <row r="17861" spans="1:2" x14ac:dyDescent="0.25">
      <c r="A17861"/>
      <c r="B17861"/>
    </row>
    <row r="17862" spans="1:2" x14ac:dyDescent="0.25">
      <c r="A17862"/>
      <c r="B17862"/>
    </row>
    <row r="17863" spans="1:2" x14ac:dyDescent="0.25">
      <c r="A17863"/>
      <c r="B17863"/>
    </row>
    <row r="17864" spans="1:2" x14ac:dyDescent="0.25">
      <c r="A17864"/>
      <c r="B17864"/>
    </row>
    <row r="17865" spans="1:2" x14ac:dyDescent="0.25">
      <c r="A17865"/>
      <c r="B17865"/>
    </row>
    <row r="17866" spans="1:2" x14ac:dyDescent="0.25">
      <c r="A17866"/>
      <c r="B17866"/>
    </row>
    <row r="17867" spans="1:2" x14ac:dyDescent="0.25">
      <c r="A17867"/>
      <c r="B17867"/>
    </row>
    <row r="17868" spans="1:2" x14ac:dyDescent="0.25">
      <c r="A17868"/>
      <c r="B17868"/>
    </row>
    <row r="17869" spans="1:2" x14ac:dyDescent="0.25">
      <c r="A17869"/>
      <c r="B17869"/>
    </row>
    <row r="17870" spans="1:2" x14ac:dyDescent="0.25">
      <c r="A17870"/>
      <c r="B17870"/>
    </row>
    <row r="17871" spans="1:2" x14ac:dyDescent="0.25">
      <c r="A17871"/>
      <c r="B17871"/>
    </row>
    <row r="17872" spans="1:2" x14ac:dyDescent="0.25">
      <c r="A17872"/>
      <c r="B17872"/>
    </row>
    <row r="17873" spans="1:2" x14ac:dyDescent="0.25">
      <c r="A17873"/>
      <c r="B17873"/>
    </row>
    <row r="17874" spans="1:2" x14ac:dyDescent="0.25">
      <c r="A17874"/>
      <c r="B17874"/>
    </row>
    <row r="17875" spans="1:2" x14ac:dyDescent="0.25">
      <c r="A17875"/>
      <c r="B17875"/>
    </row>
    <row r="17876" spans="1:2" x14ac:dyDescent="0.25">
      <c r="A17876"/>
      <c r="B17876"/>
    </row>
    <row r="17877" spans="1:2" x14ac:dyDescent="0.25">
      <c r="A17877"/>
      <c r="B17877"/>
    </row>
    <row r="17878" spans="1:2" x14ac:dyDescent="0.25">
      <c r="A17878"/>
      <c r="B17878"/>
    </row>
    <row r="17879" spans="1:2" x14ac:dyDescent="0.25">
      <c r="A17879"/>
      <c r="B17879"/>
    </row>
    <row r="17880" spans="1:2" x14ac:dyDescent="0.25">
      <c r="A17880"/>
      <c r="B17880"/>
    </row>
    <row r="17881" spans="1:2" x14ac:dyDescent="0.25">
      <c r="A17881"/>
      <c r="B17881"/>
    </row>
    <row r="17882" spans="1:2" x14ac:dyDescent="0.25">
      <c r="A17882"/>
      <c r="B17882"/>
    </row>
    <row r="17883" spans="1:2" x14ac:dyDescent="0.25">
      <c r="A17883"/>
      <c r="B17883"/>
    </row>
    <row r="17884" spans="1:2" x14ac:dyDescent="0.25">
      <c r="A17884"/>
      <c r="B17884"/>
    </row>
    <row r="17885" spans="1:2" x14ac:dyDescent="0.25">
      <c r="A17885"/>
      <c r="B17885"/>
    </row>
    <row r="17886" spans="1:2" x14ac:dyDescent="0.25">
      <c r="A17886"/>
      <c r="B17886"/>
    </row>
    <row r="17887" spans="1:2" x14ac:dyDescent="0.25">
      <c r="A17887"/>
      <c r="B17887"/>
    </row>
    <row r="17888" spans="1:2" x14ac:dyDescent="0.25">
      <c r="A17888"/>
      <c r="B17888"/>
    </row>
    <row r="17889" spans="1:2" x14ac:dyDescent="0.25">
      <c r="A17889"/>
      <c r="B17889"/>
    </row>
    <row r="17890" spans="1:2" x14ac:dyDescent="0.25">
      <c r="A17890"/>
      <c r="B17890"/>
    </row>
    <row r="17891" spans="1:2" x14ac:dyDescent="0.25">
      <c r="A17891"/>
      <c r="B17891"/>
    </row>
    <row r="17892" spans="1:2" x14ac:dyDescent="0.25">
      <c r="A17892"/>
      <c r="B17892"/>
    </row>
    <row r="17893" spans="1:2" x14ac:dyDescent="0.25">
      <c r="A17893"/>
      <c r="B17893"/>
    </row>
    <row r="17894" spans="1:2" x14ac:dyDescent="0.25">
      <c r="A17894"/>
      <c r="B17894"/>
    </row>
    <row r="17895" spans="1:2" x14ac:dyDescent="0.25">
      <c r="A17895"/>
      <c r="B17895"/>
    </row>
    <row r="17896" spans="1:2" x14ac:dyDescent="0.25">
      <c r="A17896"/>
      <c r="B17896"/>
    </row>
    <row r="17897" spans="1:2" x14ac:dyDescent="0.25">
      <c r="A17897"/>
      <c r="B17897"/>
    </row>
    <row r="17898" spans="1:2" x14ac:dyDescent="0.25">
      <c r="A17898"/>
      <c r="B17898"/>
    </row>
    <row r="17899" spans="1:2" x14ac:dyDescent="0.25">
      <c r="A17899"/>
      <c r="B17899"/>
    </row>
    <row r="17900" spans="1:2" x14ac:dyDescent="0.25">
      <c r="A17900"/>
      <c r="B17900"/>
    </row>
    <row r="17901" spans="1:2" x14ac:dyDescent="0.25">
      <c r="A17901"/>
      <c r="B17901"/>
    </row>
    <row r="17902" spans="1:2" x14ac:dyDescent="0.25">
      <c r="A17902"/>
      <c r="B17902"/>
    </row>
    <row r="17903" spans="1:2" x14ac:dyDescent="0.25">
      <c r="A17903"/>
      <c r="B17903"/>
    </row>
    <row r="17904" spans="1:2" x14ac:dyDescent="0.25">
      <c r="A17904"/>
      <c r="B17904"/>
    </row>
    <row r="17905" spans="1:2" x14ac:dyDescent="0.25">
      <c r="A17905"/>
      <c r="B17905"/>
    </row>
    <row r="17906" spans="1:2" x14ac:dyDescent="0.25">
      <c r="A17906"/>
      <c r="B17906"/>
    </row>
    <row r="17907" spans="1:2" x14ac:dyDescent="0.25">
      <c r="A17907"/>
      <c r="B17907"/>
    </row>
    <row r="17908" spans="1:2" x14ac:dyDescent="0.25">
      <c r="A17908"/>
      <c r="B17908"/>
    </row>
    <row r="17909" spans="1:2" x14ac:dyDescent="0.25">
      <c r="A17909"/>
      <c r="B17909"/>
    </row>
    <row r="17910" spans="1:2" x14ac:dyDescent="0.25">
      <c r="A17910"/>
      <c r="B17910"/>
    </row>
    <row r="17911" spans="1:2" x14ac:dyDescent="0.25">
      <c r="A17911"/>
      <c r="B17911"/>
    </row>
    <row r="17912" spans="1:2" x14ac:dyDescent="0.25">
      <c r="A17912"/>
      <c r="B17912"/>
    </row>
    <row r="17913" spans="1:2" x14ac:dyDescent="0.25">
      <c r="A17913"/>
      <c r="B17913"/>
    </row>
    <row r="17914" spans="1:2" x14ac:dyDescent="0.25">
      <c r="A17914"/>
      <c r="B17914"/>
    </row>
    <row r="17915" spans="1:2" x14ac:dyDescent="0.25">
      <c r="A17915"/>
      <c r="B17915"/>
    </row>
    <row r="17916" spans="1:2" x14ac:dyDescent="0.25">
      <c r="A17916"/>
      <c r="B17916"/>
    </row>
    <row r="17917" spans="1:2" x14ac:dyDescent="0.25">
      <c r="A17917"/>
      <c r="B17917"/>
    </row>
    <row r="17918" spans="1:2" x14ac:dyDescent="0.25">
      <c r="A17918"/>
      <c r="B17918"/>
    </row>
    <row r="17919" spans="1:2" x14ac:dyDescent="0.25">
      <c r="A17919"/>
      <c r="B17919"/>
    </row>
    <row r="17920" spans="1:2" x14ac:dyDescent="0.25">
      <c r="A17920"/>
      <c r="B17920"/>
    </row>
    <row r="17921" spans="1:2" x14ac:dyDescent="0.25">
      <c r="A17921"/>
      <c r="B17921"/>
    </row>
    <row r="17922" spans="1:2" x14ac:dyDescent="0.25">
      <c r="A17922"/>
      <c r="B17922"/>
    </row>
    <row r="17923" spans="1:2" x14ac:dyDescent="0.25">
      <c r="A17923"/>
      <c r="B17923"/>
    </row>
    <row r="17924" spans="1:2" x14ac:dyDescent="0.25">
      <c r="A17924"/>
      <c r="B17924"/>
    </row>
    <row r="17925" spans="1:2" x14ac:dyDescent="0.25">
      <c r="A17925"/>
      <c r="B17925"/>
    </row>
    <row r="17926" spans="1:2" x14ac:dyDescent="0.25">
      <c r="A17926"/>
      <c r="B17926"/>
    </row>
    <row r="17927" spans="1:2" x14ac:dyDescent="0.25">
      <c r="A17927"/>
      <c r="B17927"/>
    </row>
    <row r="17928" spans="1:2" x14ac:dyDescent="0.25">
      <c r="A17928"/>
      <c r="B17928"/>
    </row>
    <row r="17929" spans="1:2" x14ac:dyDescent="0.25">
      <c r="A17929"/>
      <c r="B17929"/>
    </row>
    <row r="17930" spans="1:2" x14ac:dyDescent="0.25">
      <c r="A17930"/>
      <c r="B17930"/>
    </row>
    <row r="17931" spans="1:2" x14ac:dyDescent="0.25">
      <c r="A17931"/>
      <c r="B17931"/>
    </row>
    <row r="17932" spans="1:2" x14ac:dyDescent="0.25">
      <c r="A17932"/>
      <c r="B17932"/>
    </row>
    <row r="17933" spans="1:2" x14ac:dyDescent="0.25">
      <c r="A17933"/>
      <c r="B17933"/>
    </row>
    <row r="17934" spans="1:2" x14ac:dyDescent="0.25">
      <c r="A17934"/>
      <c r="B17934"/>
    </row>
    <row r="17935" spans="1:2" x14ac:dyDescent="0.25">
      <c r="A17935"/>
      <c r="B17935"/>
    </row>
    <row r="17936" spans="1:2" x14ac:dyDescent="0.25">
      <c r="A17936"/>
      <c r="B17936"/>
    </row>
    <row r="17937" spans="1:2" x14ac:dyDescent="0.25">
      <c r="A17937"/>
      <c r="B17937"/>
    </row>
    <row r="17938" spans="1:2" x14ac:dyDescent="0.25">
      <c r="A17938"/>
      <c r="B17938"/>
    </row>
    <row r="17939" spans="1:2" x14ac:dyDescent="0.25">
      <c r="A17939"/>
      <c r="B17939"/>
    </row>
    <row r="17940" spans="1:2" x14ac:dyDescent="0.25">
      <c r="A17940"/>
      <c r="B17940"/>
    </row>
    <row r="17941" spans="1:2" x14ac:dyDescent="0.25">
      <c r="A17941"/>
      <c r="B17941"/>
    </row>
    <row r="17942" spans="1:2" x14ac:dyDescent="0.25">
      <c r="A17942"/>
      <c r="B17942"/>
    </row>
    <row r="17943" spans="1:2" x14ac:dyDescent="0.25">
      <c r="A17943"/>
      <c r="B17943"/>
    </row>
    <row r="17944" spans="1:2" x14ac:dyDescent="0.25">
      <c r="A17944"/>
      <c r="B17944"/>
    </row>
    <row r="17945" spans="1:2" x14ac:dyDescent="0.25">
      <c r="A17945"/>
      <c r="B17945"/>
    </row>
    <row r="17946" spans="1:2" x14ac:dyDescent="0.25">
      <c r="A17946"/>
      <c r="B17946"/>
    </row>
    <row r="17947" spans="1:2" x14ac:dyDescent="0.25">
      <c r="A17947"/>
      <c r="B17947"/>
    </row>
    <row r="17948" spans="1:2" x14ac:dyDescent="0.25">
      <c r="A17948"/>
      <c r="B17948"/>
    </row>
    <row r="17949" spans="1:2" x14ac:dyDescent="0.25">
      <c r="A17949"/>
      <c r="B17949"/>
    </row>
    <row r="17950" spans="1:2" x14ac:dyDescent="0.25">
      <c r="A17950"/>
      <c r="B17950"/>
    </row>
    <row r="17951" spans="1:2" x14ac:dyDescent="0.25">
      <c r="A17951"/>
      <c r="B17951"/>
    </row>
    <row r="17952" spans="1:2" x14ac:dyDescent="0.25">
      <c r="A17952"/>
      <c r="B17952"/>
    </row>
    <row r="17953" spans="1:2" x14ac:dyDescent="0.25">
      <c r="A17953"/>
      <c r="B17953"/>
    </row>
    <row r="17954" spans="1:2" x14ac:dyDescent="0.25">
      <c r="A17954"/>
      <c r="B17954"/>
    </row>
    <row r="17955" spans="1:2" x14ac:dyDescent="0.25">
      <c r="A17955"/>
      <c r="B17955"/>
    </row>
    <row r="17956" spans="1:2" x14ac:dyDescent="0.25">
      <c r="A17956"/>
      <c r="B17956"/>
    </row>
    <row r="17957" spans="1:2" x14ac:dyDescent="0.25">
      <c r="A17957"/>
      <c r="B17957"/>
    </row>
    <row r="17958" spans="1:2" x14ac:dyDescent="0.25">
      <c r="A17958"/>
      <c r="B17958"/>
    </row>
    <row r="17959" spans="1:2" x14ac:dyDescent="0.25">
      <c r="A17959"/>
      <c r="B17959"/>
    </row>
    <row r="17960" spans="1:2" x14ac:dyDescent="0.25">
      <c r="A17960"/>
      <c r="B17960"/>
    </row>
    <row r="17961" spans="1:2" x14ac:dyDescent="0.25">
      <c r="A17961"/>
      <c r="B17961"/>
    </row>
    <row r="17962" spans="1:2" x14ac:dyDescent="0.25">
      <c r="A17962"/>
      <c r="B17962"/>
    </row>
    <row r="17963" spans="1:2" x14ac:dyDescent="0.25">
      <c r="A17963"/>
      <c r="B17963"/>
    </row>
    <row r="17964" spans="1:2" x14ac:dyDescent="0.25">
      <c r="A17964"/>
      <c r="B17964"/>
    </row>
    <row r="17965" spans="1:2" x14ac:dyDescent="0.25">
      <c r="A17965"/>
      <c r="B17965"/>
    </row>
    <row r="17966" spans="1:2" x14ac:dyDescent="0.25">
      <c r="A17966"/>
      <c r="B17966"/>
    </row>
    <row r="17967" spans="1:2" x14ac:dyDescent="0.25">
      <c r="A17967"/>
      <c r="B17967"/>
    </row>
    <row r="17968" spans="1:2" x14ac:dyDescent="0.25">
      <c r="A17968"/>
      <c r="B17968"/>
    </row>
    <row r="17969" spans="1:2" x14ac:dyDescent="0.25">
      <c r="A17969"/>
      <c r="B17969"/>
    </row>
    <row r="17970" spans="1:2" x14ac:dyDescent="0.25">
      <c r="A17970"/>
      <c r="B17970"/>
    </row>
    <row r="17971" spans="1:2" x14ac:dyDescent="0.25">
      <c r="A17971"/>
      <c r="B17971"/>
    </row>
    <row r="17972" spans="1:2" x14ac:dyDescent="0.25">
      <c r="A17972"/>
      <c r="B17972"/>
    </row>
    <row r="17973" spans="1:2" x14ac:dyDescent="0.25">
      <c r="A17973"/>
      <c r="B17973"/>
    </row>
    <row r="17974" spans="1:2" x14ac:dyDescent="0.25">
      <c r="A17974"/>
      <c r="B17974"/>
    </row>
    <row r="17975" spans="1:2" x14ac:dyDescent="0.25">
      <c r="A17975"/>
      <c r="B17975"/>
    </row>
    <row r="17976" spans="1:2" x14ac:dyDescent="0.25">
      <c r="A17976"/>
      <c r="B17976"/>
    </row>
    <row r="17977" spans="1:2" x14ac:dyDescent="0.25">
      <c r="A17977"/>
      <c r="B17977"/>
    </row>
    <row r="17978" spans="1:2" x14ac:dyDescent="0.25">
      <c r="A17978"/>
      <c r="B17978"/>
    </row>
    <row r="17979" spans="1:2" x14ac:dyDescent="0.25">
      <c r="A17979"/>
      <c r="B17979"/>
    </row>
    <row r="17980" spans="1:2" x14ac:dyDescent="0.25">
      <c r="A17980"/>
      <c r="B17980"/>
    </row>
    <row r="17981" spans="1:2" x14ac:dyDescent="0.25">
      <c r="A17981"/>
      <c r="B17981"/>
    </row>
    <row r="17982" spans="1:2" x14ac:dyDescent="0.25">
      <c r="A17982"/>
      <c r="B17982"/>
    </row>
    <row r="17983" spans="1:2" x14ac:dyDescent="0.25">
      <c r="A17983"/>
      <c r="B17983"/>
    </row>
    <row r="17984" spans="1:2" x14ac:dyDescent="0.25">
      <c r="A17984"/>
      <c r="B17984"/>
    </row>
    <row r="17985" spans="1:2" x14ac:dyDescent="0.25">
      <c r="A17985"/>
      <c r="B17985"/>
    </row>
    <row r="17986" spans="1:2" x14ac:dyDescent="0.25">
      <c r="A17986"/>
      <c r="B17986"/>
    </row>
    <row r="17987" spans="1:2" x14ac:dyDescent="0.25">
      <c r="A17987"/>
      <c r="B17987"/>
    </row>
    <row r="17988" spans="1:2" x14ac:dyDescent="0.25">
      <c r="A17988"/>
      <c r="B17988"/>
    </row>
    <row r="17989" spans="1:2" x14ac:dyDescent="0.25">
      <c r="A17989"/>
      <c r="B17989"/>
    </row>
    <row r="17990" spans="1:2" x14ac:dyDescent="0.25">
      <c r="A17990"/>
      <c r="B17990"/>
    </row>
    <row r="17991" spans="1:2" x14ac:dyDescent="0.25">
      <c r="A17991"/>
      <c r="B17991"/>
    </row>
    <row r="17992" spans="1:2" x14ac:dyDescent="0.25">
      <c r="A17992"/>
      <c r="B17992"/>
    </row>
    <row r="17993" spans="1:2" x14ac:dyDescent="0.25">
      <c r="A17993"/>
      <c r="B17993"/>
    </row>
    <row r="17994" spans="1:2" x14ac:dyDescent="0.25">
      <c r="A17994"/>
      <c r="B17994"/>
    </row>
    <row r="17995" spans="1:2" x14ac:dyDescent="0.25">
      <c r="A17995"/>
      <c r="B17995"/>
    </row>
    <row r="17996" spans="1:2" x14ac:dyDescent="0.25">
      <c r="A17996"/>
      <c r="B17996"/>
    </row>
    <row r="17997" spans="1:2" x14ac:dyDescent="0.25">
      <c r="A17997"/>
      <c r="B17997"/>
    </row>
    <row r="17998" spans="1:2" x14ac:dyDescent="0.25">
      <c r="A17998"/>
      <c r="B17998"/>
    </row>
    <row r="17999" spans="1:2" x14ac:dyDescent="0.25">
      <c r="A17999"/>
      <c r="B17999"/>
    </row>
    <row r="18000" spans="1:2" x14ac:dyDescent="0.25">
      <c r="A18000"/>
      <c r="B18000"/>
    </row>
    <row r="18001" spans="1:2" x14ac:dyDescent="0.25">
      <c r="A18001"/>
      <c r="B18001"/>
    </row>
    <row r="18002" spans="1:2" x14ac:dyDescent="0.25">
      <c r="A18002"/>
      <c r="B18002"/>
    </row>
    <row r="18003" spans="1:2" x14ac:dyDescent="0.25">
      <c r="A18003"/>
      <c r="B18003"/>
    </row>
    <row r="18004" spans="1:2" x14ac:dyDescent="0.25">
      <c r="A18004"/>
      <c r="B18004"/>
    </row>
    <row r="18005" spans="1:2" x14ac:dyDescent="0.25">
      <c r="A18005"/>
      <c r="B18005"/>
    </row>
    <row r="18006" spans="1:2" x14ac:dyDescent="0.25">
      <c r="A18006"/>
      <c r="B18006"/>
    </row>
    <row r="18007" spans="1:2" x14ac:dyDescent="0.25">
      <c r="A18007"/>
      <c r="B18007"/>
    </row>
    <row r="18008" spans="1:2" x14ac:dyDescent="0.25">
      <c r="A18008"/>
      <c r="B18008"/>
    </row>
    <row r="18009" spans="1:2" x14ac:dyDescent="0.25">
      <c r="A18009"/>
      <c r="B18009"/>
    </row>
    <row r="18010" spans="1:2" x14ac:dyDescent="0.25">
      <c r="A18010"/>
      <c r="B18010"/>
    </row>
    <row r="18011" spans="1:2" x14ac:dyDescent="0.25">
      <c r="A18011"/>
      <c r="B18011"/>
    </row>
    <row r="18012" spans="1:2" x14ac:dyDescent="0.25">
      <c r="A18012"/>
      <c r="B18012"/>
    </row>
    <row r="18013" spans="1:2" x14ac:dyDescent="0.25">
      <c r="A18013"/>
      <c r="B18013"/>
    </row>
    <row r="18014" spans="1:2" x14ac:dyDescent="0.25">
      <c r="A18014"/>
      <c r="B18014"/>
    </row>
    <row r="18015" spans="1:2" x14ac:dyDescent="0.25">
      <c r="A18015"/>
      <c r="B18015"/>
    </row>
    <row r="18016" spans="1:2" x14ac:dyDescent="0.25">
      <c r="A18016"/>
      <c r="B18016"/>
    </row>
    <row r="18017" spans="1:2" x14ac:dyDescent="0.25">
      <c r="A18017"/>
      <c r="B18017"/>
    </row>
    <row r="18018" spans="1:2" x14ac:dyDescent="0.25">
      <c r="A18018"/>
      <c r="B18018"/>
    </row>
    <row r="18019" spans="1:2" x14ac:dyDescent="0.25">
      <c r="A18019"/>
      <c r="B18019"/>
    </row>
    <row r="18020" spans="1:2" x14ac:dyDescent="0.25">
      <c r="A18020"/>
      <c r="B18020"/>
    </row>
    <row r="18021" spans="1:2" x14ac:dyDescent="0.25">
      <c r="A18021"/>
      <c r="B18021"/>
    </row>
    <row r="18022" spans="1:2" x14ac:dyDescent="0.25">
      <c r="A18022"/>
      <c r="B18022"/>
    </row>
    <row r="18023" spans="1:2" x14ac:dyDescent="0.25">
      <c r="A18023"/>
      <c r="B18023"/>
    </row>
    <row r="18024" spans="1:2" x14ac:dyDescent="0.25">
      <c r="A18024"/>
      <c r="B18024"/>
    </row>
    <row r="18025" spans="1:2" x14ac:dyDescent="0.25">
      <c r="A18025"/>
      <c r="B18025"/>
    </row>
    <row r="18026" spans="1:2" x14ac:dyDescent="0.25">
      <c r="A18026"/>
      <c r="B18026"/>
    </row>
    <row r="18027" spans="1:2" x14ac:dyDescent="0.25">
      <c r="A18027"/>
      <c r="B18027"/>
    </row>
    <row r="18028" spans="1:2" x14ac:dyDescent="0.25">
      <c r="A18028"/>
      <c r="B18028"/>
    </row>
    <row r="18029" spans="1:2" x14ac:dyDescent="0.25">
      <c r="A18029"/>
      <c r="B18029"/>
    </row>
    <row r="18030" spans="1:2" x14ac:dyDescent="0.25">
      <c r="A18030"/>
      <c r="B18030"/>
    </row>
    <row r="18031" spans="1:2" x14ac:dyDescent="0.25">
      <c r="A18031"/>
      <c r="B18031"/>
    </row>
    <row r="18032" spans="1:2" x14ac:dyDescent="0.25">
      <c r="A18032"/>
      <c r="B18032"/>
    </row>
    <row r="18033" spans="1:2" x14ac:dyDescent="0.25">
      <c r="A18033"/>
      <c r="B18033"/>
    </row>
    <row r="18034" spans="1:2" x14ac:dyDescent="0.25">
      <c r="A18034"/>
      <c r="B18034"/>
    </row>
    <row r="18035" spans="1:2" x14ac:dyDescent="0.25">
      <c r="A18035"/>
      <c r="B18035"/>
    </row>
    <row r="18036" spans="1:2" x14ac:dyDescent="0.25">
      <c r="A18036"/>
      <c r="B18036"/>
    </row>
    <row r="18037" spans="1:2" x14ac:dyDescent="0.25">
      <c r="A18037"/>
      <c r="B18037"/>
    </row>
    <row r="18038" spans="1:2" x14ac:dyDescent="0.25">
      <c r="A18038"/>
      <c r="B18038"/>
    </row>
    <row r="18039" spans="1:2" x14ac:dyDescent="0.25">
      <c r="A18039"/>
      <c r="B18039"/>
    </row>
    <row r="18040" spans="1:2" x14ac:dyDescent="0.25">
      <c r="A18040"/>
      <c r="B18040"/>
    </row>
    <row r="18041" spans="1:2" x14ac:dyDescent="0.25">
      <c r="A18041"/>
      <c r="B18041"/>
    </row>
    <row r="18042" spans="1:2" x14ac:dyDescent="0.25">
      <c r="A18042"/>
      <c r="B18042"/>
    </row>
    <row r="18043" spans="1:2" x14ac:dyDescent="0.25">
      <c r="A18043"/>
      <c r="B18043"/>
    </row>
    <row r="18044" spans="1:2" x14ac:dyDescent="0.25">
      <c r="A18044"/>
      <c r="B18044"/>
    </row>
    <row r="18045" spans="1:2" x14ac:dyDescent="0.25">
      <c r="A18045"/>
      <c r="B18045"/>
    </row>
    <row r="18046" spans="1:2" x14ac:dyDescent="0.25">
      <c r="A18046"/>
      <c r="B18046"/>
    </row>
    <row r="18047" spans="1:2" x14ac:dyDescent="0.25">
      <c r="A18047"/>
      <c r="B18047"/>
    </row>
    <row r="18048" spans="1:2" x14ac:dyDescent="0.25">
      <c r="A18048"/>
      <c r="B18048"/>
    </row>
    <row r="18049" spans="1:2" x14ac:dyDescent="0.25">
      <c r="A18049"/>
      <c r="B18049"/>
    </row>
    <row r="18050" spans="1:2" x14ac:dyDescent="0.25">
      <c r="A18050"/>
      <c r="B18050"/>
    </row>
    <row r="18051" spans="1:2" x14ac:dyDescent="0.25">
      <c r="A18051"/>
      <c r="B18051"/>
    </row>
    <row r="18052" spans="1:2" x14ac:dyDescent="0.25">
      <c r="A18052"/>
      <c r="B18052"/>
    </row>
    <row r="18053" spans="1:2" x14ac:dyDescent="0.25">
      <c r="A18053"/>
      <c r="B18053"/>
    </row>
    <row r="18054" spans="1:2" x14ac:dyDescent="0.25">
      <c r="A18054"/>
      <c r="B18054"/>
    </row>
    <row r="18055" spans="1:2" x14ac:dyDescent="0.25">
      <c r="A18055"/>
      <c r="B18055"/>
    </row>
    <row r="18056" spans="1:2" x14ac:dyDescent="0.25">
      <c r="A18056"/>
      <c r="B18056"/>
    </row>
    <row r="18057" spans="1:2" x14ac:dyDescent="0.25">
      <c r="A18057"/>
      <c r="B18057"/>
    </row>
    <row r="18058" spans="1:2" x14ac:dyDescent="0.25">
      <c r="A18058"/>
      <c r="B18058"/>
    </row>
    <row r="18059" spans="1:2" x14ac:dyDescent="0.25">
      <c r="A18059"/>
      <c r="B18059"/>
    </row>
    <row r="18060" spans="1:2" x14ac:dyDescent="0.25">
      <c r="A18060"/>
      <c r="B18060"/>
    </row>
    <row r="18061" spans="1:2" x14ac:dyDescent="0.25">
      <c r="A18061"/>
      <c r="B18061"/>
    </row>
    <row r="18062" spans="1:2" x14ac:dyDescent="0.25">
      <c r="A18062"/>
      <c r="B18062"/>
    </row>
    <row r="18063" spans="1:2" x14ac:dyDescent="0.25">
      <c r="A18063"/>
      <c r="B18063"/>
    </row>
    <row r="18064" spans="1:2" x14ac:dyDescent="0.25">
      <c r="A18064"/>
      <c r="B18064"/>
    </row>
    <row r="18065" spans="1:2" x14ac:dyDescent="0.25">
      <c r="A18065"/>
      <c r="B18065"/>
    </row>
    <row r="18066" spans="1:2" x14ac:dyDescent="0.25">
      <c r="A18066"/>
      <c r="B18066"/>
    </row>
    <row r="18067" spans="1:2" x14ac:dyDescent="0.25">
      <c r="A18067"/>
      <c r="B18067"/>
    </row>
    <row r="18068" spans="1:2" x14ac:dyDescent="0.25">
      <c r="A18068"/>
      <c r="B18068"/>
    </row>
    <row r="18069" spans="1:2" x14ac:dyDescent="0.25">
      <c r="A18069"/>
      <c r="B18069"/>
    </row>
    <row r="18070" spans="1:2" x14ac:dyDescent="0.25">
      <c r="A18070"/>
      <c r="B18070"/>
    </row>
    <row r="18071" spans="1:2" x14ac:dyDescent="0.25">
      <c r="A18071"/>
      <c r="B18071"/>
    </row>
    <row r="18072" spans="1:2" x14ac:dyDescent="0.25">
      <c r="A18072"/>
      <c r="B18072"/>
    </row>
    <row r="18073" spans="1:2" x14ac:dyDescent="0.25">
      <c r="A18073"/>
      <c r="B18073"/>
    </row>
    <row r="18074" spans="1:2" x14ac:dyDescent="0.25">
      <c r="A18074"/>
      <c r="B18074"/>
    </row>
    <row r="18075" spans="1:2" x14ac:dyDescent="0.25">
      <c r="A18075"/>
      <c r="B18075"/>
    </row>
    <row r="18076" spans="1:2" x14ac:dyDescent="0.25">
      <c r="A18076"/>
      <c r="B18076"/>
    </row>
    <row r="18077" spans="1:2" x14ac:dyDescent="0.25">
      <c r="A18077"/>
      <c r="B18077"/>
    </row>
    <row r="18078" spans="1:2" x14ac:dyDescent="0.25">
      <c r="A18078"/>
      <c r="B18078"/>
    </row>
    <row r="18079" spans="1:2" x14ac:dyDescent="0.25">
      <c r="A18079"/>
      <c r="B18079"/>
    </row>
    <row r="18080" spans="1:2" x14ac:dyDescent="0.25">
      <c r="A18080"/>
      <c r="B18080"/>
    </row>
    <row r="18081" spans="1:2" x14ac:dyDescent="0.25">
      <c r="A18081"/>
      <c r="B18081"/>
    </row>
    <row r="18082" spans="1:2" x14ac:dyDescent="0.25">
      <c r="A18082"/>
      <c r="B18082"/>
    </row>
    <row r="18083" spans="1:2" x14ac:dyDescent="0.25">
      <c r="A18083"/>
      <c r="B18083"/>
    </row>
    <row r="18084" spans="1:2" x14ac:dyDescent="0.25">
      <c r="A18084"/>
      <c r="B18084"/>
    </row>
    <row r="18085" spans="1:2" x14ac:dyDescent="0.25">
      <c r="A18085"/>
      <c r="B18085"/>
    </row>
    <row r="18086" spans="1:2" x14ac:dyDescent="0.25">
      <c r="A18086"/>
      <c r="B18086"/>
    </row>
    <row r="18087" spans="1:2" x14ac:dyDescent="0.25">
      <c r="A18087"/>
      <c r="B18087"/>
    </row>
    <row r="18088" spans="1:2" x14ac:dyDescent="0.25">
      <c r="A18088"/>
      <c r="B18088"/>
    </row>
    <row r="18089" spans="1:2" x14ac:dyDescent="0.25">
      <c r="A18089"/>
      <c r="B18089"/>
    </row>
    <row r="18090" spans="1:2" x14ac:dyDescent="0.25">
      <c r="A18090"/>
      <c r="B18090"/>
    </row>
    <row r="18091" spans="1:2" x14ac:dyDescent="0.25">
      <c r="A18091"/>
      <c r="B18091"/>
    </row>
    <row r="18092" spans="1:2" x14ac:dyDescent="0.25">
      <c r="A18092"/>
      <c r="B18092"/>
    </row>
    <row r="18093" spans="1:2" x14ac:dyDescent="0.25">
      <c r="A18093"/>
      <c r="B18093"/>
    </row>
    <row r="18094" spans="1:2" x14ac:dyDescent="0.25">
      <c r="A18094"/>
      <c r="B18094"/>
    </row>
    <row r="18095" spans="1:2" x14ac:dyDescent="0.25">
      <c r="A18095"/>
      <c r="B18095"/>
    </row>
    <row r="18096" spans="1:2" x14ac:dyDescent="0.25">
      <c r="A18096"/>
      <c r="B18096"/>
    </row>
    <row r="18097" spans="1:2" x14ac:dyDescent="0.25">
      <c r="A18097"/>
      <c r="B18097"/>
    </row>
    <row r="18098" spans="1:2" x14ac:dyDescent="0.25">
      <c r="A18098"/>
      <c r="B18098"/>
    </row>
    <row r="18099" spans="1:2" x14ac:dyDescent="0.25">
      <c r="A18099"/>
      <c r="B18099"/>
    </row>
    <row r="18100" spans="1:2" x14ac:dyDescent="0.25">
      <c r="A18100"/>
      <c r="B18100"/>
    </row>
    <row r="18101" spans="1:2" x14ac:dyDescent="0.25">
      <c r="A18101"/>
      <c r="B18101"/>
    </row>
    <row r="18102" spans="1:2" x14ac:dyDescent="0.25">
      <c r="A18102"/>
      <c r="B18102"/>
    </row>
    <row r="18103" spans="1:2" x14ac:dyDescent="0.25">
      <c r="A18103"/>
      <c r="B18103"/>
    </row>
    <row r="18104" spans="1:2" x14ac:dyDescent="0.25">
      <c r="A18104"/>
      <c r="B18104"/>
    </row>
    <row r="18105" spans="1:2" x14ac:dyDescent="0.25">
      <c r="A18105"/>
      <c r="B18105"/>
    </row>
    <row r="18106" spans="1:2" x14ac:dyDescent="0.25">
      <c r="A18106"/>
      <c r="B18106"/>
    </row>
    <row r="18107" spans="1:2" x14ac:dyDescent="0.25">
      <c r="A18107"/>
      <c r="B18107"/>
    </row>
    <row r="18108" spans="1:2" x14ac:dyDescent="0.25">
      <c r="A18108"/>
      <c r="B18108"/>
    </row>
    <row r="18109" spans="1:2" x14ac:dyDescent="0.25">
      <c r="A18109"/>
      <c r="B18109"/>
    </row>
    <row r="18110" spans="1:2" x14ac:dyDescent="0.25">
      <c r="A18110"/>
      <c r="B18110"/>
    </row>
    <row r="18111" spans="1:2" x14ac:dyDescent="0.25">
      <c r="A18111"/>
      <c r="B18111"/>
    </row>
    <row r="18112" spans="1:2" x14ac:dyDescent="0.25">
      <c r="A18112"/>
      <c r="B18112"/>
    </row>
    <row r="18113" spans="1:2" x14ac:dyDescent="0.25">
      <c r="A18113"/>
      <c r="B18113"/>
    </row>
    <row r="18114" spans="1:2" x14ac:dyDescent="0.25">
      <c r="A18114"/>
      <c r="B18114"/>
    </row>
    <row r="18115" spans="1:2" x14ac:dyDescent="0.25">
      <c r="A18115"/>
      <c r="B18115"/>
    </row>
    <row r="18116" spans="1:2" x14ac:dyDescent="0.25">
      <c r="A18116"/>
      <c r="B18116"/>
    </row>
    <row r="18117" spans="1:2" x14ac:dyDescent="0.25">
      <c r="A18117"/>
      <c r="B18117"/>
    </row>
    <row r="18118" spans="1:2" x14ac:dyDescent="0.25">
      <c r="A18118"/>
      <c r="B18118"/>
    </row>
    <row r="18119" spans="1:2" x14ac:dyDescent="0.25">
      <c r="A18119"/>
      <c r="B18119"/>
    </row>
    <row r="18120" spans="1:2" x14ac:dyDescent="0.25">
      <c r="A18120"/>
      <c r="B18120"/>
    </row>
    <row r="18121" spans="1:2" x14ac:dyDescent="0.25">
      <c r="A18121"/>
      <c r="B18121"/>
    </row>
    <row r="18122" spans="1:2" x14ac:dyDescent="0.25">
      <c r="A18122"/>
      <c r="B18122"/>
    </row>
    <row r="18123" spans="1:2" x14ac:dyDescent="0.25">
      <c r="A18123"/>
      <c r="B18123"/>
    </row>
    <row r="18124" spans="1:2" x14ac:dyDescent="0.25">
      <c r="A18124"/>
      <c r="B18124"/>
    </row>
    <row r="18125" spans="1:2" x14ac:dyDescent="0.25">
      <c r="A18125"/>
      <c r="B18125"/>
    </row>
    <row r="18126" spans="1:2" x14ac:dyDescent="0.25">
      <c r="A18126"/>
      <c r="B18126"/>
    </row>
    <row r="18127" spans="1:2" x14ac:dyDescent="0.25">
      <c r="A18127"/>
      <c r="B18127"/>
    </row>
    <row r="18128" spans="1:2" x14ac:dyDescent="0.25">
      <c r="A18128"/>
      <c r="B18128"/>
    </row>
    <row r="18129" spans="1:2" x14ac:dyDescent="0.25">
      <c r="A18129"/>
      <c r="B18129"/>
    </row>
    <row r="18130" spans="1:2" x14ac:dyDescent="0.25">
      <c r="A18130"/>
      <c r="B18130"/>
    </row>
    <row r="18131" spans="1:2" x14ac:dyDescent="0.25">
      <c r="A18131"/>
      <c r="B18131"/>
    </row>
    <row r="18132" spans="1:2" x14ac:dyDescent="0.25">
      <c r="A18132"/>
      <c r="B18132"/>
    </row>
    <row r="18133" spans="1:2" x14ac:dyDescent="0.25">
      <c r="A18133"/>
      <c r="B18133"/>
    </row>
    <row r="18134" spans="1:2" x14ac:dyDescent="0.25">
      <c r="A18134"/>
      <c r="B18134"/>
    </row>
    <row r="18135" spans="1:2" x14ac:dyDescent="0.25">
      <c r="A18135"/>
      <c r="B18135"/>
    </row>
    <row r="18136" spans="1:2" x14ac:dyDescent="0.25">
      <c r="A18136"/>
      <c r="B18136"/>
    </row>
    <row r="18137" spans="1:2" x14ac:dyDescent="0.25">
      <c r="A18137"/>
      <c r="B18137"/>
    </row>
    <row r="18138" spans="1:2" x14ac:dyDescent="0.25">
      <c r="A18138"/>
      <c r="B18138"/>
    </row>
    <row r="18139" spans="1:2" x14ac:dyDescent="0.25">
      <c r="A18139"/>
      <c r="B18139"/>
    </row>
    <row r="18140" spans="1:2" x14ac:dyDescent="0.25">
      <c r="A18140"/>
      <c r="B18140"/>
    </row>
    <row r="18141" spans="1:2" x14ac:dyDescent="0.25">
      <c r="A18141"/>
      <c r="B18141"/>
    </row>
    <row r="18142" spans="1:2" x14ac:dyDescent="0.25">
      <c r="A18142"/>
      <c r="B18142"/>
    </row>
    <row r="18143" spans="1:2" x14ac:dyDescent="0.25">
      <c r="A18143"/>
      <c r="B18143"/>
    </row>
    <row r="18144" spans="1:2" x14ac:dyDescent="0.25">
      <c r="A18144"/>
      <c r="B18144"/>
    </row>
    <row r="18145" spans="1:2" x14ac:dyDescent="0.25">
      <c r="A18145"/>
      <c r="B18145"/>
    </row>
    <row r="18146" spans="1:2" x14ac:dyDescent="0.25">
      <c r="A18146"/>
      <c r="B18146"/>
    </row>
    <row r="18147" spans="1:2" x14ac:dyDescent="0.25">
      <c r="A18147"/>
      <c r="B18147"/>
    </row>
    <row r="18148" spans="1:2" x14ac:dyDescent="0.25">
      <c r="A18148"/>
      <c r="B18148"/>
    </row>
    <row r="18149" spans="1:2" x14ac:dyDescent="0.25">
      <c r="A18149"/>
      <c r="B18149"/>
    </row>
    <row r="18150" spans="1:2" x14ac:dyDescent="0.25">
      <c r="A18150"/>
      <c r="B18150"/>
    </row>
    <row r="18151" spans="1:2" x14ac:dyDescent="0.25">
      <c r="A18151"/>
      <c r="B18151"/>
    </row>
    <row r="18152" spans="1:2" x14ac:dyDescent="0.25">
      <c r="A18152"/>
      <c r="B18152"/>
    </row>
    <row r="18153" spans="1:2" x14ac:dyDescent="0.25">
      <c r="A18153"/>
      <c r="B18153"/>
    </row>
    <row r="18154" spans="1:2" x14ac:dyDescent="0.25">
      <c r="A18154"/>
      <c r="B18154"/>
    </row>
    <row r="18155" spans="1:2" x14ac:dyDescent="0.25">
      <c r="A18155"/>
      <c r="B18155"/>
    </row>
    <row r="18156" spans="1:2" x14ac:dyDescent="0.25">
      <c r="A18156"/>
      <c r="B18156"/>
    </row>
    <row r="18157" spans="1:2" x14ac:dyDescent="0.25">
      <c r="A18157"/>
      <c r="B18157"/>
    </row>
    <row r="18158" spans="1:2" x14ac:dyDescent="0.25">
      <c r="A18158"/>
      <c r="B18158"/>
    </row>
    <row r="18159" spans="1:2" x14ac:dyDescent="0.25">
      <c r="A18159"/>
      <c r="B18159"/>
    </row>
    <row r="18160" spans="1:2" x14ac:dyDescent="0.25">
      <c r="A18160"/>
      <c r="B18160"/>
    </row>
    <row r="18161" spans="1:2" x14ac:dyDescent="0.25">
      <c r="A18161"/>
      <c r="B18161"/>
    </row>
    <row r="18162" spans="1:2" x14ac:dyDescent="0.25">
      <c r="A18162"/>
      <c r="B18162"/>
    </row>
    <row r="18163" spans="1:2" x14ac:dyDescent="0.25">
      <c r="A18163"/>
      <c r="B18163"/>
    </row>
    <row r="18164" spans="1:2" x14ac:dyDescent="0.25">
      <c r="A18164"/>
      <c r="B18164"/>
    </row>
    <row r="18165" spans="1:2" x14ac:dyDescent="0.25">
      <c r="A18165"/>
      <c r="B18165"/>
    </row>
    <row r="18166" spans="1:2" x14ac:dyDescent="0.25">
      <c r="A18166"/>
      <c r="B18166"/>
    </row>
    <row r="18167" spans="1:2" x14ac:dyDescent="0.25">
      <c r="A18167"/>
      <c r="B18167"/>
    </row>
    <row r="18168" spans="1:2" x14ac:dyDescent="0.25">
      <c r="A18168"/>
      <c r="B18168"/>
    </row>
    <row r="18169" spans="1:2" x14ac:dyDescent="0.25">
      <c r="A18169"/>
      <c r="B18169"/>
    </row>
    <row r="18170" spans="1:2" x14ac:dyDescent="0.25">
      <c r="A18170"/>
      <c r="B18170"/>
    </row>
    <row r="18171" spans="1:2" x14ac:dyDescent="0.25">
      <c r="A18171"/>
      <c r="B18171"/>
    </row>
    <row r="18172" spans="1:2" x14ac:dyDescent="0.25">
      <c r="A18172"/>
      <c r="B18172"/>
    </row>
    <row r="18173" spans="1:2" x14ac:dyDescent="0.25">
      <c r="A18173"/>
      <c r="B18173"/>
    </row>
    <row r="18174" spans="1:2" x14ac:dyDescent="0.25">
      <c r="A18174"/>
      <c r="B18174"/>
    </row>
    <row r="18175" spans="1:2" x14ac:dyDescent="0.25">
      <c r="A18175"/>
      <c r="B18175"/>
    </row>
    <row r="18176" spans="1:2" x14ac:dyDescent="0.25">
      <c r="A18176"/>
      <c r="B18176"/>
    </row>
    <row r="18177" spans="1:2" x14ac:dyDescent="0.25">
      <c r="A18177"/>
      <c r="B18177"/>
    </row>
    <row r="18178" spans="1:2" x14ac:dyDescent="0.25">
      <c r="A18178"/>
      <c r="B18178"/>
    </row>
    <row r="18179" spans="1:2" x14ac:dyDescent="0.25">
      <c r="A18179"/>
      <c r="B18179"/>
    </row>
    <row r="18180" spans="1:2" x14ac:dyDescent="0.25">
      <c r="A18180"/>
      <c r="B18180"/>
    </row>
    <row r="18181" spans="1:2" x14ac:dyDescent="0.25">
      <c r="A18181"/>
      <c r="B18181"/>
    </row>
    <row r="18182" spans="1:2" x14ac:dyDescent="0.25">
      <c r="A18182"/>
      <c r="B18182"/>
    </row>
    <row r="18183" spans="1:2" x14ac:dyDescent="0.25">
      <c r="A18183"/>
      <c r="B18183"/>
    </row>
    <row r="18184" spans="1:2" x14ac:dyDescent="0.25">
      <c r="A18184"/>
      <c r="B18184"/>
    </row>
    <row r="18185" spans="1:2" x14ac:dyDescent="0.25">
      <c r="A18185"/>
      <c r="B18185"/>
    </row>
    <row r="18186" spans="1:2" x14ac:dyDescent="0.25">
      <c r="A18186"/>
      <c r="B18186"/>
    </row>
    <row r="18187" spans="1:2" x14ac:dyDescent="0.25">
      <c r="A18187"/>
      <c r="B18187"/>
    </row>
    <row r="18188" spans="1:2" x14ac:dyDescent="0.25">
      <c r="A18188"/>
      <c r="B18188"/>
    </row>
    <row r="18189" spans="1:2" x14ac:dyDescent="0.25">
      <c r="A18189"/>
      <c r="B18189"/>
    </row>
    <row r="18190" spans="1:2" x14ac:dyDescent="0.25">
      <c r="A18190"/>
      <c r="B18190"/>
    </row>
    <row r="18191" spans="1:2" x14ac:dyDescent="0.25">
      <c r="A18191"/>
      <c r="B18191"/>
    </row>
    <row r="18192" spans="1:2" x14ac:dyDescent="0.25">
      <c r="A18192"/>
      <c r="B18192"/>
    </row>
    <row r="18193" spans="1:2" x14ac:dyDescent="0.25">
      <c r="A18193"/>
      <c r="B18193"/>
    </row>
    <row r="18194" spans="1:2" x14ac:dyDescent="0.25">
      <c r="A18194"/>
      <c r="B18194"/>
    </row>
    <row r="18195" spans="1:2" x14ac:dyDescent="0.25">
      <c r="A18195"/>
      <c r="B18195"/>
    </row>
    <row r="18196" spans="1:2" x14ac:dyDescent="0.25">
      <c r="A18196"/>
      <c r="B18196"/>
    </row>
    <row r="18197" spans="1:2" x14ac:dyDescent="0.25">
      <c r="A18197"/>
      <c r="B18197"/>
    </row>
    <row r="18198" spans="1:2" x14ac:dyDescent="0.25">
      <c r="A18198"/>
      <c r="B18198"/>
    </row>
    <row r="18199" spans="1:2" x14ac:dyDescent="0.25">
      <c r="A18199"/>
      <c r="B18199"/>
    </row>
    <row r="18200" spans="1:2" x14ac:dyDescent="0.25">
      <c r="A18200"/>
      <c r="B18200"/>
    </row>
    <row r="18201" spans="1:2" x14ac:dyDescent="0.25">
      <c r="A18201"/>
      <c r="B18201"/>
    </row>
    <row r="18202" spans="1:2" x14ac:dyDescent="0.25">
      <c r="A18202"/>
      <c r="B18202"/>
    </row>
    <row r="18203" spans="1:2" x14ac:dyDescent="0.25">
      <c r="A18203"/>
      <c r="B18203"/>
    </row>
    <row r="18204" spans="1:2" x14ac:dyDescent="0.25">
      <c r="A18204"/>
      <c r="B18204"/>
    </row>
    <row r="18205" spans="1:2" x14ac:dyDescent="0.25">
      <c r="A18205"/>
      <c r="B18205"/>
    </row>
    <row r="18206" spans="1:2" x14ac:dyDescent="0.25">
      <c r="A18206"/>
      <c r="B18206"/>
    </row>
    <row r="18207" spans="1:2" x14ac:dyDescent="0.25">
      <c r="A18207"/>
      <c r="B18207"/>
    </row>
    <row r="18208" spans="1:2" x14ac:dyDescent="0.25">
      <c r="A18208"/>
      <c r="B18208"/>
    </row>
    <row r="18209" spans="1:2" x14ac:dyDescent="0.25">
      <c r="A18209"/>
      <c r="B18209"/>
    </row>
    <row r="18210" spans="1:2" x14ac:dyDescent="0.25">
      <c r="A18210"/>
      <c r="B18210"/>
    </row>
    <row r="18211" spans="1:2" x14ac:dyDescent="0.25">
      <c r="A18211"/>
      <c r="B18211"/>
    </row>
    <row r="18212" spans="1:2" x14ac:dyDescent="0.25">
      <c r="A18212"/>
      <c r="B18212"/>
    </row>
    <row r="18213" spans="1:2" x14ac:dyDescent="0.25">
      <c r="A18213"/>
      <c r="B18213"/>
    </row>
    <row r="18214" spans="1:2" x14ac:dyDescent="0.25">
      <c r="A18214"/>
      <c r="B18214"/>
    </row>
    <row r="18215" spans="1:2" x14ac:dyDescent="0.25">
      <c r="A18215"/>
      <c r="B18215"/>
    </row>
    <row r="18216" spans="1:2" x14ac:dyDescent="0.25">
      <c r="A18216"/>
      <c r="B18216"/>
    </row>
    <row r="18217" spans="1:2" x14ac:dyDescent="0.25">
      <c r="A18217"/>
      <c r="B18217"/>
    </row>
    <row r="18218" spans="1:2" x14ac:dyDescent="0.25">
      <c r="A18218"/>
      <c r="B18218"/>
    </row>
    <row r="18219" spans="1:2" x14ac:dyDescent="0.25">
      <c r="A18219"/>
      <c r="B18219"/>
    </row>
    <row r="18220" spans="1:2" x14ac:dyDescent="0.25">
      <c r="A18220"/>
      <c r="B18220"/>
    </row>
    <row r="18221" spans="1:2" x14ac:dyDescent="0.25">
      <c r="A18221"/>
      <c r="B18221"/>
    </row>
    <row r="18222" spans="1:2" x14ac:dyDescent="0.25">
      <c r="A18222"/>
      <c r="B18222"/>
    </row>
    <row r="18223" spans="1:2" x14ac:dyDescent="0.25">
      <c r="A18223"/>
      <c r="B18223"/>
    </row>
    <row r="18224" spans="1:2" x14ac:dyDescent="0.25">
      <c r="A18224"/>
      <c r="B18224"/>
    </row>
    <row r="18225" spans="1:2" x14ac:dyDescent="0.25">
      <c r="A18225"/>
      <c r="B18225"/>
    </row>
    <row r="18226" spans="1:2" x14ac:dyDescent="0.25">
      <c r="A18226"/>
      <c r="B18226"/>
    </row>
    <row r="18227" spans="1:2" x14ac:dyDescent="0.25">
      <c r="A18227"/>
      <c r="B18227"/>
    </row>
    <row r="18228" spans="1:2" x14ac:dyDescent="0.25">
      <c r="A18228"/>
      <c r="B18228"/>
    </row>
    <row r="18229" spans="1:2" x14ac:dyDescent="0.25">
      <c r="A18229"/>
      <c r="B18229"/>
    </row>
    <row r="18230" spans="1:2" x14ac:dyDescent="0.25">
      <c r="A18230"/>
      <c r="B18230"/>
    </row>
    <row r="18231" spans="1:2" x14ac:dyDescent="0.25">
      <c r="A18231"/>
      <c r="B18231"/>
    </row>
    <row r="18232" spans="1:2" x14ac:dyDescent="0.25">
      <c r="A18232"/>
      <c r="B18232"/>
    </row>
    <row r="18233" spans="1:2" x14ac:dyDescent="0.25">
      <c r="A18233"/>
      <c r="B18233"/>
    </row>
    <row r="18234" spans="1:2" x14ac:dyDescent="0.25">
      <c r="A18234"/>
      <c r="B18234"/>
    </row>
    <row r="18235" spans="1:2" x14ac:dyDescent="0.25">
      <c r="A18235"/>
      <c r="B18235"/>
    </row>
    <row r="18236" spans="1:2" x14ac:dyDescent="0.25">
      <c r="A18236"/>
      <c r="B18236"/>
    </row>
    <row r="18237" spans="1:2" x14ac:dyDescent="0.25">
      <c r="A18237"/>
      <c r="B18237"/>
    </row>
    <row r="18238" spans="1:2" x14ac:dyDescent="0.25">
      <c r="A18238"/>
      <c r="B18238"/>
    </row>
    <row r="18239" spans="1:2" x14ac:dyDescent="0.25">
      <c r="A18239"/>
      <c r="B18239"/>
    </row>
    <row r="18240" spans="1:2" x14ac:dyDescent="0.25">
      <c r="A18240"/>
      <c r="B18240"/>
    </row>
    <row r="18241" spans="1:2" x14ac:dyDescent="0.25">
      <c r="A18241"/>
      <c r="B18241"/>
    </row>
    <row r="18242" spans="1:2" x14ac:dyDescent="0.25">
      <c r="A18242"/>
      <c r="B18242"/>
    </row>
    <row r="18243" spans="1:2" x14ac:dyDescent="0.25">
      <c r="A18243"/>
      <c r="B18243"/>
    </row>
    <row r="18244" spans="1:2" x14ac:dyDescent="0.25">
      <c r="A18244"/>
      <c r="B18244"/>
    </row>
    <row r="18245" spans="1:2" x14ac:dyDescent="0.25">
      <c r="A18245"/>
      <c r="B18245"/>
    </row>
    <row r="18246" spans="1:2" x14ac:dyDescent="0.25">
      <c r="A18246"/>
      <c r="B18246"/>
    </row>
    <row r="18247" spans="1:2" x14ac:dyDescent="0.25">
      <c r="A18247"/>
      <c r="B18247"/>
    </row>
    <row r="18248" spans="1:2" x14ac:dyDescent="0.25">
      <c r="A18248"/>
      <c r="B18248"/>
    </row>
    <row r="18249" spans="1:2" x14ac:dyDescent="0.25">
      <c r="A18249"/>
      <c r="B18249"/>
    </row>
    <row r="18250" spans="1:2" x14ac:dyDescent="0.25">
      <c r="A18250"/>
      <c r="B18250"/>
    </row>
    <row r="18251" spans="1:2" x14ac:dyDescent="0.25">
      <c r="A18251"/>
      <c r="B18251"/>
    </row>
    <row r="18252" spans="1:2" x14ac:dyDescent="0.25">
      <c r="A18252"/>
      <c r="B18252"/>
    </row>
    <row r="18253" spans="1:2" x14ac:dyDescent="0.25">
      <c r="A18253"/>
      <c r="B18253"/>
    </row>
    <row r="18254" spans="1:2" x14ac:dyDescent="0.25">
      <c r="A18254"/>
      <c r="B18254"/>
    </row>
    <row r="18255" spans="1:2" x14ac:dyDescent="0.25">
      <c r="A18255"/>
      <c r="B18255"/>
    </row>
    <row r="18256" spans="1:2" x14ac:dyDescent="0.25">
      <c r="A18256"/>
      <c r="B18256"/>
    </row>
    <row r="18257" spans="1:2" x14ac:dyDescent="0.25">
      <c r="A18257"/>
      <c r="B18257"/>
    </row>
    <row r="18258" spans="1:2" x14ac:dyDescent="0.25">
      <c r="A18258"/>
      <c r="B18258"/>
    </row>
    <row r="18259" spans="1:2" x14ac:dyDescent="0.25">
      <c r="A18259"/>
      <c r="B18259"/>
    </row>
    <row r="18260" spans="1:2" x14ac:dyDescent="0.25">
      <c r="A18260"/>
      <c r="B18260"/>
    </row>
    <row r="18261" spans="1:2" x14ac:dyDescent="0.25">
      <c r="A18261"/>
      <c r="B18261"/>
    </row>
    <row r="18262" spans="1:2" x14ac:dyDescent="0.25">
      <c r="A18262"/>
      <c r="B18262"/>
    </row>
    <row r="18263" spans="1:2" x14ac:dyDescent="0.25">
      <c r="A18263"/>
      <c r="B18263"/>
    </row>
    <row r="18264" spans="1:2" x14ac:dyDescent="0.25">
      <c r="A18264"/>
      <c r="B18264"/>
    </row>
    <row r="18265" spans="1:2" x14ac:dyDescent="0.25">
      <c r="A18265"/>
      <c r="B18265"/>
    </row>
    <row r="18266" spans="1:2" x14ac:dyDescent="0.25">
      <c r="A18266"/>
      <c r="B18266"/>
    </row>
    <row r="18267" spans="1:2" x14ac:dyDescent="0.25">
      <c r="A18267"/>
      <c r="B18267"/>
    </row>
    <row r="18268" spans="1:2" x14ac:dyDescent="0.25">
      <c r="A18268"/>
      <c r="B18268"/>
    </row>
    <row r="18269" spans="1:2" x14ac:dyDescent="0.25">
      <c r="A18269"/>
      <c r="B18269"/>
    </row>
    <row r="18270" spans="1:2" x14ac:dyDescent="0.25">
      <c r="A18270"/>
      <c r="B18270"/>
    </row>
    <row r="18271" spans="1:2" x14ac:dyDescent="0.25">
      <c r="A18271"/>
      <c r="B18271"/>
    </row>
    <row r="18272" spans="1:2" x14ac:dyDescent="0.25">
      <c r="A18272"/>
      <c r="B18272"/>
    </row>
    <row r="18273" spans="1:2" x14ac:dyDescent="0.25">
      <c r="A18273"/>
      <c r="B18273"/>
    </row>
    <row r="18274" spans="1:2" x14ac:dyDescent="0.25">
      <c r="A18274"/>
      <c r="B18274"/>
    </row>
    <row r="18275" spans="1:2" x14ac:dyDescent="0.25">
      <c r="A18275"/>
      <c r="B18275"/>
    </row>
    <row r="18276" spans="1:2" x14ac:dyDescent="0.25">
      <c r="A18276"/>
      <c r="B18276"/>
    </row>
    <row r="18277" spans="1:2" x14ac:dyDescent="0.25">
      <c r="A18277"/>
      <c r="B18277"/>
    </row>
    <row r="18278" spans="1:2" x14ac:dyDescent="0.25">
      <c r="A18278"/>
      <c r="B18278"/>
    </row>
    <row r="18279" spans="1:2" x14ac:dyDescent="0.25">
      <c r="A18279"/>
      <c r="B18279"/>
    </row>
    <row r="18280" spans="1:2" x14ac:dyDescent="0.25">
      <c r="A18280"/>
      <c r="B18280"/>
    </row>
    <row r="18281" spans="1:2" x14ac:dyDescent="0.25">
      <c r="A18281"/>
      <c r="B18281"/>
    </row>
    <row r="18282" spans="1:2" x14ac:dyDescent="0.25">
      <c r="A18282"/>
      <c r="B18282"/>
    </row>
    <row r="18283" spans="1:2" x14ac:dyDescent="0.25">
      <c r="A18283"/>
      <c r="B18283"/>
    </row>
    <row r="18284" spans="1:2" x14ac:dyDescent="0.25">
      <c r="A18284"/>
      <c r="B18284"/>
    </row>
    <row r="18285" spans="1:2" x14ac:dyDescent="0.25">
      <c r="A18285"/>
      <c r="B18285"/>
    </row>
    <row r="18286" spans="1:2" x14ac:dyDescent="0.25">
      <c r="A18286"/>
      <c r="B18286"/>
    </row>
    <row r="18287" spans="1:2" x14ac:dyDescent="0.25">
      <c r="A18287"/>
      <c r="B18287"/>
    </row>
    <row r="18288" spans="1:2" x14ac:dyDescent="0.25">
      <c r="A18288"/>
      <c r="B18288"/>
    </row>
    <row r="18289" spans="1:2" x14ac:dyDescent="0.25">
      <c r="A18289"/>
      <c r="B18289"/>
    </row>
    <row r="18290" spans="1:2" x14ac:dyDescent="0.25">
      <c r="A18290"/>
      <c r="B18290"/>
    </row>
    <row r="18291" spans="1:2" x14ac:dyDescent="0.25">
      <c r="A18291"/>
      <c r="B18291"/>
    </row>
    <row r="18292" spans="1:2" x14ac:dyDescent="0.25">
      <c r="A18292"/>
      <c r="B18292"/>
    </row>
    <row r="18293" spans="1:2" x14ac:dyDescent="0.25">
      <c r="A18293"/>
      <c r="B18293"/>
    </row>
    <row r="18294" spans="1:2" x14ac:dyDescent="0.25">
      <c r="A18294"/>
      <c r="B18294"/>
    </row>
    <row r="18295" spans="1:2" x14ac:dyDescent="0.25">
      <c r="A18295"/>
      <c r="B18295"/>
    </row>
    <row r="18296" spans="1:2" x14ac:dyDescent="0.25">
      <c r="A18296"/>
      <c r="B18296"/>
    </row>
    <row r="18297" spans="1:2" x14ac:dyDescent="0.25">
      <c r="A18297"/>
      <c r="B18297"/>
    </row>
    <row r="18298" spans="1:2" x14ac:dyDescent="0.25">
      <c r="A18298"/>
      <c r="B18298"/>
    </row>
    <row r="18299" spans="1:2" x14ac:dyDescent="0.25">
      <c r="A18299"/>
      <c r="B18299"/>
    </row>
    <row r="18300" spans="1:2" x14ac:dyDescent="0.25">
      <c r="A18300"/>
      <c r="B18300"/>
    </row>
    <row r="18301" spans="1:2" x14ac:dyDescent="0.25">
      <c r="A18301"/>
      <c r="B18301"/>
    </row>
    <row r="18302" spans="1:2" x14ac:dyDescent="0.25">
      <c r="A18302"/>
      <c r="B18302"/>
    </row>
    <row r="18303" spans="1:2" x14ac:dyDescent="0.25">
      <c r="A18303"/>
      <c r="B18303"/>
    </row>
    <row r="18304" spans="1:2" x14ac:dyDescent="0.25">
      <c r="A18304"/>
      <c r="B18304"/>
    </row>
    <row r="18305" spans="1:2" x14ac:dyDescent="0.25">
      <c r="A18305"/>
      <c r="B18305"/>
    </row>
    <row r="18306" spans="1:2" x14ac:dyDescent="0.25">
      <c r="A18306"/>
      <c r="B18306"/>
    </row>
    <row r="18307" spans="1:2" x14ac:dyDescent="0.25">
      <c r="A18307"/>
      <c r="B18307"/>
    </row>
    <row r="18308" spans="1:2" x14ac:dyDescent="0.25">
      <c r="A18308"/>
      <c r="B18308"/>
    </row>
    <row r="18309" spans="1:2" x14ac:dyDescent="0.25">
      <c r="A18309"/>
      <c r="B18309"/>
    </row>
    <row r="18310" spans="1:2" x14ac:dyDescent="0.25">
      <c r="A18310"/>
      <c r="B18310"/>
    </row>
    <row r="18311" spans="1:2" x14ac:dyDescent="0.25">
      <c r="A18311"/>
      <c r="B18311"/>
    </row>
    <row r="18312" spans="1:2" x14ac:dyDescent="0.25">
      <c r="A18312"/>
      <c r="B18312"/>
    </row>
    <row r="18313" spans="1:2" x14ac:dyDescent="0.25">
      <c r="A18313"/>
      <c r="B18313"/>
    </row>
    <row r="18314" spans="1:2" x14ac:dyDescent="0.25">
      <c r="A18314"/>
      <c r="B18314"/>
    </row>
    <row r="18315" spans="1:2" x14ac:dyDescent="0.25">
      <c r="A18315"/>
      <c r="B18315"/>
    </row>
    <row r="18316" spans="1:2" x14ac:dyDescent="0.25">
      <c r="A18316"/>
      <c r="B18316"/>
    </row>
    <row r="18317" spans="1:2" x14ac:dyDescent="0.25">
      <c r="A18317"/>
      <c r="B18317"/>
    </row>
    <row r="18318" spans="1:2" x14ac:dyDescent="0.25">
      <c r="A18318"/>
      <c r="B18318"/>
    </row>
    <row r="18319" spans="1:2" x14ac:dyDescent="0.25">
      <c r="A18319"/>
      <c r="B18319"/>
    </row>
    <row r="18320" spans="1:2" x14ac:dyDescent="0.25">
      <c r="A18320"/>
      <c r="B18320"/>
    </row>
    <row r="18321" spans="1:2" x14ac:dyDescent="0.25">
      <c r="A18321"/>
      <c r="B18321"/>
    </row>
    <row r="18322" spans="1:2" x14ac:dyDescent="0.25">
      <c r="A18322"/>
      <c r="B18322"/>
    </row>
    <row r="18323" spans="1:2" x14ac:dyDescent="0.25">
      <c r="A18323"/>
      <c r="B18323"/>
    </row>
    <row r="18324" spans="1:2" x14ac:dyDescent="0.25">
      <c r="A18324"/>
      <c r="B18324"/>
    </row>
    <row r="18325" spans="1:2" x14ac:dyDescent="0.25">
      <c r="A18325"/>
      <c r="B18325"/>
    </row>
    <row r="18326" spans="1:2" x14ac:dyDescent="0.25">
      <c r="A18326"/>
      <c r="B18326"/>
    </row>
    <row r="18327" spans="1:2" x14ac:dyDescent="0.25">
      <c r="A18327"/>
      <c r="B18327"/>
    </row>
    <row r="18328" spans="1:2" x14ac:dyDescent="0.25">
      <c r="A18328"/>
      <c r="B18328"/>
    </row>
    <row r="18329" spans="1:2" x14ac:dyDescent="0.25">
      <c r="A18329"/>
      <c r="B18329"/>
    </row>
    <row r="18330" spans="1:2" x14ac:dyDescent="0.25">
      <c r="A18330"/>
      <c r="B18330"/>
    </row>
    <row r="18331" spans="1:2" x14ac:dyDescent="0.25">
      <c r="A18331"/>
      <c r="B18331"/>
    </row>
    <row r="18332" spans="1:2" x14ac:dyDescent="0.25">
      <c r="A18332"/>
      <c r="B18332"/>
    </row>
    <row r="18333" spans="1:2" x14ac:dyDescent="0.25">
      <c r="A18333"/>
      <c r="B18333"/>
    </row>
    <row r="18334" spans="1:2" x14ac:dyDescent="0.25">
      <c r="A18334"/>
      <c r="B18334"/>
    </row>
    <row r="18335" spans="1:2" x14ac:dyDescent="0.25">
      <c r="A18335"/>
      <c r="B18335"/>
    </row>
    <row r="18336" spans="1:2" x14ac:dyDescent="0.25">
      <c r="A18336"/>
      <c r="B18336"/>
    </row>
    <row r="18337" spans="1:2" x14ac:dyDescent="0.25">
      <c r="A18337"/>
      <c r="B18337"/>
    </row>
    <row r="18338" spans="1:2" x14ac:dyDescent="0.25">
      <c r="A18338"/>
      <c r="B18338"/>
    </row>
    <row r="18339" spans="1:2" x14ac:dyDescent="0.25">
      <c r="A18339"/>
      <c r="B18339"/>
    </row>
    <row r="18340" spans="1:2" x14ac:dyDescent="0.25">
      <c r="A18340"/>
      <c r="B18340"/>
    </row>
    <row r="18341" spans="1:2" x14ac:dyDescent="0.25">
      <c r="A18341"/>
      <c r="B18341"/>
    </row>
    <row r="18342" spans="1:2" x14ac:dyDescent="0.25">
      <c r="A18342"/>
      <c r="B18342"/>
    </row>
    <row r="18343" spans="1:2" x14ac:dyDescent="0.25">
      <c r="A18343"/>
      <c r="B18343"/>
    </row>
    <row r="18344" spans="1:2" x14ac:dyDescent="0.25">
      <c r="A18344"/>
      <c r="B18344"/>
    </row>
    <row r="18345" spans="1:2" x14ac:dyDescent="0.25">
      <c r="A18345"/>
      <c r="B18345"/>
    </row>
    <row r="18346" spans="1:2" x14ac:dyDescent="0.25">
      <c r="A18346"/>
      <c r="B18346"/>
    </row>
    <row r="18347" spans="1:2" x14ac:dyDescent="0.25">
      <c r="A18347"/>
      <c r="B18347"/>
    </row>
    <row r="18348" spans="1:2" x14ac:dyDescent="0.25">
      <c r="A18348"/>
      <c r="B18348"/>
    </row>
    <row r="18349" spans="1:2" x14ac:dyDescent="0.25">
      <c r="A18349"/>
      <c r="B18349"/>
    </row>
    <row r="18350" spans="1:2" x14ac:dyDescent="0.25">
      <c r="A18350"/>
      <c r="B18350"/>
    </row>
    <row r="18351" spans="1:2" x14ac:dyDescent="0.25">
      <c r="A18351"/>
      <c r="B18351"/>
    </row>
    <row r="18352" spans="1:2" x14ac:dyDescent="0.25">
      <c r="A18352"/>
      <c r="B18352"/>
    </row>
    <row r="18353" spans="1:2" x14ac:dyDescent="0.25">
      <c r="A18353"/>
      <c r="B18353"/>
    </row>
    <row r="18354" spans="1:2" x14ac:dyDescent="0.25">
      <c r="A18354"/>
      <c r="B18354"/>
    </row>
    <row r="18355" spans="1:2" x14ac:dyDescent="0.25">
      <c r="A18355"/>
      <c r="B18355"/>
    </row>
    <row r="18356" spans="1:2" x14ac:dyDescent="0.25">
      <c r="A18356"/>
      <c r="B18356"/>
    </row>
    <row r="18357" spans="1:2" x14ac:dyDescent="0.25">
      <c r="A18357"/>
      <c r="B18357"/>
    </row>
    <row r="18358" spans="1:2" x14ac:dyDescent="0.25">
      <c r="A18358"/>
      <c r="B18358"/>
    </row>
    <row r="18359" spans="1:2" x14ac:dyDescent="0.25">
      <c r="A18359"/>
      <c r="B18359"/>
    </row>
    <row r="18360" spans="1:2" x14ac:dyDescent="0.25">
      <c r="A18360"/>
      <c r="B18360"/>
    </row>
    <row r="18361" spans="1:2" x14ac:dyDescent="0.25">
      <c r="A18361"/>
      <c r="B18361"/>
    </row>
    <row r="18362" spans="1:2" x14ac:dyDescent="0.25">
      <c r="A18362"/>
      <c r="B18362"/>
    </row>
    <row r="18363" spans="1:2" x14ac:dyDescent="0.25">
      <c r="A18363"/>
      <c r="B18363"/>
    </row>
    <row r="18364" spans="1:2" x14ac:dyDescent="0.25">
      <c r="A18364"/>
      <c r="B18364"/>
    </row>
    <row r="18365" spans="1:2" x14ac:dyDescent="0.25">
      <c r="A18365"/>
      <c r="B18365"/>
    </row>
    <row r="18366" spans="1:2" x14ac:dyDescent="0.25">
      <c r="A18366"/>
      <c r="B18366"/>
    </row>
    <row r="18367" spans="1:2" x14ac:dyDescent="0.25">
      <c r="A18367"/>
      <c r="B18367"/>
    </row>
    <row r="18368" spans="1:2" x14ac:dyDescent="0.25">
      <c r="A18368"/>
      <c r="B18368"/>
    </row>
    <row r="18369" spans="1:2" x14ac:dyDescent="0.25">
      <c r="A18369"/>
      <c r="B18369"/>
    </row>
    <row r="18370" spans="1:2" x14ac:dyDescent="0.25">
      <c r="A18370"/>
      <c r="B18370"/>
    </row>
    <row r="18371" spans="1:2" x14ac:dyDescent="0.25">
      <c r="A18371"/>
      <c r="B18371"/>
    </row>
    <row r="18372" spans="1:2" x14ac:dyDescent="0.25">
      <c r="A18372"/>
      <c r="B18372"/>
    </row>
    <row r="18373" spans="1:2" x14ac:dyDescent="0.25">
      <c r="A18373"/>
      <c r="B18373"/>
    </row>
    <row r="18374" spans="1:2" x14ac:dyDescent="0.25">
      <c r="A18374"/>
      <c r="B18374"/>
    </row>
    <row r="18375" spans="1:2" x14ac:dyDescent="0.25">
      <c r="A18375"/>
      <c r="B18375"/>
    </row>
    <row r="18376" spans="1:2" x14ac:dyDescent="0.25">
      <c r="A18376"/>
      <c r="B18376"/>
    </row>
    <row r="18377" spans="1:2" x14ac:dyDescent="0.25">
      <c r="A18377"/>
      <c r="B18377"/>
    </row>
    <row r="18378" spans="1:2" x14ac:dyDescent="0.25">
      <c r="A18378"/>
      <c r="B18378"/>
    </row>
    <row r="18379" spans="1:2" x14ac:dyDescent="0.25">
      <c r="A18379"/>
      <c r="B18379"/>
    </row>
    <row r="18380" spans="1:2" x14ac:dyDescent="0.25">
      <c r="A18380"/>
      <c r="B18380"/>
    </row>
    <row r="18381" spans="1:2" x14ac:dyDescent="0.25">
      <c r="A18381"/>
      <c r="B18381"/>
    </row>
    <row r="18382" spans="1:2" x14ac:dyDescent="0.25">
      <c r="A18382"/>
      <c r="B18382"/>
    </row>
    <row r="18383" spans="1:2" x14ac:dyDescent="0.25">
      <c r="A18383"/>
      <c r="B18383"/>
    </row>
    <row r="18384" spans="1:2" x14ac:dyDescent="0.25">
      <c r="A18384"/>
      <c r="B18384"/>
    </row>
    <row r="18385" spans="1:2" x14ac:dyDescent="0.25">
      <c r="A18385"/>
      <c r="B18385"/>
    </row>
    <row r="18386" spans="1:2" x14ac:dyDescent="0.25">
      <c r="A18386"/>
      <c r="B18386"/>
    </row>
    <row r="18387" spans="1:2" x14ac:dyDescent="0.25">
      <c r="A18387"/>
      <c r="B18387"/>
    </row>
    <row r="18388" spans="1:2" x14ac:dyDescent="0.25">
      <c r="A18388"/>
      <c r="B18388"/>
    </row>
    <row r="18389" spans="1:2" x14ac:dyDescent="0.25">
      <c r="A18389"/>
      <c r="B18389"/>
    </row>
    <row r="18390" spans="1:2" x14ac:dyDescent="0.25">
      <c r="A18390"/>
      <c r="B18390"/>
    </row>
    <row r="18391" spans="1:2" x14ac:dyDescent="0.25">
      <c r="A18391"/>
      <c r="B18391"/>
    </row>
    <row r="18392" spans="1:2" x14ac:dyDescent="0.25">
      <c r="A18392"/>
      <c r="B18392"/>
    </row>
    <row r="18393" spans="1:2" x14ac:dyDescent="0.25">
      <c r="A18393"/>
      <c r="B18393"/>
    </row>
    <row r="18394" spans="1:2" x14ac:dyDescent="0.25">
      <c r="A18394"/>
      <c r="B18394"/>
    </row>
    <row r="18395" spans="1:2" x14ac:dyDescent="0.25">
      <c r="A18395"/>
      <c r="B18395"/>
    </row>
    <row r="18396" spans="1:2" x14ac:dyDescent="0.25">
      <c r="A18396"/>
      <c r="B18396"/>
    </row>
    <row r="18397" spans="1:2" x14ac:dyDescent="0.25">
      <c r="A18397"/>
      <c r="B18397"/>
    </row>
    <row r="18398" spans="1:2" x14ac:dyDescent="0.25">
      <c r="A18398"/>
      <c r="B18398"/>
    </row>
    <row r="18399" spans="1:2" x14ac:dyDescent="0.25">
      <c r="A18399"/>
      <c r="B18399"/>
    </row>
    <row r="18400" spans="1:2" x14ac:dyDescent="0.25">
      <c r="A18400"/>
      <c r="B18400"/>
    </row>
    <row r="18401" spans="1:2" x14ac:dyDescent="0.25">
      <c r="A18401"/>
      <c r="B18401"/>
    </row>
    <row r="18402" spans="1:2" x14ac:dyDescent="0.25">
      <c r="A18402"/>
      <c r="B18402"/>
    </row>
    <row r="18403" spans="1:2" x14ac:dyDescent="0.25">
      <c r="A18403"/>
      <c r="B18403"/>
    </row>
    <row r="18404" spans="1:2" x14ac:dyDescent="0.25">
      <c r="A18404"/>
      <c r="B18404"/>
    </row>
    <row r="18405" spans="1:2" x14ac:dyDescent="0.25">
      <c r="A18405"/>
      <c r="B18405"/>
    </row>
    <row r="18406" spans="1:2" x14ac:dyDescent="0.25">
      <c r="A18406"/>
      <c r="B18406"/>
    </row>
    <row r="18407" spans="1:2" x14ac:dyDescent="0.25">
      <c r="A18407"/>
      <c r="B18407"/>
    </row>
    <row r="18408" spans="1:2" x14ac:dyDescent="0.25">
      <c r="A18408"/>
      <c r="B18408"/>
    </row>
    <row r="18409" spans="1:2" x14ac:dyDescent="0.25">
      <c r="A18409"/>
      <c r="B18409"/>
    </row>
    <row r="18410" spans="1:2" x14ac:dyDescent="0.25">
      <c r="A18410"/>
      <c r="B18410"/>
    </row>
    <row r="18411" spans="1:2" x14ac:dyDescent="0.25">
      <c r="A18411"/>
      <c r="B18411"/>
    </row>
    <row r="18412" spans="1:2" x14ac:dyDescent="0.25">
      <c r="A18412"/>
      <c r="B18412"/>
    </row>
    <row r="18413" spans="1:2" x14ac:dyDescent="0.25">
      <c r="A18413"/>
      <c r="B18413"/>
    </row>
    <row r="18414" spans="1:2" x14ac:dyDescent="0.25">
      <c r="A18414"/>
      <c r="B18414"/>
    </row>
    <row r="18415" spans="1:2" x14ac:dyDescent="0.25">
      <c r="A18415"/>
      <c r="B18415"/>
    </row>
    <row r="18416" spans="1:2" x14ac:dyDescent="0.25">
      <c r="A18416"/>
      <c r="B18416"/>
    </row>
    <row r="18417" spans="1:2" x14ac:dyDescent="0.25">
      <c r="A18417"/>
      <c r="B18417"/>
    </row>
    <row r="18418" spans="1:2" x14ac:dyDescent="0.25">
      <c r="A18418"/>
      <c r="B18418"/>
    </row>
    <row r="18419" spans="1:2" x14ac:dyDescent="0.25">
      <c r="A18419"/>
      <c r="B18419"/>
    </row>
    <row r="18420" spans="1:2" x14ac:dyDescent="0.25">
      <c r="A18420"/>
      <c r="B18420"/>
    </row>
    <row r="18421" spans="1:2" x14ac:dyDescent="0.25">
      <c r="A18421"/>
      <c r="B18421"/>
    </row>
    <row r="18422" spans="1:2" x14ac:dyDescent="0.25">
      <c r="A18422"/>
      <c r="B18422"/>
    </row>
    <row r="18423" spans="1:2" x14ac:dyDescent="0.25">
      <c r="A18423"/>
      <c r="B18423"/>
    </row>
    <row r="18424" spans="1:2" x14ac:dyDescent="0.25">
      <c r="A18424"/>
      <c r="B18424"/>
    </row>
    <row r="18425" spans="1:2" x14ac:dyDescent="0.25">
      <c r="A18425"/>
      <c r="B18425"/>
    </row>
    <row r="18426" spans="1:2" x14ac:dyDescent="0.25">
      <c r="A18426"/>
      <c r="B18426"/>
    </row>
    <row r="18427" spans="1:2" x14ac:dyDescent="0.25">
      <c r="A18427"/>
      <c r="B18427"/>
    </row>
    <row r="18428" spans="1:2" x14ac:dyDescent="0.25">
      <c r="A18428"/>
      <c r="B18428"/>
    </row>
    <row r="18429" spans="1:2" x14ac:dyDescent="0.25">
      <c r="A18429"/>
      <c r="B18429"/>
    </row>
    <row r="18430" spans="1:2" x14ac:dyDescent="0.25">
      <c r="A18430"/>
      <c r="B18430"/>
    </row>
    <row r="18431" spans="1:2" x14ac:dyDescent="0.25">
      <c r="A18431"/>
      <c r="B18431"/>
    </row>
    <row r="18432" spans="1:2" x14ac:dyDescent="0.25">
      <c r="A18432"/>
      <c r="B18432"/>
    </row>
    <row r="18433" spans="1:2" x14ac:dyDescent="0.25">
      <c r="A18433"/>
      <c r="B18433"/>
    </row>
    <row r="18434" spans="1:2" x14ac:dyDescent="0.25">
      <c r="A18434"/>
      <c r="B18434"/>
    </row>
    <row r="18435" spans="1:2" x14ac:dyDescent="0.25">
      <c r="A18435"/>
      <c r="B18435"/>
    </row>
    <row r="18436" spans="1:2" x14ac:dyDescent="0.25">
      <c r="A18436"/>
      <c r="B18436"/>
    </row>
    <row r="18437" spans="1:2" x14ac:dyDescent="0.25">
      <c r="A18437"/>
      <c r="B18437"/>
    </row>
    <row r="18438" spans="1:2" x14ac:dyDescent="0.25">
      <c r="A18438"/>
      <c r="B18438"/>
    </row>
    <row r="18439" spans="1:2" x14ac:dyDescent="0.25">
      <c r="A18439"/>
      <c r="B18439"/>
    </row>
    <row r="18440" spans="1:2" x14ac:dyDescent="0.25">
      <c r="A18440"/>
      <c r="B18440"/>
    </row>
    <row r="18441" spans="1:2" x14ac:dyDescent="0.25">
      <c r="A18441"/>
      <c r="B18441"/>
    </row>
    <row r="18442" spans="1:2" x14ac:dyDescent="0.25">
      <c r="A18442"/>
      <c r="B18442"/>
    </row>
    <row r="18443" spans="1:2" x14ac:dyDescent="0.25">
      <c r="A18443"/>
      <c r="B18443"/>
    </row>
    <row r="18444" spans="1:2" x14ac:dyDescent="0.25">
      <c r="A18444"/>
      <c r="B18444"/>
    </row>
    <row r="18445" spans="1:2" x14ac:dyDescent="0.25">
      <c r="A18445"/>
      <c r="B18445"/>
    </row>
    <row r="18446" spans="1:2" x14ac:dyDescent="0.25">
      <c r="A18446"/>
      <c r="B18446"/>
    </row>
    <row r="18447" spans="1:2" x14ac:dyDescent="0.25">
      <c r="A18447"/>
      <c r="B18447"/>
    </row>
    <row r="18448" spans="1:2" x14ac:dyDescent="0.25">
      <c r="A18448"/>
      <c r="B18448"/>
    </row>
    <row r="18449" spans="1:2" x14ac:dyDescent="0.25">
      <c r="A18449"/>
      <c r="B18449"/>
    </row>
    <row r="18450" spans="1:2" x14ac:dyDescent="0.25">
      <c r="A18450"/>
      <c r="B18450"/>
    </row>
    <row r="18451" spans="1:2" x14ac:dyDescent="0.25">
      <c r="A18451"/>
      <c r="B18451"/>
    </row>
    <row r="18452" spans="1:2" x14ac:dyDescent="0.25">
      <c r="A18452"/>
      <c r="B18452"/>
    </row>
    <row r="18453" spans="1:2" x14ac:dyDescent="0.25">
      <c r="A18453"/>
      <c r="B18453"/>
    </row>
    <row r="18454" spans="1:2" x14ac:dyDescent="0.25">
      <c r="A18454"/>
      <c r="B18454"/>
    </row>
    <row r="18455" spans="1:2" x14ac:dyDescent="0.25">
      <c r="A18455"/>
      <c r="B18455"/>
    </row>
    <row r="18456" spans="1:2" x14ac:dyDescent="0.25">
      <c r="A18456"/>
      <c r="B18456"/>
    </row>
    <row r="18457" spans="1:2" x14ac:dyDescent="0.25">
      <c r="A18457"/>
      <c r="B18457"/>
    </row>
    <row r="18458" spans="1:2" x14ac:dyDescent="0.25">
      <c r="A18458"/>
      <c r="B18458"/>
    </row>
    <row r="18459" spans="1:2" x14ac:dyDescent="0.25">
      <c r="A18459"/>
      <c r="B18459"/>
    </row>
    <row r="18460" spans="1:2" x14ac:dyDescent="0.25">
      <c r="A18460"/>
      <c r="B18460"/>
    </row>
    <row r="18461" spans="1:2" x14ac:dyDescent="0.25">
      <c r="A18461"/>
      <c r="B18461"/>
    </row>
    <row r="18462" spans="1:2" x14ac:dyDescent="0.25">
      <c r="A18462"/>
      <c r="B18462"/>
    </row>
    <row r="18463" spans="1:2" x14ac:dyDescent="0.25">
      <c r="A18463"/>
      <c r="B18463"/>
    </row>
    <row r="18464" spans="1:2" x14ac:dyDescent="0.25">
      <c r="A18464"/>
      <c r="B18464"/>
    </row>
    <row r="18465" spans="1:2" x14ac:dyDescent="0.25">
      <c r="A18465"/>
      <c r="B18465"/>
    </row>
    <row r="18466" spans="1:2" x14ac:dyDescent="0.25">
      <c r="A18466"/>
      <c r="B18466"/>
    </row>
    <row r="18467" spans="1:2" x14ac:dyDescent="0.25">
      <c r="A18467"/>
      <c r="B18467"/>
    </row>
    <row r="18468" spans="1:2" x14ac:dyDescent="0.25">
      <c r="A18468"/>
      <c r="B18468"/>
    </row>
    <row r="18469" spans="1:2" x14ac:dyDescent="0.25">
      <c r="A18469"/>
      <c r="B18469"/>
    </row>
    <row r="18470" spans="1:2" x14ac:dyDescent="0.25">
      <c r="A18470"/>
      <c r="B18470"/>
    </row>
    <row r="18471" spans="1:2" x14ac:dyDescent="0.25">
      <c r="A18471"/>
      <c r="B18471"/>
    </row>
    <row r="18472" spans="1:2" x14ac:dyDescent="0.25">
      <c r="A18472"/>
      <c r="B18472"/>
    </row>
    <row r="18473" spans="1:2" x14ac:dyDescent="0.25">
      <c r="A18473"/>
      <c r="B18473"/>
    </row>
    <row r="18474" spans="1:2" x14ac:dyDescent="0.25">
      <c r="A18474"/>
      <c r="B18474"/>
    </row>
    <row r="18475" spans="1:2" x14ac:dyDescent="0.25">
      <c r="A18475"/>
      <c r="B18475"/>
    </row>
    <row r="18476" spans="1:2" x14ac:dyDescent="0.25">
      <c r="A18476"/>
      <c r="B18476"/>
    </row>
    <row r="18477" spans="1:2" x14ac:dyDescent="0.25">
      <c r="A18477"/>
      <c r="B18477"/>
    </row>
    <row r="18478" spans="1:2" x14ac:dyDescent="0.25">
      <c r="A18478"/>
      <c r="B18478"/>
    </row>
    <row r="18479" spans="1:2" x14ac:dyDescent="0.25">
      <c r="A18479"/>
      <c r="B18479"/>
    </row>
    <row r="18480" spans="1:2" x14ac:dyDescent="0.25">
      <c r="A18480"/>
      <c r="B18480"/>
    </row>
    <row r="18481" spans="1:2" x14ac:dyDescent="0.25">
      <c r="A18481"/>
      <c r="B18481"/>
    </row>
    <row r="18482" spans="1:2" x14ac:dyDescent="0.25">
      <c r="A18482"/>
      <c r="B18482"/>
    </row>
    <row r="18483" spans="1:2" x14ac:dyDescent="0.25">
      <c r="A18483"/>
      <c r="B18483"/>
    </row>
    <row r="18484" spans="1:2" x14ac:dyDescent="0.25">
      <c r="A18484"/>
      <c r="B18484"/>
    </row>
    <row r="18485" spans="1:2" x14ac:dyDescent="0.25">
      <c r="A18485"/>
      <c r="B18485"/>
    </row>
    <row r="18486" spans="1:2" x14ac:dyDescent="0.25">
      <c r="A18486"/>
      <c r="B18486"/>
    </row>
    <row r="18487" spans="1:2" x14ac:dyDescent="0.25">
      <c r="A18487"/>
      <c r="B18487"/>
    </row>
    <row r="18488" spans="1:2" x14ac:dyDescent="0.25">
      <c r="A18488"/>
      <c r="B18488"/>
    </row>
    <row r="18489" spans="1:2" x14ac:dyDescent="0.25">
      <c r="A18489"/>
      <c r="B18489"/>
    </row>
    <row r="18490" spans="1:2" x14ac:dyDescent="0.25">
      <c r="A18490"/>
      <c r="B18490"/>
    </row>
    <row r="18491" spans="1:2" x14ac:dyDescent="0.25">
      <c r="A18491"/>
      <c r="B18491"/>
    </row>
    <row r="18492" spans="1:2" x14ac:dyDescent="0.25">
      <c r="A18492"/>
      <c r="B18492"/>
    </row>
    <row r="18493" spans="1:2" x14ac:dyDescent="0.25">
      <c r="A18493"/>
      <c r="B18493"/>
    </row>
    <row r="18494" spans="1:2" x14ac:dyDescent="0.25">
      <c r="A18494"/>
      <c r="B18494"/>
    </row>
    <row r="18495" spans="1:2" x14ac:dyDescent="0.25">
      <c r="A18495"/>
      <c r="B18495"/>
    </row>
    <row r="18496" spans="1:2" x14ac:dyDescent="0.25">
      <c r="A18496"/>
      <c r="B18496"/>
    </row>
    <row r="18497" spans="1:2" x14ac:dyDescent="0.25">
      <c r="A18497"/>
      <c r="B18497"/>
    </row>
    <row r="18498" spans="1:2" x14ac:dyDescent="0.25">
      <c r="A18498"/>
      <c r="B18498"/>
    </row>
    <row r="18499" spans="1:2" x14ac:dyDescent="0.25">
      <c r="A18499"/>
      <c r="B18499"/>
    </row>
    <row r="18500" spans="1:2" x14ac:dyDescent="0.25">
      <c r="A18500"/>
      <c r="B18500"/>
    </row>
    <row r="18501" spans="1:2" x14ac:dyDescent="0.25">
      <c r="A18501"/>
      <c r="B18501"/>
    </row>
    <row r="18502" spans="1:2" x14ac:dyDescent="0.25">
      <c r="A18502"/>
      <c r="B18502"/>
    </row>
    <row r="18503" spans="1:2" x14ac:dyDescent="0.25">
      <c r="A18503"/>
      <c r="B18503"/>
    </row>
    <row r="18504" spans="1:2" x14ac:dyDescent="0.25">
      <c r="A18504"/>
      <c r="B18504"/>
    </row>
    <row r="18505" spans="1:2" x14ac:dyDescent="0.25">
      <c r="A18505"/>
      <c r="B18505"/>
    </row>
    <row r="18506" spans="1:2" x14ac:dyDescent="0.25">
      <c r="A18506"/>
      <c r="B18506"/>
    </row>
    <row r="18507" spans="1:2" x14ac:dyDescent="0.25">
      <c r="A18507"/>
      <c r="B18507"/>
    </row>
    <row r="18508" spans="1:2" x14ac:dyDescent="0.25">
      <c r="A18508"/>
      <c r="B18508"/>
    </row>
    <row r="18509" spans="1:2" x14ac:dyDescent="0.25">
      <c r="A18509"/>
      <c r="B18509"/>
    </row>
    <row r="18510" spans="1:2" x14ac:dyDescent="0.25">
      <c r="A18510"/>
      <c r="B18510"/>
    </row>
    <row r="18511" spans="1:2" x14ac:dyDescent="0.25">
      <c r="A18511"/>
      <c r="B18511"/>
    </row>
    <row r="18512" spans="1:2" x14ac:dyDescent="0.25">
      <c r="A18512"/>
      <c r="B18512"/>
    </row>
    <row r="18513" spans="1:2" x14ac:dyDescent="0.25">
      <c r="A18513"/>
      <c r="B18513"/>
    </row>
    <row r="18514" spans="1:2" x14ac:dyDescent="0.25">
      <c r="A18514"/>
      <c r="B18514"/>
    </row>
    <row r="18515" spans="1:2" x14ac:dyDescent="0.25">
      <c r="A18515"/>
      <c r="B18515"/>
    </row>
    <row r="18516" spans="1:2" x14ac:dyDescent="0.25">
      <c r="A18516"/>
      <c r="B18516"/>
    </row>
    <row r="18517" spans="1:2" x14ac:dyDescent="0.25">
      <c r="A18517"/>
      <c r="B18517"/>
    </row>
    <row r="18518" spans="1:2" x14ac:dyDescent="0.25">
      <c r="A18518"/>
      <c r="B18518"/>
    </row>
    <row r="18519" spans="1:2" x14ac:dyDescent="0.25">
      <c r="A18519"/>
      <c r="B18519"/>
    </row>
    <row r="18520" spans="1:2" x14ac:dyDescent="0.25">
      <c r="A18520"/>
      <c r="B18520"/>
    </row>
    <row r="18521" spans="1:2" x14ac:dyDescent="0.25">
      <c r="A18521"/>
      <c r="B18521"/>
    </row>
    <row r="18522" spans="1:2" x14ac:dyDescent="0.25">
      <c r="A18522"/>
      <c r="B18522"/>
    </row>
    <row r="18523" spans="1:2" x14ac:dyDescent="0.25">
      <c r="A18523"/>
      <c r="B18523"/>
    </row>
    <row r="18524" spans="1:2" x14ac:dyDescent="0.25">
      <c r="A18524"/>
      <c r="B18524"/>
    </row>
    <row r="18525" spans="1:2" x14ac:dyDescent="0.25">
      <c r="A18525"/>
      <c r="B18525"/>
    </row>
    <row r="18526" spans="1:2" x14ac:dyDescent="0.25">
      <c r="A18526"/>
      <c r="B18526"/>
    </row>
    <row r="18527" spans="1:2" x14ac:dyDescent="0.25">
      <c r="A18527"/>
      <c r="B18527"/>
    </row>
    <row r="18528" spans="1:2" x14ac:dyDescent="0.25">
      <c r="A18528"/>
      <c r="B18528"/>
    </row>
    <row r="18529" spans="1:2" x14ac:dyDescent="0.25">
      <c r="A18529"/>
      <c r="B18529"/>
    </row>
    <row r="18530" spans="1:2" x14ac:dyDescent="0.25">
      <c r="A18530"/>
      <c r="B18530"/>
    </row>
    <row r="18531" spans="1:2" x14ac:dyDescent="0.25">
      <c r="A18531"/>
      <c r="B18531"/>
    </row>
    <row r="18532" spans="1:2" x14ac:dyDescent="0.25">
      <c r="A18532"/>
      <c r="B18532"/>
    </row>
    <row r="18533" spans="1:2" x14ac:dyDescent="0.25">
      <c r="A18533"/>
      <c r="B18533"/>
    </row>
    <row r="18534" spans="1:2" x14ac:dyDescent="0.25">
      <c r="A18534"/>
      <c r="B18534"/>
    </row>
    <row r="18535" spans="1:2" x14ac:dyDescent="0.25">
      <c r="A18535"/>
      <c r="B18535"/>
    </row>
    <row r="18536" spans="1:2" x14ac:dyDescent="0.25">
      <c r="A18536"/>
      <c r="B18536"/>
    </row>
    <row r="18537" spans="1:2" x14ac:dyDescent="0.25">
      <c r="A18537"/>
      <c r="B18537"/>
    </row>
    <row r="18538" spans="1:2" x14ac:dyDescent="0.25">
      <c r="A18538"/>
      <c r="B18538"/>
    </row>
    <row r="18539" spans="1:2" x14ac:dyDescent="0.25">
      <c r="A18539"/>
      <c r="B18539"/>
    </row>
    <row r="18540" spans="1:2" x14ac:dyDescent="0.25">
      <c r="A18540"/>
      <c r="B18540"/>
    </row>
    <row r="18541" spans="1:2" x14ac:dyDescent="0.25">
      <c r="A18541"/>
      <c r="B18541"/>
    </row>
    <row r="18542" spans="1:2" x14ac:dyDescent="0.25">
      <c r="A18542"/>
      <c r="B18542"/>
    </row>
    <row r="18543" spans="1:2" x14ac:dyDescent="0.25">
      <c r="A18543"/>
      <c r="B18543"/>
    </row>
    <row r="18544" spans="1:2" x14ac:dyDescent="0.25">
      <c r="A18544"/>
      <c r="B18544"/>
    </row>
    <row r="18545" spans="1:2" x14ac:dyDescent="0.25">
      <c r="A18545"/>
      <c r="B18545"/>
    </row>
    <row r="18546" spans="1:2" x14ac:dyDescent="0.25">
      <c r="A18546"/>
      <c r="B18546"/>
    </row>
    <row r="18547" spans="1:2" x14ac:dyDescent="0.25">
      <c r="A18547"/>
      <c r="B18547"/>
    </row>
    <row r="18548" spans="1:2" x14ac:dyDescent="0.25">
      <c r="A18548"/>
      <c r="B18548"/>
    </row>
    <row r="18549" spans="1:2" x14ac:dyDescent="0.25">
      <c r="A18549"/>
      <c r="B18549"/>
    </row>
    <row r="18550" spans="1:2" x14ac:dyDescent="0.25">
      <c r="A18550"/>
      <c r="B18550"/>
    </row>
    <row r="18551" spans="1:2" x14ac:dyDescent="0.25">
      <c r="A18551"/>
      <c r="B18551"/>
    </row>
    <row r="18552" spans="1:2" x14ac:dyDescent="0.25">
      <c r="A18552"/>
      <c r="B18552"/>
    </row>
    <row r="18553" spans="1:2" x14ac:dyDescent="0.25">
      <c r="A18553"/>
      <c r="B18553"/>
    </row>
    <row r="18554" spans="1:2" x14ac:dyDescent="0.25">
      <c r="A18554"/>
      <c r="B18554"/>
    </row>
    <row r="18555" spans="1:2" x14ac:dyDescent="0.25">
      <c r="A18555"/>
      <c r="B18555"/>
    </row>
    <row r="18556" spans="1:2" x14ac:dyDescent="0.25">
      <c r="A18556"/>
      <c r="B18556"/>
    </row>
    <row r="18557" spans="1:2" x14ac:dyDescent="0.25">
      <c r="A18557"/>
      <c r="B18557"/>
    </row>
    <row r="18558" spans="1:2" x14ac:dyDescent="0.25">
      <c r="A18558"/>
      <c r="B18558"/>
    </row>
    <row r="18559" spans="1:2" x14ac:dyDescent="0.25">
      <c r="A18559"/>
      <c r="B18559"/>
    </row>
    <row r="18560" spans="1:2" x14ac:dyDescent="0.25">
      <c r="A18560"/>
      <c r="B18560"/>
    </row>
    <row r="18561" spans="1:2" x14ac:dyDescent="0.25">
      <c r="A18561"/>
      <c r="B18561"/>
    </row>
    <row r="18562" spans="1:2" x14ac:dyDescent="0.25">
      <c r="A18562"/>
      <c r="B18562"/>
    </row>
    <row r="18563" spans="1:2" x14ac:dyDescent="0.25">
      <c r="A18563"/>
      <c r="B18563"/>
    </row>
    <row r="18564" spans="1:2" x14ac:dyDescent="0.25">
      <c r="A18564"/>
      <c r="B18564"/>
    </row>
    <row r="18565" spans="1:2" x14ac:dyDescent="0.25">
      <c r="A18565"/>
      <c r="B18565"/>
    </row>
    <row r="18566" spans="1:2" x14ac:dyDescent="0.25">
      <c r="A18566"/>
      <c r="B18566"/>
    </row>
    <row r="18567" spans="1:2" x14ac:dyDescent="0.25">
      <c r="A18567"/>
      <c r="B18567"/>
    </row>
    <row r="18568" spans="1:2" x14ac:dyDescent="0.25">
      <c r="A18568"/>
      <c r="B18568"/>
    </row>
    <row r="18569" spans="1:2" x14ac:dyDescent="0.25">
      <c r="A18569"/>
      <c r="B18569"/>
    </row>
    <row r="18570" spans="1:2" x14ac:dyDescent="0.25">
      <c r="A18570"/>
      <c r="B18570"/>
    </row>
    <row r="18571" spans="1:2" x14ac:dyDescent="0.25">
      <c r="A18571"/>
      <c r="B18571"/>
    </row>
    <row r="18572" spans="1:2" x14ac:dyDescent="0.25">
      <c r="A18572"/>
      <c r="B18572"/>
    </row>
    <row r="18573" spans="1:2" x14ac:dyDescent="0.25">
      <c r="A18573"/>
      <c r="B18573"/>
    </row>
    <row r="18574" spans="1:2" x14ac:dyDescent="0.25">
      <c r="A18574"/>
      <c r="B18574"/>
    </row>
    <row r="18575" spans="1:2" x14ac:dyDescent="0.25">
      <c r="A18575"/>
      <c r="B18575"/>
    </row>
    <row r="18576" spans="1:2" x14ac:dyDescent="0.25">
      <c r="A18576"/>
      <c r="B18576"/>
    </row>
    <row r="18577" spans="1:2" x14ac:dyDescent="0.25">
      <c r="A18577"/>
      <c r="B18577"/>
    </row>
    <row r="18578" spans="1:2" x14ac:dyDescent="0.25">
      <c r="A18578"/>
      <c r="B18578"/>
    </row>
    <row r="18579" spans="1:2" x14ac:dyDescent="0.25">
      <c r="A18579"/>
      <c r="B18579"/>
    </row>
    <row r="18580" spans="1:2" x14ac:dyDescent="0.25">
      <c r="A18580"/>
      <c r="B18580"/>
    </row>
    <row r="18581" spans="1:2" x14ac:dyDescent="0.25">
      <c r="A18581"/>
      <c r="B18581"/>
    </row>
    <row r="18582" spans="1:2" x14ac:dyDescent="0.25">
      <c r="A18582"/>
      <c r="B18582"/>
    </row>
    <row r="18583" spans="1:2" x14ac:dyDescent="0.25">
      <c r="A18583"/>
      <c r="B18583"/>
    </row>
    <row r="18584" spans="1:2" x14ac:dyDescent="0.25">
      <c r="A18584"/>
      <c r="B18584"/>
    </row>
    <row r="18585" spans="1:2" x14ac:dyDescent="0.25">
      <c r="A18585"/>
      <c r="B18585"/>
    </row>
    <row r="18586" spans="1:2" x14ac:dyDescent="0.25">
      <c r="A18586"/>
      <c r="B18586"/>
    </row>
    <row r="18587" spans="1:2" x14ac:dyDescent="0.25">
      <c r="A18587"/>
      <c r="B18587"/>
    </row>
    <row r="18588" spans="1:2" x14ac:dyDescent="0.25">
      <c r="A18588"/>
      <c r="B18588"/>
    </row>
    <row r="18589" spans="1:2" x14ac:dyDescent="0.25">
      <c r="A18589"/>
      <c r="B18589"/>
    </row>
    <row r="18590" spans="1:2" x14ac:dyDescent="0.25">
      <c r="A18590"/>
      <c r="B18590"/>
    </row>
    <row r="18591" spans="1:2" x14ac:dyDescent="0.25">
      <c r="A18591"/>
      <c r="B18591"/>
    </row>
    <row r="18592" spans="1:2" x14ac:dyDescent="0.25">
      <c r="A18592"/>
      <c r="B18592"/>
    </row>
    <row r="18593" spans="1:2" x14ac:dyDescent="0.25">
      <c r="A18593"/>
      <c r="B18593"/>
    </row>
    <row r="18594" spans="1:2" x14ac:dyDescent="0.25">
      <c r="A18594"/>
      <c r="B18594"/>
    </row>
    <row r="18595" spans="1:2" x14ac:dyDescent="0.25">
      <c r="A18595"/>
      <c r="B18595"/>
    </row>
    <row r="18596" spans="1:2" x14ac:dyDescent="0.25">
      <c r="A18596"/>
      <c r="B18596"/>
    </row>
    <row r="18597" spans="1:2" x14ac:dyDescent="0.25">
      <c r="A18597"/>
      <c r="B18597"/>
    </row>
    <row r="18598" spans="1:2" x14ac:dyDescent="0.25">
      <c r="A18598"/>
      <c r="B18598"/>
    </row>
    <row r="18599" spans="1:2" x14ac:dyDescent="0.25">
      <c r="A18599"/>
      <c r="B18599"/>
    </row>
    <row r="18600" spans="1:2" x14ac:dyDescent="0.25">
      <c r="A18600"/>
      <c r="B18600"/>
    </row>
    <row r="18601" spans="1:2" x14ac:dyDescent="0.25">
      <c r="A18601"/>
      <c r="B18601"/>
    </row>
    <row r="18602" spans="1:2" x14ac:dyDescent="0.25">
      <c r="A18602"/>
      <c r="B18602"/>
    </row>
    <row r="18603" spans="1:2" x14ac:dyDescent="0.25">
      <c r="A18603"/>
      <c r="B18603"/>
    </row>
    <row r="18604" spans="1:2" x14ac:dyDescent="0.25">
      <c r="A18604"/>
      <c r="B18604"/>
    </row>
    <row r="18605" spans="1:2" x14ac:dyDescent="0.25">
      <c r="A18605"/>
      <c r="B18605"/>
    </row>
    <row r="18606" spans="1:2" x14ac:dyDescent="0.25">
      <c r="A18606"/>
      <c r="B18606"/>
    </row>
    <row r="18607" spans="1:2" x14ac:dyDescent="0.25">
      <c r="A18607"/>
      <c r="B18607"/>
    </row>
    <row r="18608" spans="1:2" x14ac:dyDescent="0.25">
      <c r="A18608"/>
      <c r="B18608"/>
    </row>
    <row r="18609" spans="1:2" x14ac:dyDescent="0.25">
      <c r="A18609"/>
      <c r="B18609"/>
    </row>
    <row r="18610" spans="1:2" x14ac:dyDescent="0.25">
      <c r="A18610"/>
      <c r="B18610"/>
    </row>
    <row r="18611" spans="1:2" x14ac:dyDescent="0.25">
      <c r="A18611"/>
      <c r="B18611"/>
    </row>
    <row r="18612" spans="1:2" x14ac:dyDescent="0.25">
      <c r="A18612"/>
      <c r="B18612"/>
    </row>
    <row r="18613" spans="1:2" x14ac:dyDescent="0.25">
      <c r="A18613"/>
      <c r="B18613"/>
    </row>
    <row r="18614" spans="1:2" x14ac:dyDescent="0.25">
      <c r="A18614"/>
      <c r="B18614"/>
    </row>
    <row r="18615" spans="1:2" x14ac:dyDescent="0.25">
      <c r="A18615"/>
      <c r="B18615"/>
    </row>
    <row r="18616" spans="1:2" x14ac:dyDescent="0.25">
      <c r="A18616"/>
      <c r="B18616"/>
    </row>
    <row r="18617" spans="1:2" x14ac:dyDescent="0.25">
      <c r="A18617"/>
      <c r="B18617"/>
    </row>
    <row r="18618" spans="1:2" x14ac:dyDescent="0.25">
      <c r="A18618"/>
      <c r="B18618"/>
    </row>
    <row r="18619" spans="1:2" x14ac:dyDescent="0.25">
      <c r="A18619"/>
      <c r="B18619"/>
    </row>
    <row r="18620" spans="1:2" x14ac:dyDescent="0.25">
      <c r="A18620"/>
      <c r="B18620"/>
    </row>
    <row r="18621" spans="1:2" x14ac:dyDescent="0.25">
      <c r="A18621"/>
      <c r="B18621"/>
    </row>
    <row r="18622" spans="1:2" x14ac:dyDescent="0.25">
      <c r="A18622"/>
      <c r="B18622"/>
    </row>
    <row r="18623" spans="1:2" x14ac:dyDescent="0.25">
      <c r="A18623"/>
      <c r="B18623"/>
    </row>
    <row r="18624" spans="1:2" x14ac:dyDescent="0.25">
      <c r="A18624"/>
      <c r="B18624"/>
    </row>
    <row r="18625" spans="1:2" x14ac:dyDescent="0.25">
      <c r="A18625"/>
      <c r="B18625"/>
    </row>
    <row r="18626" spans="1:2" x14ac:dyDescent="0.25">
      <c r="A18626"/>
      <c r="B18626"/>
    </row>
    <row r="18627" spans="1:2" x14ac:dyDescent="0.25">
      <c r="A18627"/>
      <c r="B18627"/>
    </row>
    <row r="18628" spans="1:2" x14ac:dyDescent="0.25">
      <c r="A18628"/>
      <c r="B18628"/>
    </row>
    <row r="18629" spans="1:2" x14ac:dyDescent="0.25">
      <c r="A18629"/>
      <c r="B18629"/>
    </row>
    <row r="18630" spans="1:2" x14ac:dyDescent="0.25">
      <c r="A18630"/>
      <c r="B18630"/>
    </row>
    <row r="18631" spans="1:2" x14ac:dyDescent="0.25">
      <c r="A18631"/>
      <c r="B18631"/>
    </row>
    <row r="18632" spans="1:2" x14ac:dyDescent="0.25">
      <c r="A18632"/>
      <c r="B18632"/>
    </row>
    <row r="18633" spans="1:2" x14ac:dyDescent="0.25">
      <c r="A18633"/>
      <c r="B18633"/>
    </row>
    <row r="18634" spans="1:2" x14ac:dyDescent="0.25">
      <c r="A18634"/>
      <c r="B18634"/>
    </row>
    <row r="18635" spans="1:2" x14ac:dyDescent="0.25">
      <c r="A18635"/>
      <c r="B18635"/>
    </row>
    <row r="18636" spans="1:2" x14ac:dyDescent="0.25">
      <c r="A18636"/>
      <c r="B18636"/>
    </row>
    <row r="18637" spans="1:2" x14ac:dyDescent="0.25">
      <c r="A18637"/>
      <c r="B18637"/>
    </row>
    <row r="18638" spans="1:2" x14ac:dyDescent="0.25">
      <c r="A18638"/>
      <c r="B18638"/>
    </row>
    <row r="18639" spans="1:2" x14ac:dyDescent="0.25">
      <c r="A18639"/>
      <c r="B18639"/>
    </row>
    <row r="18640" spans="1:2" x14ac:dyDescent="0.25">
      <c r="A18640"/>
      <c r="B18640"/>
    </row>
    <row r="18641" spans="1:2" x14ac:dyDescent="0.25">
      <c r="A18641"/>
      <c r="B18641"/>
    </row>
    <row r="18642" spans="1:2" x14ac:dyDescent="0.25">
      <c r="A18642"/>
      <c r="B18642"/>
    </row>
    <row r="18643" spans="1:2" x14ac:dyDescent="0.25">
      <c r="A18643"/>
      <c r="B18643"/>
    </row>
    <row r="18644" spans="1:2" x14ac:dyDescent="0.25">
      <c r="A18644"/>
      <c r="B18644"/>
    </row>
    <row r="18645" spans="1:2" x14ac:dyDescent="0.25">
      <c r="A18645"/>
      <c r="B18645"/>
    </row>
    <row r="18646" spans="1:2" x14ac:dyDescent="0.25">
      <c r="A18646"/>
      <c r="B18646"/>
    </row>
    <row r="18647" spans="1:2" x14ac:dyDescent="0.25">
      <c r="A18647"/>
      <c r="B18647"/>
    </row>
    <row r="18648" spans="1:2" x14ac:dyDescent="0.25">
      <c r="A18648"/>
      <c r="B18648"/>
    </row>
    <row r="18649" spans="1:2" x14ac:dyDescent="0.25">
      <c r="A18649"/>
      <c r="B18649"/>
    </row>
    <row r="18650" spans="1:2" x14ac:dyDescent="0.25">
      <c r="A18650"/>
      <c r="B18650"/>
    </row>
    <row r="18651" spans="1:2" x14ac:dyDescent="0.25">
      <c r="A18651"/>
      <c r="B18651"/>
    </row>
    <row r="18652" spans="1:2" x14ac:dyDescent="0.25">
      <c r="A18652"/>
      <c r="B18652"/>
    </row>
    <row r="18653" spans="1:2" x14ac:dyDescent="0.25">
      <c r="A18653"/>
      <c r="B18653"/>
    </row>
    <row r="18654" spans="1:2" x14ac:dyDescent="0.25">
      <c r="A18654"/>
      <c r="B18654"/>
    </row>
    <row r="18655" spans="1:2" x14ac:dyDescent="0.25">
      <c r="A18655"/>
      <c r="B18655"/>
    </row>
    <row r="18656" spans="1:2" x14ac:dyDescent="0.25">
      <c r="A18656"/>
      <c r="B18656"/>
    </row>
    <row r="18657" spans="1:2" x14ac:dyDescent="0.25">
      <c r="A18657"/>
      <c r="B18657"/>
    </row>
    <row r="18658" spans="1:2" x14ac:dyDescent="0.25">
      <c r="A18658"/>
      <c r="B18658"/>
    </row>
    <row r="18659" spans="1:2" x14ac:dyDescent="0.25">
      <c r="A18659"/>
      <c r="B18659"/>
    </row>
    <row r="18660" spans="1:2" x14ac:dyDescent="0.25">
      <c r="A18660"/>
      <c r="B18660"/>
    </row>
    <row r="18661" spans="1:2" x14ac:dyDescent="0.25">
      <c r="A18661"/>
      <c r="B18661"/>
    </row>
    <row r="18662" spans="1:2" x14ac:dyDescent="0.25">
      <c r="A18662"/>
      <c r="B18662"/>
    </row>
    <row r="18663" spans="1:2" x14ac:dyDescent="0.25">
      <c r="A18663"/>
      <c r="B18663"/>
    </row>
    <row r="18664" spans="1:2" x14ac:dyDescent="0.25">
      <c r="A18664"/>
      <c r="B18664"/>
    </row>
    <row r="18665" spans="1:2" x14ac:dyDescent="0.25">
      <c r="A18665"/>
      <c r="B18665"/>
    </row>
    <row r="18666" spans="1:2" x14ac:dyDescent="0.25">
      <c r="A18666"/>
      <c r="B18666"/>
    </row>
    <row r="18667" spans="1:2" x14ac:dyDescent="0.25">
      <c r="A18667"/>
      <c r="B18667"/>
    </row>
    <row r="18668" spans="1:2" x14ac:dyDescent="0.25">
      <c r="A18668"/>
      <c r="B18668"/>
    </row>
    <row r="18669" spans="1:2" x14ac:dyDescent="0.25">
      <c r="A18669"/>
      <c r="B18669"/>
    </row>
    <row r="18670" spans="1:2" x14ac:dyDescent="0.25">
      <c r="A18670"/>
      <c r="B18670"/>
    </row>
    <row r="18671" spans="1:2" x14ac:dyDescent="0.25">
      <c r="A18671"/>
      <c r="B18671"/>
    </row>
    <row r="18672" spans="1:2" x14ac:dyDescent="0.25">
      <c r="A18672"/>
      <c r="B18672"/>
    </row>
    <row r="18673" spans="1:2" x14ac:dyDescent="0.25">
      <c r="A18673"/>
      <c r="B18673"/>
    </row>
    <row r="18674" spans="1:2" x14ac:dyDescent="0.25">
      <c r="A18674"/>
      <c r="B18674"/>
    </row>
    <row r="18675" spans="1:2" x14ac:dyDescent="0.25">
      <c r="A18675"/>
      <c r="B18675"/>
    </row>
    <row r="18676" spans="1:2" x14ac:dyDescent="0.25">
      <c r="A18676"/>
      <c r="B18676"/>
    </row>
    <row r="18677" spans="1:2" x14ac:dyDescent="0.25">
      <c r="A18677"/>
      <c r="B18677"/>
    </row>
    <row r="18678" spans="1:2" x14ac:dyDescent="0.25">
      <c r="A18678"/>
      <c r="B18678"/>
    </row>
    <row r="18679" spans="1:2" x14ac:dyDescent="0.25">
      <c r="A18679"/>
      <c r="B18679"/>
    </row>
    <row r="18680" spans="1:2" x14ac:dyDescent="0.25">
      <c r="A18680"/>
      <c r="B18680"/>
    </row>
    <row r="18681" spans="1:2" x14ac:dyDescent="0.25">
      <c r="A18681"/>
      <c r="B18681"/>
    </row>
    <row r="18682" spans="1:2" x14ac:dyDescent="0.25">
      <c r="A18682"/>
      <c r="B18682"/>
    </row>
    <row r="18683" spans="1:2" x14ac:dyDescent="0.25">
      <c r="A18683"/>
      <c r="B18683"/>
    </row>
    <row r="18684" spans="1:2" x14ac:dyDescent="0.25">
      <c r="A18684"/>
      <c r="B18684"/>
    </row>
    <row r="18685" spans="1:2" x14ac:dyDescent="0.25">
      <c r="A18685"/>
      <c r="B18685"/>
    </row>
    <row r="18686" spans="1:2" x14ac:dyDescent="0.25">
      <c r="A18686"/>
      <c r="B18686"/>
    </row>
    <row r="18687" spans="1:2" x14ac:dyDescent="0.25">
      <c r="A18687"/>
      <c r="B18687"/>
    </row>
    <row r="18688" spans="1:2" x14ac:dyDescent="0.25">
      <c r="A18688"/>
      <c r="B18688"/>
    </row>
    <row r="18689" spans="1:2" x14ac:dyDescent="0.25">
      <c r="A18689"/>
      <c r="B18689"/>
    </row>
    <row r="18690" spans="1:2" x14ac:dyDescent="0.25">
      <c r="A18690"/>
      <c r="B18690"/>
    </row>
    <row r="18691" spans="1:2" x14ac:dyDescent="0.25">
      <c r="A18691"/>
      <c r="B18691"/>
    </row>
    <row r="18692" spans="1:2" x14ac:dyDescent="0.25">
      <c r="A18692"/>
      <c r="B18692"/>
    </row>
    <row r="18693" spans="1:2" x14ac:dyDescent="0.25">
      <c r="A18693"/>
      <c r="B18693"/>
    </row>
    <row r="18694" spans="1:2" x14ac:dyDescent="0.25">
      <c r="A18694"/>
      <c r="B18694"/>
    </row>
    <row r="18695" spans="1:2" x14ac:dyDescent="0.25">
      <c r="A18695"/>
      <c r="B18695"/>
    </row>
    <row r="18696" spans="1:2" x14ac:dyDescent="0.25">
      <c r="A18696"/>
      <c r="B18696"/>
    </row>
    <row r="18697" spans="1:2" x14ac:dyDescent="0.25">
      <c r="A18697"/>
      <c r="B18697"/>
    </row>
    <row r="18698" spans="1:2" x14ac:dyDescent="0.25">
      <c r="A18698"/>
      <c r="B18698"/>
    </row>
    <row r="18699" spans="1:2" x14ac:dyDescent="0.25">
      <c r="A18699"/>
      <c r="B18699"/>
    </row>
    <row r="18700" spans="1:2" x14ac:dyDescent="0.25">
      <c r="A18700"/>
      <c r="B18700"/>
    </row>
    <row r="18701" spans="1:2" x14ac:dyDescent="0.25">
      <c r="A18701"/>
      <c r="B18701"/>
    </row>
    <row r="18702" spans="1:2" x14ac:dyDescent="0.25">
      <c r="A18702"/>
      <c r="B18702"/>
    </row>
    <row r="18703" spans="1:2" x14ac:dyDescent="0.25">
      <c r="A18703"/>
      <c r="B18703"/>
    </row>
    <row r="18704" spans="1:2" x14ac:dyDescent="0.25">
      <c r="A18704"/>
      <c r="B18704"/>
    </row>
    <row r="18705" spans="1:2" x14ac:dyDescent="0.25">
      <c r="A18705"/>
      <c r="B18705"/>
    </row>
    <row r="18706" spans="1:2" x14ac:dyDescent="0.25">
      <c r="A18706"/>
      <c r="B18706"/>
    </row>
    <row r="18707" spans="1:2" x14ac:dyDescent="0.25">
      <c r="A18707"/>
      <c r="B18707"/>
    </row>
    <row r="18708" spans="1:2" x14ac:dyDescent="0.25">
      <c r="A18708"/>
      <c r="B18708"/>
    </row>
    <row r="18709" spans="1:2" x14ac:dyDescent="0.25">
      <c r="A18709"/>
      <c r="B18709"/>
    </row>
    <row r="18710" spans="1:2" x14ac:dyDescent="0.25">
      <c r="A18710"/>
      <c r="B18710"/>
    </row>
    <row r="18711" spans="1:2" x14ac:dyDescent="0.25">
      <c r="A18711"/>
      <c r="B18711"/>
    </row>
    <row r="18712" spans="1:2" x14ac:dyDescent="0.25">
      <c r="A18712"/>
      <c r="B18712"/>
    </row>
    <row r="18713" spans="1:2" x14ac:dyDescent="0.25">
      <c r="A18713"/>
      <c r="B18713"/>
    </row>
    <row r="18714" spans="1:2" x14ac:dyDescent="0.25">
      <c r="A18714"/>
      <c r="B18714"/>
    </row>
    <row r="18715" spans="1:2" x14ac:dyDescent="0.25">
      <c r="A18715"/>
      <c r="B18715"/>
    </row>
    <row r="18716" spans="1:2" x14ac:dyDescent="0.25">
      <c r="A18716"/>
      <c r="B18716"/>
    </row>
    <row r="18717" spans="1:2" x14ac:dyDescent="0.25">
      <c r="A18717"/>
      <c r="B18717"/>
    </row>
    <row r="18718" spans="1:2" x14ac:dyDescent="0.25">
      <c r="A18718"/>
      <c r="B18718"/>
    </row>
    <row r="18719" spans="1:2" x14ac:dyDescent="0.25">
      <c r="A18719"/>
      <c r="B18719"/>
    </row>
    <row r="18720" spans="1:2" x14ac:dyDescent="0.25">
      <c r="A18720"/>
      <c r="B18720"/>
    </row>
    <row r="18721" spans="1:2" x14ac:dyDescent="0.25">
      <c r="A18721"/>
      <c r="B18721"/>
    </row>
    <row r="18722" spans="1:2" x14ac:dyDescent="0.25">
      <c r="A18722"/>
      <c r="B18722"/>
    </row>
    <row r="18723" spans="1:2" x14ac:dyDescent="0.25">
      <c r="A18723"/>
      <c r="B18723"/>
    </row>
    <row r="18724" spans="1:2" x14ac:dyDescent="0.25">
      <c r="A18724"/>
      <c r="B18724"/>
    </row>
    <row r="18725" spans="1:2" x14ac:dyDescent="0.25">
      <c r="A18725"/>
      <c r="B18725"/>
    </row>
    <row r="18726" spans="1:2" x14ac:dyDescent="0.25">
      <c r="A18726"/>
      <c r="B18726"/>
    </row>
    <row r="18727" spans="1:2" x14ac:dyDescent="0.25">
      <c r="A18727"/>
      <c r="B18727"/>
    </row>
    <row r="18728" spans="1:2" x14ac:dyDescent="0.25">
      <c r="A18728"/>
      <c r="B18728"/>
    </row>
    <row r="18729" spans="1:2" x14ac:dyDescent="0.25">
      <c r="A18729"/>
      <c r="B18729"/>
    </row>
    <row r="18730" spans="1:2" x14ac:dyDescent="0.25">
      <c r="A18730"/>
      <c r="B18730"/>
    </row>
    <row r="18731" spans="1:2" x14ac:dyDescent="0.25">
      <c r="A18731"/>
      <c r="B18731"/>
    </row>
    <row r="18732" spans="1:2" x14ac:dyDescent="0.25">
      <c r="A18732"/>
      <c r="B18732"/>
    </row>
    <row r="18733" spans="1:2" x14ac:dyDescent="0.25">
      <c r="A18733"/>
      <c r="B18733"/>
    </row>
    <row r="18734" spans="1:2" x14ac:dyDescent="0.25">
      <c r="A18734"/>
      <c r="B18734"/>
    </row>
    <row r="18735" spans="1:2" x14ac:dyDescent="0.25">
      <c r="A18735"/>
      <c r="B18735"/>
    </row>
    <row r="18736" spans="1:2" x14ac:dyDescent="0.25">
      <c r="A18736"/>
      <c r="B18736"/>
    </row>
    <row r="18737" spans="1:2" x14ac:dyDescent="0.25">
      <c r="A18737"/>
      <c r="B18737"/>
    </row>
    <row r="18738" spans="1:2" x14ac:dyDescent="0.25">
      <c r="A18738"/>
      <c r="B18738"/>
    </row>
    <row r="18739" spans="1:2" x14ac:dyDescent="0.25">
      <c r="A18739"/>
      <c r="B18739"/>
    </row>
    <row r="18740" spans="1:2" x14ac:dyDescent="0.25">
      <c r="A18740"/>
      <c r="B18740"/>
    </row>
    <row r="18741" spans="1:2" x14ac:dyDescent="0.25">
      <c r="A18741"/>
      <c r="B18741"/>
    </row>
    <row r="18742" spans="1:2" x14ac:dyDescent="0.25">
      <c r="A18742"/>
      <c r="B18742"/>
    </row>
    <row r="18743" spans="1:2" x14ac:dyDescent="0.25">
      <c r="A18743"/>
      <c r="B18743"/>
    </row>
    <row r="18744" spans="1:2" x14ac:dyDescent="0.25">
      <c r="A18744"/>
      <c r="B18744"/>
    </row>
    <row r="18745" spans="1:2" x14ac:dyDescent="0.25">
      <c r="A18745"/>
      <c r="B18745"/>
    </row>
    <row r="18746" spans="1:2" x14ac:dyDescent="0.25">
      <c r="A18746"/>
      <c r="B18746"/>
    </row>
    <row r="18747" spans="1:2" x14ac:dyDescent="0.25">
      <c r="A18747"/>
      <c r="B18747"/>
    </row>
    <row r="18748" spans="1:2" x14ac:dyDescent="0.25">
      <c r="A18748"/>
      <c r="B18748"/>
    </row>
    <row r="18749" spans="1:2" x14ac:dyDescent="0.25">
      <c r="A18749"/>
      <c r="B18749"/>
    </row>
    <row r="18750" spans="1:2" x14ac:dyDescent="0.25">
      <c r="A18750"/>
      <c r="B18750"/>
    </row>
    <row r="18751" spans="1:2" x14ac:dyDescent="0.25">
      <c r="A18751"/>
      <c r="B18751"/>
    </row>
    <row r="18752" spans="1:2" x14ac:dyDescent="0.25">
      <c r="A18752"/>
      <c r="B18752"/>
    </row>
    <row r="18753" spans="1:2" x14ac:dyDescent="0.25">
      <c r="A18753"/>
      <c r="B18753"/>
    </row>
    <row r="18754" spans="1:2" x14ac:dyDescent="0.25">
      <c r="A18754"/>
      <c r="B18754"/>
    </row>
    <row r="18755" spans="1:2" x14ac:dyDescent="0.25">
      <c r="A18755"/>
      <c r="B18755"/>
    </row>
    <row r="18756" spans="1:2" x14ac:dyDescent="0.25">
      <c r="A18756"/>
      <c r="B18756"/>
    </row>
    <row r="18757" spans="1:2" x14ac:dyDescent="0.25">
      <c r="A18757"/>
      <c r="B18757"/>
    </row>
    <row r="18758" spans="1:2" x14ac:dyDescent="0.25">
      <c r="A18758"/>
      <c r="B18758"/>
    </row>
    <row r="18759" spans="1:2" x14ac:dyDescent="0.25">
      <c r="A18759"/>
      <c r="B18759"/>
    </row>
    <row r="18760" spans="1:2" x14ac:dyDescent="0.25">
      <c r="A18760"/>
      <c r="B18760"/>
    </row>
    <row r="18761" spans="1:2" x14ac:dyDescent="0.25">
      <c r="A18761"/>
      <c r="B18761"/>
    </row>
    <row r="18762" spans="1:2" x14ac:dyDescent="0.25">
      <c r="A18762"/>
      <c r="B18762"/>
    </row>
    <row r="18763" spans="1:2" x14ac:dyDescent="0.25">
      <c r="A18763"/>
      <c r="B18763"/>
    </row>
    <row r="18764" spans="1:2" x14ac:dyDescent="0.25">
      <c r="A18764"/>
      <c r="B18764"/>
    </row>
    <row r="18765" spans="1:2" x14ac:dyDescent="0.25">
      <c r="A18765"/>
      <c r="B18765"/>
    </row>
    <row r="18766" spans="1:2" x14ac:dyDescent="0.25">
      <c r="A18766"/>
      <c r="B18766"/>
    </row>
    <row r="18767" spans="1:2" x14ac:dyDescent="0.25">
      <c r="A18767"/>
      <c r="B18767"/>
    </row>
    <row r="18768" spans="1:2" x14ac:dyDescent="0.25">
      <c r="A18768"/>
      <c r="B18768"/>
    </row>
    <row r="18769" spans="1:2" x14ac:dyDescent="0.25">
      <c r="A18769"/>
      <c r="B18769"/>
    </row>
    <row r="18770" spans="1:2" x14ac:dyDescent="0.25">
      <c r="A18770"/>
      <c r="B18770"/>
    </row>
    <row r="18771" spans="1:2" x14ac:dyDescent="0.25">
      <c r="A18771"/>
      <c r="B18771"/>
    </row>
    <row r="18772" spans="1:2" x14ac:dyDescent="0.25">
      <c r="A18772"/>
      <c r="B18772"/>
    </row>
    <row r="18773" spans="1:2" x14ac:dyDescent="0.25">
      <c r="A18773"/>
      <c r="B18773"/>
    </row>
    <row r="18774" spans="1:2" x14ac:dyDescent="0.25">
      <c r="A18774"/>
      <c r="B18774"/>
    </row>
    <row r="18775" spans="1:2" x14ac:dyDescent="0.25">
      <c r="A18775"/>
      <c r="B18775"/>
    </row>
    <row r="18776" spans="1:2" x14ac:dyDescent="0.25">
      <c r="A18776"/>
      <c r="B18776"/>
    </row>
    <row r="18777" spans="1:2" x14ac:dyDescent="0.25">
      <c r="A18777"/>
      <c r="B18777"/>
    </row>
    <row r="18778" spans="1:2" x14ac:dyDescent="0.25">
      <c r="A18778"/>
      <c r="B18778"/>
    </row>
    <row r="18779" spans="1:2" x14ac:dyDescent="0.25">
      <c r="A18779"/>
      <c r="B18779"/>
    </row>
    <row r="18780" spans="1:2" x14ac:dyDescent="0.25">
      <c r="A18780"/>
      <c r="B18780"/>
    </row>
    <row r="18781" spans="1:2" x14ac:dyDescent="0.25">
      <c r="A18781"/>
      <c r="B18781"/>
    </row>
    <row r="18782" spans="1:2" x14ac:dyDescent="0.25">
      <c r="A18782"/>
      <c r="B18782"/>
    </row>
    <row r="18783" spans="1:2" x14ac:dyDescent="0.25">
      <c r="A18783"/>
      <c r="B18783"/>
    </row>
    <row r="18784" spans="1:2" x14ac:dyDescent="0.25">
      <c r="A18784"/>
      <c r="B18784"/>
    </row>
    <row r="18785" spans="1:2" x14ac:dyDescent="0.25">
      <c r="A18785"/>
      <c r="B18785"/>
    </row>
    <row r="18786" spans="1:2" x14ac:dyDescent="0.25">
      <c r="A18786"/>
      <c r="B18786"/>
    </row>
    <row r="18787" spans="1:2" x14ac:dyDescent="0.25">
      <c r="A18787"/>
      <c r="B18787"/>
    </row>
    <row r="18788" spans="1:2" x14ac:dyDescent="0.25">
      <c r="A18788"/>
      <c r="B18788"/>
    </row>
    <row r="18789" spans="1:2" x14ac:dyDescent="0.25">
      <c r="A18789"/>
      <c r="B18789"/>
    </row>
    <row r="18790" spans="1:2" x14ac:dyDescent="0.25">
      <c r="A18790"/>
      <c r="B18790"/>
    </row>
    <row r="18791" spans="1:2" x14ac:dyDescent="0.25">
      <c r="A18791"/>
      <c r="B18791"/>
    </row>
    <row r="18792" spans="1:2" x14ac:dyDescent="0.25">
      <c r="A18792"/>
      <c r="B18792"/>
    </row>
    <row r="18793" spans="1:2" x14ac:dyDescent="0.25">
      <c r="A18793"/>
      <c r="B18793"/>
    </row>
    <row r="18794" spans="1:2" x14ac:dyDescent="0.25">
      <c r="A18794"/>
      <c r="B18794"/>
    </row>
    <row r="18795" spans="1:2" x14ac:dyDescent="0.25">
      <c r="A18795"/>
      <c r="B18795"/>
    </row>
    <row r="18796" spans="1:2" x14ac:dyDescent="0.25">
      <c r="A18796"/>
      <c r="B18796"/>
    </row>
    <row r="18797" spans="1:2" x14ac:dyDescent="0.25">
      <c r="A18797"/>
      <c r="B18797"/>
    </row>
    <row r="18798" spans="1:2" x14ac:dyDescent="0.25">
      <c r="A18798"/>
      <c r="B18798"/>
    </row>
    <row r="18799" spans="1:2" x14ac:dyDescent="0.25">
      <c r="A18799"/>
      <c r="B18799"/>
    </row>
    <row r="18800" spans="1:2" x14ac:dyDescent="0.25">
      <c r="A18800"/>
      <c r="B18800"/>
    </row>
    <row r="18801" spans="1:2" x14ac:dyDescent="0.25">
      <c r="A18801"/>
      <c r="B18801"/>
    </row>
    <row r="18802" spans="1:2" x14ac:dyDescent="0.25">
      <c r="A18802"/>
      <c r="B18802"/>
    </row>
    <row r="18803" spans="1:2" x14ac:dyDescent="0.25">
      <c r="A18803"/>
      <c r="B18803"/>
    </row>
    <row r="18804" spans="1:2" x14ac:dyDescent="0.25">
      <c r="A18804"/>
      <c r="B18804"/>
    </row>
    <row r="18805" spans="1:2" x14ac:dyDescent="0.25">
      <c r="A18805"/>
      <c r="B18805"/>
    </row>
    <row r="18806" spans="1:2" x14ac:dyDescent="0.25">
      <c r="A18806"/>
      <c r="B18806"/>
    </row>
    <row r="18807" spans="1:2" x14ac:dyDescent="0.25">
      <c r="A18807"/>
      <c r="B18807"/>
    </row>
    <row r="18808" spans="1:2" x14ac:dyDescent="0.25">
      <c r="A18808"/>
      <c r="B18808"/>
    </row>
    <row r="18809" spans="1:2" x14ac:dyDescent="0.25">
      <c r="A18809"/>
      <c r="B18809"/>
    </row>
    <row r="18810" spans="1:2" x14ac:dyDescent="0.25">
      <c r="A18810"/>
      <c r="B18810"/>
    </row>
    <row r="18811" spans="1:2" x14ac:dyDescent="0.25">
      <c r="A18811"/>
      <c r="B18811"/>
    </row>
    <row r="18812" spans="1:2" x14ac:dyDescent="0.25">
      <c r="A18812"/>
      <c r="B18812"/>
    </row>
    <row r="18813" spans="1:2" x14ac:dyDescent="0.25">
      <c r="A18813"/>
      <c r="B18813"/>
    </row>
    <row r="18814" spans="1:2" x14ac:dyDescent="0.25">
      <c r="A18814"/>
      <c r="B18814"/>
    </row>
    <row r="18815" spans="1:2" x14ac:dyDescent="0.25">
      <c r="A18815"/>
      <c r="B18815"/>
    </row>
    <row r="18816" spans="1:2" x14ac:dyDescent="0.25">
      <c r="A18816"/>
      <c r="B18816"/>
    </row>
    <row r="18817" spans="1:2" x14ac:dyDescent="0.25">
      <c r="A18817"/>
      <c r="B18817"/>
    </row>
    <row r="18818" spans="1:2" x14ac:dyDescent="0.25">
      <c r="A18818"/>
      <c r="B18818"/>
    </row>
    <row r="18819" spans="1:2" x14ac:dyDescent="0.25">
      <c r="A18819"/>
      <c r="B18819"/>
    </row>
    <row r="18820" spans="1:2" x14ac:dyDescent="0.25">
      <c r="A18820"/>
      <c r="B18820"/>
    </row>
    <row r="18821" spans="1:2" x14ac:dyDescent="0.25">
      <c r="A18821"/>
      <c r="B18821"/>
    </row>
    <row r="18822" spans="1:2" x14ac:dyDescent="0.25">
      <c r="A18822"/>
      <c r="B18822"/>
    </row>
    <row r="18823" spans="1:2" x14ac:dyDescent="0.25">
      <c r="A18823"/>
      <c r="B18823"/>
    </row>
    <row r="18824" spans="1:2" x14ac:dyDescent="0.25">
      <c r="A18824"/>
      <c r="B18824"/>
    </row>
    <row r="18825" spans="1:2" x14ac:dyDescent="0.25">
      <c r="A18825"/>
      <c r="B18825"/>
    </row>
    <row r="18826" spans="1:2" x14ac:dyDescent="0.25">
      <c r="A18826"/>
      <c r="B18826"/>
    </row>
    <row r="18827" spans="1:2" x14ac:dyDescent="0.25">
      <c r="A18827"/>
      <c r="B18827"/>
    </row>
    <row r="18828" spans="1:2" x14ac:dyDescent="0.25">
      <c r="A18828"/>
      <c r="B18828"/>
    </row>
    <row r="18829" spans="1:2" x14ac:dyDescent="0.25">
      <c r="A18829"/>
      <c r="B18829"/>
    </row>
    <row r="18830" spans="1:2" x14ac:dyDescent="0.25">
      <c r="A18830"/>
      <c r="B18830"/>
    </row>
    <row r="18831" spans="1:2" x14ac:dyDescent="0.25">
      <c r="A18831"/>
      <c r="B18831"/>
    </row>
    <row r="18832" spans="1:2" x14ac:dyDescent="0.25">
      <c r="A18832"/>
      <c r="B18832"/>
    </row>
    <row r="18833" spans="1:2" x14ac:dyDescent="0.25">
      <c r="A18833"/>
      <c r="B18833"/>
    </row>
    <row r="18834" spans="1:2" x14ac:dyDescent="0.25">
      <c r="A18834"/>
      <c r="B18834"/>
    </row>
    <row r="18835" spans="1:2" x14ac:dyDescent="0.25">
      <c r="A18835"/>
      <c r="B18835"/>
    </row>
    <row r="18836" spans="1:2" x14ac:dyDescent="0.25">
      <c r="A18836"/>
      <c r="B18836"/>
    </row>
    <row r="18837" spans="1:2" x14ac:dyDescent="0.25">
      <c r="A18837"/>
      <c r="B18837"/>
    </row>
    <row r="18838" spans="1:2" x14ac:dyDescent="0.25">
      <c r="A18838"/>
      <c r="B18838"/>
    </row>
    <row r="18839" spans="1:2" x14ac:dyDescent="0.25">
      <c r="A18839"/>
      <c r="B18839"/>
    </row>
    <row r="18840" spans="1:2" x14ac:dyDescent="0.25">
      <c r="A18840"/>
      <c r="B18840"/>
    </row>
    <row r="18841" spans="1:2" x14ac:dyDescent="0.25">
      <c r="A18841"/>
      <c r="B18841"/>
    </row>
    <row r="18842" spans="1:2" x14ac:dyDescent="0.25">
      <c r="A18842"/>
      <c r="B18842"/>
    </row>
    <row r="18843" spans="1:2" x14ac:dyDescent="0.25">
      <c r="A18843"/>
      <c r="B18843"/>
    </row>
    <row r="18844" spans="1:2" x14ac:dyDescent="0.25">
      <c r="A18844"/>
      <c r="B18844"/>
    </row>
    <row r="18845" spans="1:2" x14ac:dyDescent="0.25">
      <c r="A18845"/>
      <c r="B18845"/>
    </row>
    <row r="18846" spans="1:2" x14ac:dyDescent="0.25">
      <c r="A18846"/>
      <c r="B18846"/>
    </row>
    <row r="18847" spans="1:2" x14ac:dyDescent="0.25">
      <c r="A18847"/>
      <c r="B18847"/>
    </row>
    <row r="18848" spans="1:2" x14ac:dyDescent="0.25">
      <c r="A18848"/>
      <c r="B18848"/>
    </row>
    <row r="18849" spans="1:2" x14ac:dyDescent="0.25">
      <c r="A18849"/>
      <c r="B18849"/>
    </row>
    <row r="18850" spans="1:2" x14ac:dyDescent="0.25">
      <c r="A18850"/>
      <c r="B18850"/>
    </row>
    <row r="18851" spans="1:2" x14ac:dyDescent="0.25">
      <c r="A18851"/>
      <c r="B18851"/>
    </row>
    <row r="18852" spans="1:2" x14ac:dyDescent="0.25">
      <c r="A18852"/>
      <c r="B18852"/>
    </row>
    <row r="18853" spans="1:2" x14ac:dyDescent="0.25">
      <c r="A18853"/>
      <c r="B18853"/>
    </row>
    <row r="18854" spans="1:2" x14ac:dyDescent="0.25">
      <c r="A18854"/>
      <c r="B18854"/>
    </row>
    <row r="18855" spans="1:2" x14ac:dyDescent="0.25">
      <c r="A18855"/>
      <c r="B18855"/>
    </row>
    <row r="18856" spans="1:2" x14ac:dyDescent="0.25">
      <c r="A18856"/>
      <c r="B18856"/>
    </row>
    <row r="18857" spans="1:2" x14ac:dyDescent="0.25">
      <c r="A18857"/>
      <c r="B18857"/>
    </row>
    <row r="18858" spans="1:2" x14ac:dyDescent="0.25">
      <c r="A18858"/>
      <c r="B18858"/>
    </row>
    <row r="18859" spans="1:2" x14ac:dyDescent="0.25">
      <c r="A18859"/>
      <c r="B18859"/>
    </row>
    <row r="18860" spans="1:2" x14ac:dyDescent="0.25">
      <c r="A18860"/>
      <c r="B18860"/>
    </row>
    <row r="18861" spans="1:2" x14ac:dyDescent="0.25">
      <c r="A18861"/>
      <c r="B18861"/>
    </row>
    <row r="18862" spans="1:2" x14ac:dyDescent="0.25">
      <c r="A18862"/>
      <c r="B18862"/>
    </row>
    <row r="18863" spans="1:2" x14ac:dyDescent="0.25">
      <c r="A18863"/>
      <c r="B18863"/>
    </row>
    <row r="18864" spans="1:2" x14ac:dyDescent="0.25">
      <c r="A18864"/>
      <c r="B18864"/>
    </row>
    <row r="18865" spans="1:2" x14ac:dyDescent="0.25">
      <c r="A18865"/>
      <c r="B18865"/>
    </row>
    <row r="18866" spans="1:2" x14ac:dyDescent="0.25">
      <c r="A18866"/>
      <c r="B18866"/>
    </row>
    <row r="18867" spans="1:2" x14ac:dyDescent="0.25">
      <c r="A18867"/>
      <c r="B18867"/>
    </row>
    <row r="18868" spans="1:2" x14ac:dyDescent="0.25">
      <c r="A18868"/>
      <c r="B18868"/>
    </row>
    <row r="18869" spans="1:2" x14ac:dyDescent="0.25">
      <c r="A18869"/>
      <c r="B18869"/>
    </row>
    <row r="18870" spans="1:2" x14ac:dyDescent="0.25">
      <c r="A18870"/>
      <c r="B18870"/>
    </row>
    <row r="18871" spans="1:2" x14ac:dyDescent="0.25">
      <c r="A18871"/>
      <c r="B18871"/>
    </row>
    <row r="18872" spans="1:2" x14ac:dyDescent="0.25">
      <c r="A18872"/>
      <c r="B18872"/>
    </row>
    <row r="18873" spans="1:2" x14ac:dyDescent="0.25">
      <c r="A18873"/>
      <c r="B18873"/>
    </row>
    <row r="18874" spans="1:2" x14ac:dyDescent="0.25">
      <c r="A18874"/>
      <c r="B18874"/>
    </row>
    <row r="18875" spans="1:2" x14ac:dyDescent="0.25">
      <c r="A18875"/>
      <c r="B18875"/>
    </row>
    <row r="18876" spans="1:2" x14ac:dyDescent="0.25">
      <c r="A18876"/>
      <c r="B18876"/>
    </row>
    <row r="18877" spans="1:2" x14ac:dyDescent="0.25">
      <c r="A18877"/>
      <c r="B18877"/>
    </row>
    <row r="18878" spans="1:2" x14ac:dyDescent="0.25">
      <c r="A18878"/>
      <c r="B18878"/>
    </row>
    <row r="18879" spans="1:2" x14ac:dyDescent="0.25">
      <c r="A18879"/>
      <c r="B18879"/>
    </row>
    <row r="18880" spans="1:2" x14ac:dyDescent="0.25">
      <c r="A18880"/>
      <c r="B18880"/>
    </row>
    <row r="18881" spans="1:2" x14ac:dyDescent="0.25">
      <c r="A18881"/>
      <c r="B18881"/>
    </row>
    <row r="18882" spans="1:2" x14ac:dyDescent="0.25">
      <c r="A18882"/>
      <c r="B18882"/>
    </row>
    <row r="18883" spans="1:2" x14ac:dyDescent="0.25">
      <c r="A18883"/>
      <c r="B18883"/>
    </row>
    <row r="18884" spans="1:2" x14ac:dyDescent="0.25">
      <c r="A18884"/>
      <c r="B18884"/>
    </row>
    <row r="18885" spans="1:2" x14ac:dyDescent="0.25">
      <c r="A18885"/>
      <c r="B18885"/>
    </row>
    <row r="18886" spans="1:2" x14ac:dyDescent="0.25">
      <c r="A18886"/>
      <c r="B18886"/>
    </row>
    <row r="18887" spans="1:2" x14ac:dyDescent="0.25">
      <c r="A18887"/>
      <c r="B18887"/>
    </row>
    <row r="18888" spans="1:2" x14ac:dyDescent="0.25">
      <c r="A18888"/>
      <c r="B18888"/>
    </row>
    <row r="18889" spans="1:2" x14ac:dyDescent="0.25">
      <c r="A18889"/>
      <c r="B18889"/>
    </row>
    <row r="18890" spans="1:2" x14ac:dyDescent="0.25">
      <c r="A18890"/>
      <c r="B18890"/>
    </row>
    <row r="18891" spans="1:2" x14ac:dyDescent="0.25">
      <c r="A18891"/>
      <c r="B18891"/>
    </row>
    <row r="18892" spans="1:2" x14ac:dyDescent="0.25">
      <c r="A18892"/>
      <c r="B18892"/>
    </row>
    <row r="18893" spans="1:2" x14ac:dyDescent="0.25">
      <c r="A18893"/>
      <c r="B18893"/>
    </row>
    <row r="18894" spans="1:2" x14ac:dyDescent="0.25">
      <c r="A18894"/>
      <c r="B18894"/>
    </row>
    <row r="18895" spans="1:2" x14ac:dyDescent="0.25">
      <c r="A18895"/>
      <c r="B18895"/>
    </row>
    <row r="18896" spans="1:2" x14ac:dyDescent="0.25">
      <c r="A18896"/>
      <c r="B18896"/>
    </row>
    <row r="18897" spans="1:2" x14ac:dyDescent="0.25">
      <c r="A18897"/>
      <c r="B18897"/>
    </row>
    <row r="18898" spans="1:2" x14ac:dyDescent="0.25">
      <c r="A18898"/>
      <c r="B18898"/>
    </row>
    <row r="18899" spans="1:2" x14ac:dyDescent="0.25">
      <c r="A18899"/>
      <c r="B18899"/>
    </row>
    <row r="18900" spans="1:2" x14ac:dyDescent="0.25">
      <c r="A18900"/>
      <c r="B18900"/>
    </row>
    <row r="18901" spans="1:2" x14ac:dyDescent="0.25">
      <c r="A18901"/>
      <c r="B18901"/>
    </row>
    <row r="18902" spans="1:2" x14ac:dyDescent="0.25">
      <c r="A18902"/>
      <c r="B18902"/>
    </row>
    <row r="18903" spans="1:2" x14ac:dyDescent="0.25">
      <c r="A18903"/>
      <c r="B18903"/>
    </row>
    <row r="18904" spans="1:2" x14ac:dyDescent="0.25">
      <c r="A18904"/>
      <c r="B18904"/>
    </row>
    <row r="18905" spans="1:2" x14ac:dyDescent="0.25">
      <c r="A18905"/>
      <c r="B18905"/>
    </row>
    <row r="18906" spans="1:2" x14ac:dyDescent="0.25">
      <c r="A18906"/>
      <c r="B18906"/>
    </row>
    <row r="18907" spans="1:2" x14ac:dyDescent="0.25">
      <c r="A18907"/>
      <c r="B18907"/>
    </row>
    <row r="18908" spans="1:2" x14ac:dyDescent="0.25">
      <c r="A18908"/>
      <c r="B18908"/>
    </row>
    <row r="18909" spans="1:2" x14ac:dyDescent="0.25">
      <c r="A18909"/>
      <c r="B18909"/>
    </row>
    <row r="18910" spans="1:2" x14ac:dyDescent="0.25">
      <c r="A18910"/>
      <c r="B18910"/>
    </row>
    <row r="18911" spans="1:2" x14ac:dyDescent="0.25">
      <c r="A18911"/>
      <c r="B18911"/>
    </row>
    <row r="18912" spans="1:2" x14ac:dyDescent="0.25">
      <c r="A18912"/>
      <c r="B18912"/>
    </row>
    <row r="18913" spans="1:2" x14ac:dyDescent="0.25">
      <c r="A18913"/>
      <c r="B18913"/>
    </row>
    <row r="18914" spans="1:2" x14ac:dyDescent="0.25">
      <c r="A18914"/>
      <c r="B18914"/>
    </row>
    <row r="18915" spans="1:2" x14ac:dyDescent="0.25">
      <c r="A18915"/>
      <c r="B18915"/>
    </row>
    <row r="18916" spans="1:2" x14ac:dyDescent="0.25">
      <c r="A18916"/>
      <c r="B18916"/>
    </row>
    <row r="18917" spans="1:2" x14ac:dyDescent="0.25">
      <c r="A18917"/>
      <c r="B18917"/>
    </row>
    <row r="18918" spans="1:2" x14ac:dyDescent="0.25">
      <c r="A18918"/>
      <c r="B18918"/>
    </row>
    <row r="18919" spans="1:2" x14ac:dyDescent="0.25">
      <c r="A18919"/>
      <c r="B18919"/>
    </row>
    <row r="18920" spans="1:2" x14ac:dyDescent="0.25">
      <c r="A18920"/>
      <c r="B18920"/>
    </row>
    <row r="18921" spans="1:2" x14ac:dyDescent="0.25">
      <c r="A18921"/>
      <c r="B18921"/>
    </row>
    <row r="18922" spans="1:2" x14ac:dyDescent="0.25">
      <c r="A18922"/>
      <c r="B18922"/>
    </row>
    <row r="18923" spans="1:2" x14ac:dyDescent="0.25">
      <c r="A18923"/>
      <c r="B18923"/>
    </row>
    <row r="18924" spans="1:2" x14ac:dyDescent="0.25">
      <c r="A18924"/>
      <c r="B18924"/>
    </row>
    <row r="18925" spans="1:2" x14ac:dyDescent="0.25">
      <c r="A18925"/>
      <c r="B18925"/>
    </row>
    <row r="18926" spans="1:2" x14ac:dyDescent="0.25">
      <c r="A18926"/>
      <c r="B18926"/>
    </row>
    <row r="18927" spans="1:2" x14ac:dyDescent="0.25">
      <c r="A18927"/>
      <c r="B18927"/>
    </row>
    <row r="18928" spans="1:2" x14ac:dyDescent="0.25">
      <c r="A18928"/>
      <c r="B18928"/>
    </row>
    <row r="18929" spans="1:2" x14ac:dyDescent="0.25">
      <c r="A18929"/>
      <c r="B18929"/>
    </row>
    <row r="18930" spans="1:2" x14ac:dyDescent="0.25">
      <c r="A18930"/>
      <c r="B18930"/>
    </row>
    <row r="18931" spans="1:2" x14ac:dyDescent="0.25">
      <c r="A18931"/>
      <c r="B18931"/>
    </row>
    <row r="18932" spans="1:2" x14ac:dyDescent="0.25">
      <c r="A18932"/>
      <c r="B18932"/>
    </row>
    <row r="18933" spans="1:2" x14ac:dyDescent="0.25">
      <c r="A18933"/>
      <c r="B18933"/>
    </row>
    <row r="18934" spans="1:2" x14ac:dyDescent="0.25">
      <c r="A18934"/>
      <c r="B18934"/>
    </row>
    <row r="18935" spans="1:2" x14ac:dyDescent="0.25">
      <c r="A18935"/>
      <c r="B18935"/>
    </row>
    <row r="18936" spans="1:2" x14ac:dyDescent="0.25">
      <c r="A18936"/>
      <c r="B18936"/>
    </row>
    <row r="18937" spans="1:2" x14ac:dyDescent="0.25">
      <c r="A18937"/>
      <c r="B18937"/>
    </row>
    <row r="18938" spans="1:2" x14ac:dyDescent="0.25">
      <c r="A18938"/>
      <c r="B18938"/>
    </row>
    <row r="18939" spans="1:2" x14ac:dyDescent="0.25">
      <c r="A18939"/>
      <c r="B18939"/>
    </row>
    <row r="18940" spans="1:2" x14ac:dyDescent="0.25">
      <c r="A18940"/>
      <c r="B18940"/>
    </row>
    <row r="18941" spans="1:2" x14ac:dyDescent="0.25">
      <c r="A18941"/>
      <c r="B18941"/>
    </row>
    <row r="18942" spans="1:2" x14ac:dyDescent="0.25">
      <c r="A18942"/>
      <c r="B18942"/>
    </row>
    <row r="18943" spans="1:2" x14ac:dyDescent="0.25">
      <c r="A18943"/>
      <c r="B18943"/>
    </row>
    <row r="18944" spans="1:2" x14ac:dyDescent="0.25">
      <c r="A18944"/>
      <c r="B18944"/>
    </row>
    <row r="18945" spans="1:2" x14ac:dyDescent="0.25">
      <c r="A18945"/>
      <c r="B18945"/>
    </row>
    <row r="18946" spans="1:2" x14ac:dyDescent="0.25">
      <c r="A18946"/>
      <c r="B18946"/>
    </row>
    <row r="18947" spans="1:2" x14ac:dyDescent="0.25">
      <c r="A18947"/>
      <c r="B18947"/>
    </row>
    <row r="18948" spans="1:2" x14ac:dyDescent="0.25">
      <c r="A18948"/>
      <c r="B18948"/>
    </row>
    <row r="18949" spans="1:2" x14ac:dyDescent="0.25">
      <c r="A18949"/>
      <c r="B18949"/>
    </row>
    <row r="18950" spans="1:2" x14ac:dyDescent="0.25">
      <c r="A18950"/>
      <c r="B18950"/>
    </row>
    <row r="18951" spans="1:2" x14ac:dyDescent="0.25">
      <c r="A18951"/>
      <c r="B18951"/>
    </row>
    <row r="18952" spans="1:2" x14ac:dyDescent="0.25">
      <c r="A18952"/>
      <c r="B18952"/>
    </row>
    <row r="18953" spans="1:2" x14ac:dyDescent="0.25">
      <c r="A18953"/>
      <c r="B18953"/>
    </row>
    <row r="18954" spans="1:2" x14ac:dyDescent="0.25">
      <c r="A18954"/>
      <c r="B18954"/>
    </row>
    <row r="18955" spans="1:2" x14ac:dyDescent="0.25">
      <c r="A18955"/>
      <c r="B18955"/>
    </row>
    <row r="18956" spans="1:2" x14ac:dyDescent="0.25">
      <c r="A18956"/>
      <c r="B18956"/>
    </row>
    <row r="18957" spans="1:2" x14ac:dyDescent="0.25">
      <c r="A18957"/>
      <c r="B18957"/>
    </row>
    <row r="18958" spans="1:2" x14ac:dyDescent="0.25">
      <c r="A18958"/>
      <c r="B18958"/>
    </row>
    <row r="18959" spans="1:2" x14ac:dyDescent="0.25">
      <c r="A18959"/>
      <c r="B18959"/>
    </row>
    <row r="18960" spans="1:2" x14ac:dyDescent="0.25">
      <c r="A18960"/>
      <c r="B18960"/>
    </row>
    <row r="18961" spans="1:2" x14ac:dyDescent="0.25">
      <c r="A18961"/>
      <c r="B18961"/>
    </row>
    <row r="18962" spans="1:2" x14ac:dyDescent="0.25">
      <c r="A18962"/>
      <c r="B18962"/>
    </row>
    <row r="18963" spans="1:2" x14ac:dyDescent="0.25">
      <c r="A18963"/>
      <c r="B18963"/>
    </row>
    <row r="18964" spans="1:2" x14ac:dyDescent="0.25">
      <c r="A18964"/>
      <c r="B18964"/>
    </row>
    <row r="18965" spans="1:2" x14ac:dyDescent="0.25">
      <c r="A18965"/>
      <c r="B18965"/>
    </row>
    <row r="18966" spans="1:2" x14ac:dyDescent="0.25">
      <c r="A18966"/>
      <c r="B18966"/>
    </row>
    <row r="18967" spans="1:2" x14ac:dyDescent="0.25">
      <c r="A18967"/>
      <c r="B18967"/>
    </row>
    <row r="18968" spans="1:2" x14ac:dyDescent="0.25">
      <c r="A18968"/>
      <c r="B18968"/>
    </row>
    <row r="18969" spans="1:2" x14ac:dyDescent="0.25">
      <c r="A18969"/>
      <c r="B18969"/>
    </row>
    <row r="18970" spans="1:2" x14ac:dyDescent="0.25">
      <c r="A18970"/>
      <c r="B18970"/>
    </row>
    <row r="18971" spans="1:2" x14ac:dyDescent="0.25">
      <c r="A18971"/>
      <c r="B18971"/>
    </row>
    <row r="18972" spans="1:2" x14ac:dyDescent="0.25">
      <c r="A18972"/>
      <c r="B18972"/>
    </row>
    <row r="18973" spans="1:2" x14ac:dyDescent="0.25">
      <c r="A18973"/>
      <c r="B18973"/>
    </row>
    <row r="18974" spans="1:2" x14ac:dyDescent="0.25">
      <c r="A18974"/>
      <c r="B18974"/>
    </row>
    <row r="18975" spans="1:2" x14ac:dyDescent="0.25">
      <c r="A18975"/>
      <c r="B18975"/>
    </row>
    <row r="18976" spans="1:2" x14ac:dyDescent="0.25">
      <c r="A18976"/>
      <c r="B18976"/>
    </row>
    <row r="18977" spans="1:2" x14ac:dyDescent="0.25">
      <c r="A18977"/>
      <c r="B18977"/>
    </row>
    <row r="18978" spans="1:2" x14ac:dyDescent="0.25">
      <c r="A18978"/>
      <c r="B18978"/>
    </row>
    <row r="18979" spans="1:2" x14ac:dyDescent="0.25">
      <c r="A18979"/>
      <c r="B18979"/>
    </row>
    <row r="18980" spans="1:2" x14ac:dyDescent="0.25">
      <c r="A18980"/>
      <c r="B18980"/>
    </row>
    <row r="18981" spans="1:2" x14ac:dyDescent="0.25">
      <c r="A18981"/>
      <c r="B18981"/>
    </row>
    <row r="18982" spans="1:2" x14ac:dyDescent="0.25">
      <c r="A18982"/>
      <c r="B18982"/>
    </row>
    <row r="18983" spans="1:2" x14ac:dyDescent="0.25">
      <c r="A18983"/>
      <c r="B18983"/>
    </row>
    <row r="18984" spans="1:2" x14ac:dyDescent="0.25">
      <c r="A18984"/>
      <c r="B18984"/>
    </row>
    <row r="18985" spans="1:2" x14ac:dyDescent="0.25">
      <c r="A18985"/>
      <c r="B18985"/>
    </row>
    <row r="18986" spans="1:2" x14ac:dyDescent="0.25">
      <c r="A18986"/>
      <c r="B18986"/>
    </row>
    <row r="18987" spans="1:2" x14ac:dyDescent="0.25">
      <c r="A18987"/>
      <c r="B18987"/>
    </row>
    <row r="18988" spans="1:2" x14ac:dyDescent="0.25">
      <c r="A18988"/>
      <c r="B18988"/>
    </row>
    <row r="18989" spans="1:2" x14ac:dyDescent="0.25">
      <c r="A18989"/>
      <c r="B18989"/>
    </row>
    <row r="18990" spans="1:2" x14ac:dyDescent="0.25">
      <c r="A18990"/>
      <c r="B18990"/>
    </row>
    <row r="18991" spans="1:2" x14ac:dyDescent="0.25">
      <c r="A18991"/>
      <c r="B18991"/>
    </row>
    <row r="18992" spans="1:2" x14ac:dyDescent="0.25">
      <c r="A18992"/>
      <c r="B18992"/>
    </row>
    <row r="18993" spans="1:2" x14ac:dyDescent="0.25">
      <c r="A18993"/>
      <c r="B18993"/>
    </row>
    <row r="18994" spans="1:2" x14ac:dyDescent="0.25">
      <c r="A18994"/>
      <c r="B18994"/>
    </row>
    <row r="18995" spans="1:2" x14ac:dyDescent="0.25">
      <c r="A18995"/>
      <c r="B18995"/>
    </row>
    <row r="18996" spans="1:2" x14ac:dyDescent="0.25">
      <c r="A18996"/>
      <c r="B18996"/>
    </row>
    <row r="18997" spans="1:2" x14ac:dyDescent="0.25">
      <c r="A18997"/>
      <c r="B18997"/>
    </row>
    <row r="18998" spans="1:2" x14ac:dyDescent="0.25">
      <c r="A18998"/>
      <c r="B18998"/>
    </row>
    <row r="18999" spans="1:2" x14ac:dyDescent="0.25">
      <c r="A18999"/>
      <c r="B18999"/>
    </row>
    <row r="19000" spans="1:2" x14ac:dyDescent="0.25">
      <c r="A19000"/>
      <c r="B19000"/>
    </row>
    <row r="19001" spans="1:2" x14ac:dyDescent="0.25">
      <c r="A19001"/>
      <c r="B19001"/>
    </row>
    <row r="19002" spans="1:2" x14ac:dyDescent="0.25">
      <c r="A19002"/>
      <c r="B19002"/>
    </row>
    <row r="19003" spans="1:2" x14ac:dyDescent="0.25">
      <c r="A19003"/>
      <c r="B19003"/>
    </row>
    <row r="19004" spans="1:2" x14ac:dyDescent="0.25">
      <c r="A19004"/>
      <c r="B19004"/>
    </row>
    <row r="19005" spans="1:2" x14ac:dyDescent="0.25">
      <c r="A19005"/>
      <c r="B19005"/>
    </row>
    <row r="19006" spans="1:2" x14ac:dyDescent="0.25">
      <c r="A19006"/>
      <c r="B19006"/>
    </row>
    <row r="19007" spans="1:2" x14ac:dyDescent="0.25">
      <c r="A19007"/>
      <c r="B19007"/>
    </row>
    <row r="19008" spans="1:2" x14ac:dyDescent="0.25">
      <c r="A19008"/>
      <c r="B19008"/>
    </row>
    <row r="19009" spans="1:2" x14ac:dyDescent="0.25">
      <c r="A19009"/>
      <c r="B19009"/>
    </row>
    <row r="19010" spans="1:2" x14ac:dyDescent="0.25">
      <c r="A19010"/>
      <c r="B19010"/>
    </row>
    <row r="19011" spans="1:2" x14ac:dyDescent="0.25">
      <c r="A19011"/>
      <c r="B19011"/>
    </row>
    <row r="19012" spans="1:2" x14ac:dyDescent="0.25">
      <c r="A19012"/>
      <c r="B19012"/>
    </row>
    <row r="19013" spans="1:2" x14ac:dyDescent="0.25">
      <c r="A19013"/>
      <c r="B19013"/>
    </row>
    <row r="19014" spans="1:2" x14ac:dyDescent="0.25">
      <c r="A19014"/>
      <c r="B19014"/>
    </row>
    <row r="19015" spans="1:2" x14ac:dyDescent="0.25">
      <c r="A19015"/>
      <c r="B19015"/>
    </row>
    <row r="19016" spans="1:2" x14ac:dyDescent="0.25">
      <c r="A19016"/>
      <c r="B19016"/>
    </row>
    <row r="19017" spans="1:2" x14ac:dyDescent="0.25">
      <c r="A19017"/>
      <c r="B19017"/>
    </row>
    <row r="19018" spans="1:2" x14ac:dyDescent="0.25">
      <c r="A19018"/>
      <c r="B19018"/>
    </row>
    <row r="19019" spans="1:2" x14ac:dyDescent="0.25">
      <c r="A19019"/>
      <c r="B19019"/>
    </row>
    <row r="19020" spans="1:2" x14ac:dyDescent="0.25">
      <c r="A19020"/>
      <c r="B19020"/>
    </row>
    <row r="19021" spans="1:2" x14ac:dyDescent="0.25">
      <c r="A19021"/>
      <c r="B19021"/>
    </row>
    <row r="19022" spans="1:2" x14ac:dyDescent="0.25">
      <c r="A19022"/>
      <c r="B19022"/>
    </row>
    <row r="19023" spans="1:2" x14ac:dyDescent="0.25">
      <c r="A19023"/>
      <c r="B19023"/>
    </row>
    <row r="19024" spans="1:2" x14ac:dyDescent="0.25">
      <c r="A19024"/>
      <c r="B19024"/>
    </row>
    <row r="19025" spans="1:2" x14ac:dyDescent="0.25">
      <c r="A19025"/>
      <c r="B19025"/>
    </row>
    <row r="19026" spans="1:2" x14ac:dyDescent="0.25">
      <c r="A19026"/>
      <c r="B19026"/>
    </row>
    <row r="19027" spans="1:2" x14ac:dyDescent="0.25">
      <c r="A19027"/>
      <c r="B19027"/>
    </row>
    <row r="19028" spans="1:2" x14ac:dyDescent="0.25">
      <c r="A19028"/>
      <c r="B19028"/>
    </row>
    <row r="19029" spans="1:2" x14ac:dyDescent="0.25">
      <c r="A19029"/>
      <c r="B19029"/>
    </row>
    <row r="19030" spans="1:2" x14ac:dyDescent="0.25">
      <c r="A19030"/>
      <c r="B19030"/>
    </row>
    <row r="19031" spans="1:2" x14ac:dyDescent="0.25">
      <c r="A19031"/>
      <c r="B19031"/>
    </row>
    <row r="19032" spans="1:2" x14ac:dyDescent="0.25">
      <c r="A19032"/>
      <c r="B19032"/>
    </row>
    <row r="19033" spans="1:2" x14ac:dyDescent="0.25">
      <c r="A19033"/>
      <c r="B19033"/>
    </row>
    <row r="19034" spans="1:2" x14ac:dyDescent="0.25">
      <c r="A19034"/>
      <c r="B19034"/>
    </row>
    <row r="19035" spans="1:2" x14ac:dyDescent="0.25">
      <c r="A19035"/>
      <c r="B19035"/>
    </row>
    <row r="19036" spans="1:2" x14ac:dyDescent="0.25">
      <c r="A19036"/>
      <c r="B19036"/>
    </row>
    <row r="19037" spans="1:2" x14ac:dyDescent="0.25">
      <c r="A19037"/>
      <c r="B19037"/>
    </row>
    <row r="19038" spans="1:2" x14ac:dyDescent="0.25">
      <c r="A19038"/>
      <c r="B19038"/>
    </row>
    <row r="19039" spans="1:2" x14ac:dyDescent="0.25">
      <c r="A19039"/>
      <c r="B19039"/>
    </row>
    <row r="19040" spans="1:2" x14ac:dyDescent="0.25">
      <c r="A19040"/>
      <c r="B19040"/>
    </row>
    <row r="19041" spans="1:2" x14ac:dyDescent="0.25">
      <c r="A19041"/>
      <c r="B19041"/>
    </row>
    <row r="19042" spans="1:2" x14ac:dyDescent="0.25">
      <c r="A19042"/>
      <c r="B19042"/>
    </row>
    <row r="19043" spans="1:2" x14ac:dyDescent="0.25">
      <c r="A19043"/>
      <c r="B19043"/>
    </row>
    <row r="19044" spans="1:2" x14ac:dyDescent="0.25">
      <c r="A19044"/>
      <c r="B19044"/>
    </row>
    <row r="19045" spans="1:2" x14ac:dyDescent="0.25">
      <c r="A19045"/>
      <c r="B19045"/>
    </row>
    <row r="19046" spans="1:2" x14ac:dyDescent="0.25">
      <c r="A19046"/>
      <c r="B19046"/>
    </row>
    <row r="19047" spans="1:2" x14ac:dyDescent="0.25">
      <c r="A19047"/>
      <c r="B19047"/>
    </row>
    <row r="19048" spans="1:2" x14ac:dyDescent="0.25">
      <c r="A19048"/>
      <c r="B19048"/>
    </row>
    <row r="19049" spans="1:2" x14ac:dyDescent="0.25">
      <c r="A19049"/>
      <c r="B19049"/>
    </row>
    <row r="19050" spans="1:2" x14ac:dyDescent="0.25">
      <c r="A19050"/>
      <c r="B19050"/>
    </row>
    <row r="19051" spans="1:2" x14ac:dyDescent="0.25">
      <c r="A19051"/>
      <c r="B19051"/>
    </row>
    <row r="19052" spans="1:2" x14ac:dyDescent="0.25">
      <c r="A19052"/>
      <c r="B19052"/>
    </row>
    <row r="19053" spans="1:2" x14ac:dyDescent="0.25">
      <c r="A19053"/>
      <c r="B19053"/>
    </row>
    <row r="19054" spans="1:2" x14ac:dyDescent="0.25">
      <c r="A19054"/>
      <c r="B19054"/>
    </row>
    <row r="19055" spans="1:2" x14ac:dyDescent="0.25">
      <c r="A19055"/>
      <c r="B19055"/>
    </row>
    <row r="19056" spans="1:2" x14ac:dyDescent="0.25">
      <c r="A19056"/>
      <c r="B19056"/>
    </row>
    <row r="19057" spans="1:2" x14ac:dyDescent="0.25">
      <c r="A19057"/>
      <c r="B19057"/>
    </row>
    <row r="19058" spans="1:2" x14ac:dyDescent="0.25">
      <c r="A19058"/>
      <c r="B19058"/>
    </row>
    <row r="19059" spans="1:2" x14ac:dyDescent="0.25">
      <c r="A19059"/>
      <c r="B19059"/>
    </row>
    <row r="19060" spans="1:2" x14ac:dyDescent="0.25">
      <c r="A19060"/>
      <c r="B19060"/>
    </row>
    <row r="19061" spans="1:2" x14ac:dyDescent="0.25">
      <c r="A19061"/>
      <c r="B19061"/>
    </row>
    <row r="19062" spans="1:2" x14ac:dyDescent="0.25">
      <c r="A19062"/>
      <c r="B19062"/>
    </row>
    <row r="19063" spans="1:2" x14ac:dyDescent="0.25">
      <c r="A19063"/>
      <c r="B19063"/>
    </row>
    <row r="19064" spans="1:2" x14ac:dyDescent="0.25">
      <c r="A19064"/>
      <c r="B19064"/>
    </row>
    <row r="19065" spans="1:2" x14ac:dyDescent="0.25">
      <c r="A19065"/>
      <c r="B19065"/>
    </row>
    <row r="19066" spans="1:2" x14ac:dyDescent="0.25">
      <c r="A19066"/>
      <c r="B19066"/>
    </row>
    <row r="19067" spans="1:2" x14ac:dyDescent="0.25">
      <c r="A19067"/>
      <c r="B19067"/>
    </row>
    <row r="19068" spans="1:2" x14ac:dyDescent="0.25">
      <c r="A19068"/>
      <c r="B19068"/>
    </row>
    <row r="19069" spans="1:2" x14ac:dyDescent="0.25">
      <c r="A19069"/>
      <c r="B19069"/>
    </row>
    <row r="19070" spans="1:2" x14ac:dyDescent="0.25">
      <c r="A19070"/>
      <c r="B19070"/>
    </row>
    <row r="19071" spans="1:2" x14ac:dyDescent="0.25">
      <c r="A19071"/>
      <c r="B19071"/>
    </row>
    <row r="19072" spans="1:2" x14ac:dyDescent="0.25">
      <c r="A19072"/>
      <c r="B19072"/>
    </row>
    <row r="19073" spans="1:2" x14ac:dyDescent="0.25">
      <c r="A19073"/>
      <c r="B19073"/>
    </row>
    <row r="19074" spans="1:2" x14ac:dyDescent="0.25">
      <c r="A19074"/>
      <c r="B19074"/>
    </row>
    <row r="19075" spans="1:2" x14ac:dyDescent="0.25">
      <c r="A19075"/>
      <c r="B19075"/>
    </row>
    <row r="19076" spans="1:2" x14ac:dyDescent="0.25">
      <c r="A19076"/>
      <c r="B19076"/>
    </row>
    <row r="19077" spans="1:2" x14ac:dyDescent="0.25">
      <c r="A19077"/>
      <c r="B19077"/>
    </row>
    <row r="19078" spans="1:2" x14ac:dyDescent="0.25">
      <c r="A19078"/>
      <c r="B19078"/>
    </row>
    <row r="19079" spans="1:2" x14ac:dyDescent="0.25">
      <c r="A19079"/>
      <c r="B19079"/>
    </row>
    <row r="19080" spans="1:2" x14ac:dyDescent="0.25">
      <c r="A19080"/>
      <c r="B19080"/>
    </row>
    <row r="19081" spans="1:2" x14ac:dyDescent="0.25">
      <c r="A19081"/>
      <c r="B19081"/>
    </row>
    <row r="19082" spans="1:2" x14ac:dyDescent="0.25">
      <c r="A19082"/>
      <c r="B19082"/>
    </row>
    <row r="19083" spans="1:2" x14ac:dyDescent="0.25">
      <c r="A19083"/>
      <c r="B19083"/>
    </row>
    <row r="19084" spans="1:2" x14ac:dyDescent="0.25">
      <c r="A19084"/>
      <c r="B19084"/>
    </row>
    <row r="19085" spans="1:2" x14ac:dyDescent="0.25">
      <c r="A19085"/>
      <c r="B19085"/>
    </row>
    <row r="19086" spans="1:2" x14ac:dyDescent="0.25">
      <c r="A19086"/>
      <c r="B19086"/>
    </row>
    <row r="19087" spans="1:2" x14ac:dyDescent="0.25">
      <c r="A19087"/>
      <c r="B19087"/>
    </row>
    <row r="19088" spans="1:2" x14ac:dyDescent="0.25">
      <c r="A19088"/>
      <c r="B19088"/>
    </row>
    <row r="19089" spans="1:2" x14ac:dyDescent="0.25">
      <c r="A19089"/>
      <c r="B19089"/>
    </row>
    <row r="19090" spans="1:2" x14ac:dyDescent="0.25">
      <c r="A19090"/>
      <c r="B19090"/>
    </row>
    <row r="19091" spans="1:2" x14ac:dyDescent="0.25">
      <c r="A19091"/>
      <c r="B19091"/>
    </row>
    <row r="19092" spans="1:2" x14ac:dyDescent="0.25">
      <c r="A19092"/>
      <c r="B19092"/>
    </row>
    <row r="19093" spans="1:2" x14ac:dyDescent="0.25">
      <c r="A19093"/>
      <c r="B19093"/>
    </row>
    <row r="19094" spans="1:2" x14ac:dyDescent="0.25">
      <c r="A19094"/>
      <c r="B19094"/>
    </row>
    <row r="19095" spans="1:2" x14ac:dyDescent="0.25">
      <c r="A19095"/>
      <c r="B19095"/>
    </row>
    <row r="19096" spans="1:2" x14ac:dyDescent="0.25">
      <c r="A19096"/>
      <c r="B19096"/>
    </row>
    <row r="19097" spans="1:2" x14ac:dyDescent="0.25">
      <c r="A19097"/>
      <c r="B19097"/>
    </row>
    <row r="19098" spans="1:2" x14ac:dyDescent="0.25">
      <c r="A19098"/>
      <c r="B19098"/>
    </row>
    <row r="19099" spans="1:2" x14ac:dyDescent="0.25">
      <c r="A19099"/>
      <c r="B19099"/>
    </row>
    <row r="19100" spans="1:2" x14ac:dyDescent="0.25">
      <c r="A19100"/>
      <c r="B19100"/>
    </row>
    <row r="19101" spans="1:2" x14ac:dyDescent="0.25">
      <c r="A19101"/>
      <c r="B19101"/>
    </row>
    <row r="19102" spans="1:2" x14ac:dyDescent="0.25">
      <c r="A19102"/>
      <c r="B19102"/>
    </row>
    <row r="19103" spans="1:2" x14ac:dyDescent="0.25">
      <c r="A19103"/>
      <c r="B19103"/>
    </row>
    <row r="19104" spans="1:2" x14ac:dyDescent="0.25">
      <c r="A19104"/>
      <c r="B19104"/>
    </row>
    <row r="19105" spans="1:2" x14ac:dyDescent="0.25">
      <c r="A19105"/>
      <c r="B19105"/>
    </row>
    <row r="19106" spans="1:2" x14ac:dyDescent="0.25">
      <c r="A19106"/>
      <c r="B19106"/>
    </row>
    <row r="19107" spans="1:2" x14ac:dyDescent="0.25">
      <c r="A19107"/>
      <c r="B19107"/>
    </row>
    <row r="19108" spans="1:2" x14ac:dyDescent="0.25">
      <c r="A19108"/>
      <c r="B19108"/>
    </row>
    <row r="19109" spans="1:2" x14ac:dyDescent="0.25">
      <c r="A19109"/>
      <c r="B19109"/>
    </row>
    <row r="19110" spans="1:2" x14ac:dyDescent="0.25">
      <c r="A19110"/>
      <c r="B19110"/>
    </row>
    <row r="19111" spans="1:2" x14ac:dyDescent="0.25">
      <c r="A19111"/>
      <c r="B19111"/>
    </row>
    <row r="19112" spans="1:2" x14ac:dyDescent="0.25">
      <c r="A19112"/>
      <c r="B19112"/>
    </row>
    <row r="19113" spans="1:2" x14ac:dyDescent="0.25">
      <c r="A19113"/>
      <c r="B19113"/>
    </row>
    <row r="19114" spans="1:2" x14ac:dyDescent="0.25">
      <c r="A19114"/>
      <c r="B19114"/>
    </row>
    <row r="19115" spans="1:2" x14ac:dyDescent="0.25">
      <c r="A19115"/>
      <c r="B19115"/>
    </row>
    <row r="19116" spans="1:2" x14ac:dyDescent="0.25">
      <c r="A19116"/>
      <c r="B19116"/>
    </row>
    <row r="19117" spans="1:2" x14ac:dyDescent="0.25">
      <c r="A19117"/>
      <c r="B19117"/>
    </row>
    <row r="19118" spans="1:2" x14ac:dyDescent="0.25">
      <c r="A19118"/>
      <c r="B19118"/>
    </row>
    <row r="19119" spans="1:2" x14ac:dyDescent="0.25">
      <c r="A19119"/>
      <c r="B19119"/>
    </row>
    <row r="19120" spans="1:2" x14ac:dyDescent="0.25">
      <c r="A19120"/>
      <c r="B19120"/>
    </row>
    <row r="19121" spans="1:2" x14ac:dyDescent="0.25">
      <c r="A19121"/>
      <c r="B19121"/>
    </row>
    <row r="19122" spans="1:2" x14ac:dyDescent="0.25">
      <c r="A19122"/>
      <c r="B19122"/>
    </row>
    <row r="19123" spans="1:2" x14ac:dyDescent="0.25">
      <c r="A19123"/>
      <c r="B19123"/>
    </row>
    <row r="19124" spans="1:2" x14ac:dyDescent="0.25">
      <c r="A19124"/>
      <c r="B19124"/>
    </row>
    <row r="19125" spans="1:2" x14ac:dyDescent="0.25">
      <c r="A19125"/>
      <c r="B19125"/>
    </row>
    <row r="19126" spans="1:2" x14ac:dyDescent="0.25">
      <c r="A19126"/>
      <c r="B19126"/>
    </row>
    <row r="19127" spans="1:2" x14ac:dyDescent="0.25">
      <c r="A19127"/>
      <c r="B19127"/>
    </row>
    <row r="19128" spans="1:2" x14ac:dyDescent="0.25">
      <c r="A19128"/>
      <c r="B19128"/>
    </row>
    <row r="19129" spans="1:2" x14ac:dyDescent="0.25">
      <c r="A19129"/>
      <c r="B19129"/>
    </row>
    <row r="19130" spans="1:2" x14ac:dyDescent="0.25">
      <c r="A19130"/>
      <c r="B19130"/>
    </row>
    <row r="19131" spans="1:2" x14ac:dyDescent="0.25">
      <c r="A19131"/>
      <c r="B19131"/>
    </row>
    <row r="19132" spans="1:2" x14ac:dyDescent="0.25">
      <c r="A19132"/>
      <c r="B19132"/>
    </row>
    <row r="19133" spans="1:2" x14ac:dyDescent="0.25">
      <c r="A19133"/>
      <c r="B19133"/>
    </row>
    <row r="19134" spans="1:2" x14ac:dyDescent="0.25">
      <c r="A19134"/>
      <c r="B19134"/>
    </row>
    <row r="19135" spans="1:2" x14ac:dyDescent="0.25">
      <c r="A19135"/>
      <c r="B19135"/>
    </row>
    <row r="19136" spans="1:2" x14ac:dyDescent="0.25">
      <c r="A19136"/>
      <c r="B19136"/>
    </row>
    <row r="19137" spans="1:2" x14ac:dyDescent="0.25">
      <c r="A19137"/>
      <c r="B19137"/>
    </row>
    <row r="19138" spans="1:2" x14ac:dyDescent="0.25">
      <c r="A19138"/>
      <c r="B19138"/>
    </row>
    <row r="19139" spans="1:2" x14ac:dyDescent="0.25">
      <c r="A19139"/>
      <c r="B19139"/>
    </row>
    <row r="19140" spans="1:2" x14ac:dyDescent="0.25">
      <c r="A19140"/>
      <c r="B19140"/>
    </row>
    <row r="19141" spans="1:2" x14ac:dyDescent="0.25">
      <c r="A19141"/>
      <c r="B19141"/>
    </row>
    <row r="19142" spans="1:2" x14ac:dyDescent="0.25">
      <c r="A19142"/>
      <c r="B19142"/>
    </row>
    <row r="19143" spans="1:2" x14ac:dyDescent="0.25">
      <c r="A19143"/>
      <c r="B19143"/>
    </row>
    <row r="19144" spans="1:2" x14ac:dyDescent="0.25">
      <c r="A19144"/>
      <c r="B19144"/>
    </row>
    <row r="19145" spans="1:2" x14ac:dyDescent="0.25">
      <c r="A19145"/>
      <c r="B19145"/>
    </row>
    <row r="19146" spans="1:2" x14ac:dyDescent="0.25">
      <c r="A19146"/>
      <c r="B19146"/>
    </row>
    <row r="19147" spans="1:2" x14ac:dyDescent="0.25">
      <c r="A19147"/>
      <c r="B19147"/>
    </row>
    <row r="19148" spans="1:2" x14ac:dyDescent="0.25">
      <c r="A19148"/>
      <c r="B19148"/>
    </row>
    <row r="19149" spans="1:2" x14ac:dyDescent="0.25">
      <c r="A19149"/>
      <c r="B19149"/>
    </row>
    <row r="19150" spans="1:2" x14ac:dyDescent="0.25">
      <c r="A19150"/>
      <c r="B19150"/>
    </row>
    <row r="19151" spans="1:2" x14ac:dyDescent="0.25">
      <c r="A19151"/>
      <c r="B19151"/>
    </row>
    <row r="19152" spans="1:2" x14ac:dyDescent="0.25">
      <c r="A19152"/>
      <c r="B19152"/>
    </row>
    <row r="19153" spans="1:2" x14ac:dyDescent="0.25">
      <c r="A19153"/>
      <c r="B19153"/>
    </row>
    <row r="19154" spans="1:2" x14ac:dyDescent="0.25">
      <c r="A19154"/>
      <c r="B19154"/>
    </row>
    <row r="19155" spans="1:2" x14ac:dyDescent="0.25">
      <c r="A19155"/>
      <c r="B19155"/>
    </row>
    <row r="19156" spans="1:2" x14ac:dyDescent="0.25">
      <c r="A19156"/>
      <c r="B19156"/>
    </row>
    <row r="19157" spans="1:2" x14ac:dyDescent="0.25">
      <c r="A19157"/>
      <c r="B19157"/>
    </row>
    <row r="19158" spans="1:2" x14ac:dyDescent="0.25">
      <c r="A19158"/>
      <c r="B19158"/>
    </row>
    <row r="19159" spans="1:2" x14ac:dyDescent="0.25">
      <c r="A19159"/>
      <c r="B19159"/>
    </row>
    <row r="19160" spans="1:2" x14ac:dyDescent="0.25">
      <c r="A19160"/>
      <c r="B19160"/>
    </row>
    <row r="19161" spans="1:2" x14ac:dyDescent="0.25">
      <c r="A19161"/>
      <c r="B19161"/>
    </row>
    <row r="19162" spans="1:2" x14ac:dyDescent="0.25">
      <c r="A19162"/>
      <c r="B19162"/>
    </row>
    <row r="19163" spans="1:2" x14ac:dyDescent="0.25">
      <c r="A19163"/>
      <c r="B19163"/>
    </row>
    <row r="19164" spans="1:2" x14ac:dyDescent="0.25">
      <c r="A19164"/>
      <c r="B19164"/>
    </row>
    <row r="19165" spans="1:2" x14ac:dyDescent="0.25">
      <c r="A19165"/>
      <c r="B19165"/>
    </row>
    <row r="19166" spans="1:2" x14ac:dyDescent="0.25">
      <c r="A19166"/>
      <c r="B19166"/>
    </row>
    <row r="19167" spans="1:2" x14ac:dyDescent="0.25">
      <c r="A19167"/>
      <c r="B19167"/>
    </row>
    <row r="19168" spans="1:2" x14ac:dyDescent="0.25">
      <c r="A19168"/>
      <c r="B19168"/>
    </row>
    <row r="19169" spans="1:2" x14ac:dyDescent="0.25">
      <c r="A19169"/>
      <c r="B19169"/>
    </row>
    <row r="19170" spans="1:2" x14ac:dyDescent="0.25">
      <c r="A19170"/>
      <c r="B19170"/>
    </row>
    <row r="19171" spans="1:2" x14ac:dyDescent="0.25">
      <c r="A19171"/>
      <c r="B19171"/>
    </row>
    <row r="19172" spans="1:2" x14ac:dyDescent="0.25">
      <c r="A19172"/>
      <c r="B19172"/>
    </row>
    <row r="19173" spans="1:2" x14ac:dyDescent="0.25">
      <c r="A19173"/>
      <c r="B19173"/>
    </row>
    <row r="19174" spans="1:2" x14ac:dyDescent="0.25">
      <c r="A19174"/>
      <c r="B19174"/>
    </row>
    <row r="19175" spans="1:2" x14ac:dyDescent="0.25">
      <c r="A19175"/>
      <c r="B19175"/>
    </row>
    <row r="19176" spans="1:2" x14ac:dyDescent="0.25">
      <c r="A19176"/>
      <c r="B19176"/>
    </row>
    <row r="19177" spans="1:2" x14ac:dyDescent="0.25">
      <c r="A19177"/>
      <c r="B19177"/>
    </row>
    <row r="19178" spans="1:2" x14ac:dyDescent="0.25">
      <c r="A19178"/>
      <c r="B19178"/>
    </row>
    <row r="19179" spans="1:2" x14ac:dyDescent="0.25">
      <c r="A19179"/>
      <c r="B19179"/>
    </row>
    <row r="19180" spans="1:2" x14ac:dyDescent="0.25">
      <c r="A19180"/>
      <c r="B19180"/>
    </row>
    <row r="19181" spans="1:2" x14ac:dyDescent="0.25">
      <c r="A19181"/>
      <c r="B19181"/>
    </row>
    <row r="19182" spans="1:2" x14ac:dyDescent="0.25">
      <c r="A19182"/>
      <c r="B19182"/>
    </row>
    <row r="19183" spans="1:2" x14ac:dyDescent="0.25">
      <c r="A19183"/>
      <c r="B19183"/>
    </row>
    <row r="19184" spans="1:2" x14ac:dyDescent="0.25">
      <c r="A19184"/>
      <c r="B19184"/>
    </row>
    <row r="19185" spans="1:2" x14ac:dyDescent="0.25">
      <c r="A19185"/>
      <c r="B19185"/>
    </row>
    <row r="19186" spans="1:2" x14ac:dyDescent="0.25">
      <c r="A19186"/>
      <c r="B19186"/>
    </row>
    <row r="19187" spans="1:2" x14ac:dyDescent="0.25">
      <c r="A19187"/>
      <c r="B19187"/>
    </row>
    <row r="19188" spans="1:2" x14ac:dyDescent="0.25">
      <c r="A19188"/>
      <c r="B19188"/>
    </row>
    <row r="19189" spans="1:2" x14ac:dyDescent="0.25">
      <c r="A19189"/>
      <c r="B19189"/>
    </row>
    <row r="19190" spans="1:2" x14ac:dyDescent="0.25">
      <c r="A19190"/>
      <c r="B19190"/>
    </row>
    <row r="19191" spans="1:2" x14ac:dyDescent="0.25">
      <c r="A19191"/>
      <c r="B19191"/>
    </row>
    <row r="19192" spans="1:2" x14ac:dyDescent="0.25">
      <c r="A19192"/>
      <c r="B19192"/>
    </row>
    <row r="19193" spans="1:2" x14ac:dyDescent="0.25">
      <c r="A19193"/>
      <c r="B19193"/>
    </row>
    <row r="19194" spans="1:2" x14ac:dyDescent="0.25">
      <c r="A19194"/>
      <c r="B19194"/>
    </row>
    <row r="19195" spans="1:2" x14ac:dyDescent="0.25">
      <c r="A19195"/>
      <c r="B19195"/>
    </row>
    <row r="19196" spans="1:2" x14ac:dyDescent="0.25">
      <c r="A19196"/>
      <c r="B19196"/>
    </row>
    <row r="19197" spans="1:2" x14ac:dyDescent="0.25">
      <c r="A19197"/>
      <c r="B19197"/>
    </row>
    <row r="19198" spans="1:2" x14ac:dyDescent="0.25">
      <c r="A19198"/>
      <c r="B19198"/>
    </row>
    <row r="19199" spans="1:2" x14ac:dyDescent="0.25">
      <c r="A19199"/>
      <c r="B19199"/>
    </row>
    <row r="19200" spans="1:2" x14ac:dyDescent="0.25">
      <c r="A19200"/>
      <c r="B19200"/>
    </row>
    <row r="19201" spans="1:2" x14ac:dyDescent="0.25">
      <c r="A19201"/>
      <c r="B19201"/>
    </row>
    <row r="19202" spans="1:2" x14ac:dyDescent="0.25">
      <c r="A19202"/>
      <c r="B19202"/>
    </row>
    <row r="19203" spans="1:2" x14ac:dyDescent="0.25">
      <c r="A19203"/>
      <c r="B19203"/>
    </row>
    <row r="19204" spans="1:2" x14ac:dyDescent="0.25">
      <c r="A19204"/>
      <c r="B19204"/>
    </row>
    <row r="19205" spans="1:2" x14ac:dyDescent="0.25">
      <c r="A19205"/>
      <c r="B19205"/>
    </row>
    <row r="19206" spans="1:2" x14ac:dyDescent="0.25">
      <c r="A19206"/>
      <c r="B19206"/>
    </row>
    <row r="19207" spans="1:2" x14ac:dyDescent="0.25">
      <c r="A19207"/>
      <c r="B19207"/>
    </row>
    <row r="19208" spans="1:2" x14ac:dyDescent="0.25">
      <c r="A19208"/>
      <c r="B19208"/>
    </row>
    <row r="19209" spans="1:2" x14ac:dyDescent="0.25">
      <c r="A19209"/>
      <c r="B19209"/>
    </row>
    <row r="19210" spans="1:2" x14ac:dyDescent="0.25">
      <c r="A19210"/>
      <c r="B19210"/>
    </row>
    <row r="19211" spans="1:2" x14ac:dyDescent="0.25">
      <c r="A19211"/>
      <c r="B19211"/>
    </row>
    <row r="19212" spans="1:2" x14ac:dyDescent="0.25">
      <c r="A19212"/>
      <c r="B19212"/>
    </row>
    <row r="19213" spans="1:2" x14ac:dyDescent="0.25">
      <c r="A19213"/>
      <c r="B19213"/>
    </row>
    <row r="19214" spans="1:2" x14ac:dyDescent="0.25">
      <c r="A19214"/>
      <c r="B19214"/>
    </row>
    <row r="19215" spans="1:2" x14ac:dyDescent="0.25">
      <c r="A19215"/>
      <c r="B19215"/>
    </row>
    <row r="19216" spans="1:2" x14ac:dyDescent="0.25">
      <c r="A19216"/>
      <c r="B19216"/>
    </row>
    <row r="19217" spans="1:2" x14ac:dyDescent="0.25">
      <c r="A19217"/>
      <c r="B19217"/>
    </row>
    <row r="19218" spans="1:2" x14ac:dyDescent="0.25">
      <c r="A19218"/>
      <c r="B19218"/>
    </row>
    <row r="19219" spans="1:2" x14ac:dyDescent="0.25">
      <c r="A19219"/>
      <c r="B19219"/>
    </row>
    <row r="19220" spans="1:2" x14ac:dyDescent="0.25">
      <c r="A19220"/>
      <c r="B19220"/>
    </row>
    <row r="19221" spans="1:2" x14ac:dyDescent="0.25">
      <c r="A19221"/>
      <c r="B19221"/>
    </row>
    <row r="19222" spans="1:2" x14ac:dyDescent="0.25">
      <c r="A19222"/>
      <c r="B19222"/>
    </row>
    <row r="19223" spans="1:2" x14ac:dyDescent="0.25">
      <c r="A19223"/>
      <c r="B19223"/>
    </row>
    <row r="19224" spans="1:2" x14ac:dyDescent="0.25">
      <c r="A19224"/>
      <c r="B19224"/>
    </row>
    <row r="19225" spans="1:2" x14ac:dyDescent="0.25">
      <c r="A19225"/>
      <c r="B19225"/>
    </row>
    <row r="19226" spans="1:2" x14ac:dyDescent="0.25">
      <c r="A19226"/>
      <c r="B19226"/>
    </row>
    <row r="19227" spans="1:2" x14ac:dyDescent="0.25">
      <c r="A19227"/>
      <c r="B19227"/>
    </row>
    <row r="19228" spans="1:2" x14ac:dyDescent="0.25">
      <c r="A19228"/>
      <c r="B19228"/>
    </row>
    <row r="19229" spans="1:2" x14ac:dyDescent="0.25">
      <c r="A19229"/>
      <c r="B19229"/>
    </row>
    <row r="19230" spans="1:2" x14ac:dyDescent="0.25">
      <c r="A19230"/>
      <c r="B19230"/>
    </row>
    <row r="19231" spans="1:2" x14ac:dyDescent="0.25">
      <c r="A19231"/>
      <c r="B19231"/>
    </row>
    <row r="19232" spans="1:2" x14ac:dyDescent="0.25">
      <c r="A19232"/>
      <c r="B19232"/>
    </row>
    <row r="19233" spans="1:2" x14ac:dyDescent="0.25">
      <c r="A19233"/>
      <c r="B19233"/>
    </row>
    <row r="19234" spans="1:2" x14ac:dyDescent="0.25">
      <c r="A19234"/>
      <c r="B19234"/>
    </row>
    <row r="19235" spans="1:2" x14ac:dyDescent="0.25">
      <c r="A19235"/>
      <c r="B19235"/>
    </row>
    <row r="19236" spans="1:2" x14ac:dyDescent="0.25">
      <c r="A19236"/>
      <c r="B19236"/>
    </row>
    <row r="19237" spans="1:2" x14ac:dyDescent="0.25">
      <c r="A19237"/>
      <c r="B19237"/>
    </row>
    <row r="19238" spans="1:2" x14ac:dyDescent="0.25">
      <c r="A19238"/>
      <c r="B19238"/>
    </row>
    <row r="19239" spans="1:2" x14ac:dyDescent="0.25">
      <c r="A19239"/>
      <c r="B19239"/>
    </row>
    <row r="19240" spans="1:2" x14ac:dyDescent="0.25">
      <c r="A19240"/>
      <c r="B19240"/>
    </row>
    <row r="19241" spans="1:2" x14ac:dyDescent="0.25">
      <c r="A19241"/>
      <c r="B19241"/>
    </row>
    <row r="19242" spans="1:2" x14ac:dyDescent="0.25">
      <c r="A19242"/>
      <c r="B19242"/>
    </row>
    <row r="19243" spans="1:2" x14ac:dyDescent="0.25">
      <c r="A19243"/>
      <c r="B19243"/>
    </row>
    <row r="19244" spans="1:2" x14ac:dyDescent="0.25">
      <c r="A19244"/>
      <c r="B19244"/>
    </row>
    <row r="19245" spans="1:2" x14ac:dyDescent="0.25">
      <c r="A19245"/>
      <c r="B19245"/>
    </row>
    <row r="19246" spans="1:2" x14ac:dyDescent="0.25">
      <c r="A19246"/>
      <c r="B19246"/>
    </row>
    <row r="19247" spans="1:2" x14ac:dyDescent="0.25">
      <c r="A19247"/>
      <c r="B19247"/>
    </row>
    <row r="19248" spans="1:2" x14ac:dyDescent="0.25">
      <c r="A19248"/>
      <c r="B19248"/>
    </row>
    <row r="19249" spans="1:2" x14ac:dyDescent="0.25">
      <c r="A19249"/>
      <c r="B19249"/>
    </row>
    <row r="19250" spans="1:2" x14ac:dyDescent="0.25">
      <c r="A19250"/>
      <c r="B19250"/>
    </row>
    <row r="19251" spans="1:2" x14ac:dyDescent="0.25">
      <c r="A19251"/>
      <c r="B19251"/>
    </row>
    <row r="19252" spans="1:2" x14ac:dyDescent="0.25">
      <c r="A19252"/>
      <c r="B19252"/>
    </row>
    <row r="19253" spans="1:2" x14ac:dyDescent="0.25">
      <c r="A19253"/>
      <c r="B19253"/>
    </row>
    <row r="19254" spans="1:2" x14ac:dyDescent="0.25">
      <c r="A19254"/>
      <c r="B19254"/>
    </row>
    <row r="19255" spans="1:2" x14ac:dyDescent="0.25">
      <c r="A19255"/>
      <c r="B19255"/>
    </row>
    <row r="19256" spans="1:2" x14ac:dyDescent="0.25">
      <c r="A19256"/>
      <c r="B19256"/>
    </row>
    <row r="19257" spans="1:2" x14ac:dyDescent="0.25">
      <c r="A19257"/>
      <c r="B19257"/>
    </row>
    <row r="19258" spans="1:2" x14ac:dyDescent="0.25">
      <c r="A19258"/>
      <c r="B19258"/>
    </row>
    <row r="19259" spans="1:2" x14ac:dyDescent="0.25">
      <c r="A19259"/>
      <c r="B19259"/>
    </row>
    <row r="19260" spans="1:2" x14ac:dyDescent="0.25">
      <c r="A19260"/>
      <c r="B19260"/>
    </row>
    <row r="19261" spans="1:2" x14ac:dyDescent="0.25">
      <c r="A19261"/>
      <c r="B19261"/>
    </row>
    <row r="19262" spans="1:2" x14ac:dyDescent="0.25">
      <c r="A19262"/>
      <c r="B19262"/>
    </row>
    <row r="19263" spans="1:2" x14ac:dyDescent="0.25">
      <c r="A19263"/>
      <c r="B19263"/>
    </row>
    <row r="19264" spans="1:2" x14ac:dyDescent="0.25">
      <c r="A19264"/>
      <c r="B19264"/>
    </row>
    <row r="19265" spans="1:2" x14ac:dyDescent="0.25">
      <c r="A19265"/>
      <c r="B19265"/>
    </row>
    <row r="19266" spans="1:2" x14ac:dyDescent="0.25">
      <c r="A19266"/>
      <c r="B19266"/>
    </row>
    <row r="19267" spans="1:2" x14ac:dyDescent="0.25">
      <c r="A19267"/>
      <c r="B19267"/>
    </row>
    <row r="19268" spans="1:2" x14ac:dyDescent="0.25">
      <c r="A19268"/>
      <c r="B19268"/>
    </row>
    <row r="19269" spans="1:2" x14ac:dyDescent="0.25">
      <c r="A19269"/>
      <c r="B19269"/>
    </row>
    <row r="19270" spans="1:2" x14ac:dyDescent="0.25">
      <c r="A19270"/>
      <c r="B19270"/>
    </row>
    <row r="19271" spans="1:2" x14ac:dyDescent="0.25">
      <c r="A19271"/>
      <c r="B19271"/>
    </row>
    <row r="19272" spans="1:2" x14ac:dyDescent="0.25">
      <c r="A19272"/>
      <c r="B19272"/>
    </row>
    <row r="19273" spans="1:2" x14ac:dyDescent="0.25">
      <c r="A19273"/>
      <c r="B19273"/>
    </row>
    <row r="19274" spans="1:2" x14ac:dyDescent="0.25">
      <c r="A19274"/>
      <c r="B19274"/>
    </row>
    <row r="19275" spans="1:2" x14ac:dyDescent="0.25">
      <c r="A19275"/>
      <c r="B19275"/>
    </row>
    <row r="19276" spans="1:2" x14ac:dyDescent="0.25">
      <c r="A19276"/>
      <c r="B19276"/>
    </row>
    <row r="19277" spans="1:2" x14ac:dyDescent="0.25">
      <c r="A19277"/>
      <c r="B19277"/>
    </row>
    <row r="19278" spans="1:2" x14ac:dyDescent="0.25">
      <c r="A19278"/>
      <c r="B19278"/>
    </row>
    <row r="19279" spans="1:2" x14ac:dyDescent="0.25">
      <c r="A19279"/>
      <c r="B19279"/>
    </row>
    <row r="19280" spans="1:2" x14ac:dyDescent="0.25">
      <c r="A19280"/>
      <c r="B19280"/>
    </row>
    <row r="19281" spans="1:2" x14ac:dyDescent="0.25">
      <c r="A19281"/>
      <c r="B19281"/>
    </row>
    <row r="19282" spans="1:2" x14ac:dyDescent="0.25">
      <c r="A19282"/>
      <c r="B19282"/>
    </row>
    <row r="19283" spans="1:2" x14ac:dyDescent="0.25">
      <c r="A19283"/>
      <c r="B19283"/>
    </row>
    <row r="19284" spans="1:2" x14ac:dyDescent="0.25">
      <c r="A19284"/>
      <c r="B19284"/>
    </row>
    <row r="19285" spans="1:2" x14ac:dyDescent="0.25">
      <c r="A19285"/>
      <c r="B19285"/>
    </row>
    <row r="19286" spans="1:2" x14ac:dyDescent="0.25">
      <c r="A19286"/>
      <c r="B19286"/>
    </row>
    <row r="19287" spans="1:2" x14ac:dyDescent="0.25">
      <c r="A19287"/>
      <c r="B19287"/>
    </row>
    <row r="19288" spans="1:2" x14ac:dyDescent="0.25">
      <c r="A19288"/>
      <c r="B19288"/>
    </row>
    <row r="19289" spans="1:2" x14ac:dyDescent="0.25">
      <c r="A19289"/>
      <c r="B19289"/>
    </row>
    <row r="19290" spans="1:2" x14ac:dyDescent="0.25">
      <c r="A19290"/>
      <c r="B19290"/>
    </row>
    <row r="19291" spans="1:2" x14ac:dyDescent="0.25">
      <c r="A19291"/>
      <c r="B19291"/>
    </row>
    <row r="19292" spans="1:2" x14ac:dyDescent="0.25">
      <c r="A19292"/>
      <c r="B19292"/>
    </row>
    <row r="19293" spans="1:2" x14ac:dyDescent="0.25">
      <c r="A19293"/>
      <c r="B19293"/>
    </row>
    <row r="19294" spans="1:2" x14ac:dyDescent="0.25">
      <c r="A19294"/>
      <c r="B19294"/>
    </row>
    <row r="19295" spans="1:2" x14ac:dyDescent="0.25">
      <c r="A19295"/>
      <c r="B19295"/>
    </row>
    <row r="19296" spans="1:2" x14ac:dyDescent="0.25">
      <c r="A19296"/>
      <c r="B19296"/>
    </row>
    <row r="19297" spans="1:2" x14ac:dyDescent="0.25">
      <c r="A19297"/>
      <c r="B19297"/>
    </row>
    <row r="19298" spans="1:2" x14ac:dyDescent="0.25">
      <c r="A19298"/>
      <c r="B19298"/>
    </row>
    <row r="19299" spans="1:2" x14ac:dyDescent="0.25">
      <c r="A19299"/>
      <c r="B19299"/>
    </row>
    <row r="19300" spans="1:2" x14ac:dyDescent="0.25">
      <c r="A19300"/>
      <c r="B19300"/>
    </row>
    <row r="19301" spans="1:2" x14ac:dyDescent="0.25">
      <c r="A19301"/>
      <c r="B19301"/>
    </row>
    <row r="19302" spans="1:2" x14ac:dyDescent="0.25">
      <c r="A19302"/>
      <c r="B19302"/>
    </row>
    <row r="19303" spans="1:2" x14ac:dyDescent="0.25">
      <c r="A19303"/>
      <c r="B19303"/>
    </row>
    <row r="19304" spans="1:2" x14ac:dyDescent="0.25">
      <c r="A19304"/>
      <c r="B19304"/>
    </row>
    <row r="19305" spans="1:2" x14ac:dyDescent="0.25">
      <c r="A19305"/>
      <c r="B19305"/>
    </row>
    <row r="19306" spans="1:2" x14ac:dyDescent="0.25">
      <c r="A19306"/>
      <c r="B19306"/>
    </row>
    <row r="19307" spans="1:2" x14ac:dyDescent="0.25">
      <c r="A19307"/>
      <c r="B19307"/>
    </row>
    <row r="19308" spans="1:2" x14ac:dyDescent="0.25">
      <c r="A19308"/>
      <c r="B19308"/>
    </row>
    <row r="19309" spans="1:2" x14ac:dyDescent="0.25">
      <c r="A19309"/>
      <c r="B19309"/>
    </row>
    <row r="19310" spans="1:2" x14ac:dyDescent="0.25">
      <c r="A19310"/>
      <c r="B19310"/>
    </row>
    <row r="19311" spans="1:2" x14ac:dyDescent="0.25">
      <c r="A19311"/>
      <c r="B19311"/>
    </row>
    <row r="19312" spans="1:2" x14ac:dyDescent="0.25">
      <c r="A19312"/>
      <c r="B19312"/>
    </row>
    <row r="19313" spans="1:2" x14ac:dyDescent="0.25">
      <c r="A19313"/>
      <c r="B19313"/>
    </row>
    <row r="19314" spans="1:2" x14ac:dyDescent="0.25">
      <c r="A19314"/>
      <c r="B19314"/>
    </row>
    <row r="19315" spans="1:2" x14ac:dyDescent="0.25">
      <c r="A19315"/>
      <c r="B19315"/>
    </row>
    <row r="19316" spans="1:2" x14ac:dyDescent="0.25">
      <c r="A19316"/>
      <c r="B19316"/>
    </row>
    <row r="19317" spans="1:2" x14ac:dyDescent="0.25">
      <c r="A19317"/>
      <c r="B19317"/>
    </row>
    <row r="19318" spans="1:2" x14ac:dyDescent="0.25">
      <c r="A19318"/>
      <c r="B19318"/>
    </row>
    <row r="19319" spans="1:2" x14ac:dyDescent="0.25">
      <c r="A19319"/>
      <c r="B19319"/>
    </row>
    <row r="19320" spans="1:2" x14ac:dyDescent="0.25">
      <c r="A19320"/>
      <c r="B19320"/>
    </row>
    <row r="19321" spans="1:2" x14ac:dyDescent="0.25">
      <c r="A19321"/>
      <c r="B19321"/>
    </row>
    <row r="19322" spans="1:2" x14ac:dyDescent="0.25">
      <c r="A19322"/>
      <c r="B19322"/>
    </row>
    <row r="19323" spans="1:2" x14ac:dyDescent="0.25">
      <c r="A19323"/>
      <c r="B19323"/>
    </row>
    <row r="19324" spans="1:2" x14ac:dyDescent="0.25">
      <c r="A19324"/>
      <c r="B19324"/>
    </row>
    <row r="19325" spans="1:2" x14ac:dyDescent="0.25">
      <c r="A19325"/>
      <c r="B19325"/>
    </row>
    <row r="19326" spans="1:2" x14ac:dyDescent="0.25">
      <c r="A19326"/>
      <c r="B19326"/>
    </row>
    <row r="19327" spans="1:2" x14ac:dyDescent="0.25">
      <c r="A19327"/>
      <c r="B19327"/>
    </row>
    <row r="19328" spans="1:2" x14ac:dyDescent="0.25">
      <c r="A19328"/>
      <c r="B19328"/>
    </row>
    <row r="19329" spans="1:2" x14ac:dyDescent="0.25">
      <c r="A19329"/>
      <c r="B19329"/>
    </row>
    <row r="19330" spans="1:2" x14ac:dyDescent="0.25">
      <c r="A19330"/>
      <c r="B19330"/>
    </row>
    <row r="19331" spans="1:2" x14ac:dyDescent="0.25">
      <c r="A19331"/>
      <c r="B19331"/>
    </row>
    <row r="19332" spans="1:2" x14ac:dyDescent="0.25">
      <c r="A19332"/>
      <c r="B19332"/>
    </row>
    <row r="19333" spans="1:2" x14ac:dyDescent="0.25">
      <c r="A19333"/>
      <c r="B19333"/>
    </row>
    <row r="19334" spans="1:2" x14ac:dyDescent="0.25">
      <c r="A19334"/>
      <c r="B19334"/>
    </row>
    <row r="19335" spans="1:2" x14ac:dyDescent="0.25">
      <c r="A19335"/>
      <c r="B19335"/>
    </row>
    <row r="19336" spans="1:2" x14ac:dyDescent="0.25">
      <c r="A19336"/>
      <c r="B19336"/>
    </row>
    <row r="19337" spans="1:2" x14ac:dyDescent="0.25">
      <c r="A19337"/>
      <c r="B19337"/>
    </row>
    <row r="19338" spans="1:2" x14ac:dyDescent="0.25">
      <c r="A19338"/>
      <c r="B19338"/>
    </row>
    <row r="19339" spans="1:2" x14ac:dyDescent="0.25">
      <c r="A19339"/>
      <c r="B19339"/>
    </row>
    <row r="19340" spans="1:2" x14ac:dyDescent="0.25">
      <c r="A19340"/>
      <c r="B19340"/>
    </row>
    <row r="19341" spans="1:2" x14ac:dyDescent="0.25">
      <c r="A19341"/>
      <c r="B19341"/>
    </row>
    <row r="19342" spans="1:2" x14ac:dyDescent="0.25">
      <c r="A19342"/>
      <c r="B19342"/>
    </row>
    <row r="19343" spans="1:2" x14ac:dyDescent="0.25">
      <c r="A19343"/>
      <c r="B19343"/>
    </row>
    <row r="19344" spans="1:2" x14ac:dyDescent="0.25">
      <c r="A19344"/>
      <c r="B19344"/>
    </row>
    <row r="19345" spans="1:2" x14ac:dyDescent="0.25">
      <c r="A19345"/>
      <c r="B19345"/>
    </row>
    <row r="19346" spans="1:2" x14ac:dyDescent="0.25">
      <c r="A19346"/>
      <c r="B19346"/>
    </row>
    <row r="19347" spans="1:2" x14ac:dyDescent="0.25">
      <c r="A19347"/>
      <c r="B19347"/>
    </row>
    <row r="19348" spans="1:2" x14ac:dyDescent="0.25">
      <c r="A19348"/>
      <c r="B19348"/>
    </row>
    <row r="19349" spans="1:2" x14ac:dyDescent="0.25">
      <c r="A19349"/>
      <c r="B19349"/>
    </row>
    <row r="19350" spans="1:2" x14ac:dyDescent="0.25">
      <c r="A19350"/>
      <c r="B19350"/>
    </row>
    <row r="19351" spans="1:2" x14ac:dyDescent="0.25">
      <c r="A19351"/>
      <c r="B19351"/>
    </row>
    <row r="19352" spans="1:2" x14ac:dyDescent="0.25">
      <c r="A19352"/>
      <c r="B19352"/>
    </row>
    <row r="19353" spans="1:2" x14ac:dyDescent="0.25">
      <c r="A19353"/>
      <c r="B19353"/>
    </row>
    <row r="19354" spans="1:2" x14ac:dyDescent="0.25">
      <c r="A19354"/>
      <c r="B19354"/>
    </row>
    <row r="19355" spans="1:2" x14ac:dyDescent="0.25">
      <c r="A19355"/>
      <c r="B19355"/>
    </row>
    <row r="19356" spans="1:2" x14ac:dyDescent="0.25">
      <c r="A19356"/>
      <c r="B19356"/>
    </row>
    <row r="19357" spans="1:2" x14ac:dyDescent="0.25">
      <c r="A19357"/>
      <c r="B19357"/>
    </row>
    <row r="19358" spans="1:2" x14ac:dyDescent="0.25">
      <c r="A19358"/>
      <c r="B19358"/>
    </row>
    <row r="19359" spans="1:2" x14ac:dyDescent="0.25">
      <c r="A19359"/>
      <c r="B19359"/>
    </row>
    <row r="19360" spans="1:2" x14ac:dyDescent="0.25">
      <c r="A19360"/>
      <c r="B19360"/>
    </row>
    <row r="19361" spans="1:2" x14ac:dyDescent="0.25">
      <c r="A19361"/>
      <c r="B19361"/>
    </row>
    <row r="19362" spans="1:2" x14ac:dyDescent="0.25">
      <c r="A19362"/>
      <c r="B19362"/>
    </row>
    <row r="19363" spans="1:2" x14ac:dyDescent="0.25">
      <c r="A19363"/>
      <c r="B19363"/>
    </row>
    <row r="19364" spans="1:2" x14ac:dyDescent="0.25">
      <c r="A19364"/>
      <c r="B19364"/>
    </row>
    <row r="19365" spans="1:2" x14ac:dyDescent="0.25">
      <c r="A19365"/>
      <c r="B19365"/>
    </row>
    <row r="19366" spans="1:2" x14ac:dyDescent="0.25">
      <c r="A19366"/>
      <c r="B19366"/>
    </row>
    <row r="19367" spans="1:2" x14ac:dyDescent="0.25">
      <c r="A19367"/>
      <c r="B19367"/>
    </row>
    <row r="19368" spans="1:2" x14ac:dyDescent="0.25">
      <c r="A19368"/>
      <c r="B19368"/>
    </row>
    <row r="19369" spans="1:2" x14ac:dyDescent="0.25">
      <c r="A19369"/>
      <c r="B19369"/>
    </row>
    <row r="19370" spans="1:2" x14ac:dyDescent="0.25">
      <c r="A19370"/>
      <c r="B19370"/>
    </row>
    <row r="19371" spans="1:2" x14ac:dyDescent="0.25">
      <c r="A19371"/>
      <c r="B19371"/>
    </row>
    <row r="19372" spans="1:2" x14ac:dyDescent="0.25">
      <c r="A19372"/>
      <c r="B19372"/>
    </row>
    <row r="19373" spans="1:2" x14ac:dyDescent="0.25">
      <c r="A19373"/>
      <c r="B19373"/>
    </row>
    <row r="19374" spans="1:2" x14ac:dyDescent="0.25">
      <c r="A19374"/>
      <c r="B19374"/>
    </row>
    <row r="19375" spans="1:2" x14ac:dyDescent="0.25">
      <c r="A19375"/>
      <c r="B19375"/>
    </row>
    <row r="19376" spans="1:2" x14ac:dyDescent="0.25">
      <c r="A19376"/>
      <c r="B19376"/>
    </row>
    <row r="19377" spans="1:2" x14ac:dyDescent="0.25">
      <c r="A19377"/>
      <c r="B19377"/>
    </row>
    <row r="19378" spans="1:2" x14ac:dyDescent="0.25">
      <c r="A19378"/>
      <c r="B19378"/>
    </row>
    <row r="19379" spans="1:2" x14ac:dyDescent="0.25">
      <c r="A19379"/>
      <c r="B19379"/>
    </row>
    <row r="19380" spans="1:2" x14ac:dyDescent="0.25">
      <c r="A19380"/>
      <c r="B19380"/>
    </row>
    <row r="19381" spans="1:2" x14ac:dyDescent="0.25">
      <c r="A19381"/>
      <c r="B19381"/>
    </row>
    <row r="19382" spans="1:2" x14ac:dyDescent="0.25">
      <c r="A19382"/>
      <c r="B19382"/>
    </row>
    <row r="19383" spans="1:2" x14ac:dyDescent="0.25">
      <c r="A19383"/>
      <c r="B19383"/>
    </row>
    <row r="19384" spans="1:2" x14ac:dyDescent="0.25">
      <c r="A19384"/>
      <c r="B19384"/>
    </row>
    <row r="19385" spans="1:2" x14ac:dyDescent="0.25">
      <c r="A19385"/>
      <c r="B19385"/>
    </row>
    <row r="19386" spans="1:2" x14ac:dyDescent="0.25">
      <c r="A19386"/>
      <c r="B19386"/>
    </row>
    <row r="19387" spans="1:2" x14ac:dyDescent="0.25">
      <c r="A19387"/>
      <c r="B19387"/>
    </row>
    <row r="19388" spans="1:2" x14ac:dyDescent="0.25">
      <c r="A19388"/>
      <c r="B19388"/>
    </row>
    <row r="19389" spans="1:2" x14ac:dyDescent="0.25">
      <c r="A19389"/>
      <c r="B19389"/>
    </row>
    <row r="19390" spans="1:2" x14ac:dyDescent="0.25">
      <c r="A19390"/>
      <c r="B19390"/>
    </row>
    <row r="19391" spans="1:2" x14ac:dyDescent="0.25">
      <c r="A19391"/>
      <c r="B19391"/>
    </row>
    <row r="19392" spans="1:2" x14ac:dyDescent="0.25">
      <c r="A19392"/>
      <c r="B19392"/>
    </row>
    <row r="19393" spans="1:2" x14ac:dyDescent="0.25">
      <c r="A19393"/>
      <c r="B19393"/>
    </row>
    <row r="19394" spans="1:2" x14ac:dyDescent="0.25">
      <c r="A19394"/>
      <c r="B19394"/>
    </row>
    <row r="19395" spans="1:2" x14ac:dyDescent="0.25">
      <c r="A19395"/>
      <c r="B19395"/>
    </row>
    <row r="19396" spans="1:2" x14ac:dyDescent="0.25">
      <c r="A19396"/>
      <c r="B19396"/>
    </row>
    <row r="19397" spans="1:2" x14ac:dyDescent="0.25">
      <c r="A19397"/>
      <c r="B19397"/>
    </row>
    <row r="19398" spans="1:2" x14ac:dyDescent="0.25">
      <c r="A19398"/>
      <c r="B19398"/>
    </row>
    <row r="19399" spans="1:2" x14ac:dyDescent="0.25">
      <c r="A19399"/>
      <c r="B19399"/>
    </row>
    <row r="19400" spans="1:2" x14ac:dyDescent="0.25">
      <c r="A19400"/>
      <c r="B19400"/>
    </row>
    <row r="19401" spans="1:2" x14ac:dyDescent="0.25">
      <c r="A19401"/>
      <c r="B19401"/>
    </row>
    <row r="19402" spans="1:2" x14ac:dyDescent="0.25">
      <c r="A19402"/>
      <c r="B19402"/>
    </row>
    <row r="19403" spans="1:2" x14ac:dyDescent="0.25">
      <c r="A19403"/>
      <c r="B19403"/>
    </row>
    <row r="19404" spans="1:2" x14ac:dyDescent="0.25">
      <c r="A19404"/>
      <c r="B19404"/>
    </row>
    <row r="19405" spans="1:2" x14ac:dyDescent="0.25">
      <c r="A19405"/>
      <c r="B19405"/>
    </row>
    <row r="19406" spans="1:2" x14ac:dyDescent="0.25">
      <c r="A19406"/>
      <c r="B19406"/>
    </row>
    <row r="19407" spans="1:2" x14ac:dyDescent="0.25">
      <c r="A19407"/>
      <c r="B19407"/>
    </row>
    <row r="19408" spans="1:2" x14ac:dyDescent="0.25">
      <c r="A19408"/>
      <c r="B19408"/>
    </row>
    <row r="19409" spans="1:2" x14ac:dyDescent="0.25">
      <c r="A19409"/>
      <c r="B19409"/>
    </row>
    <row r="19410" spans="1:2" x14ac:dyDescent="0.25">
      <c r="A19410"/>
      <c r="B19410"/>
    </row>
    <row r="19411" spans="1:2" x14ac:dyDescent="0.25">
      <c r="A19411"/>
      <c r="B19411"/>
    </row>
    <row r="19412" spans="1:2" x14ac:dyDescent="0.25">
      <c r="A19412"/>
      <c r="B19412"/>
    </row>
    <row r="19413" spans="1:2" x14ac:dyDescent="0.25">
      <c r="A19413"/>
      <c r="B19413"/>
    </row>
    <row r="19414" spans="1:2" x14ac:dyDescent="0.25">
      <c r="A19414"/>
      <c r="B19414"/>
    </row>
    <row r="19415" spans="1:2" x14ac:dyDescent="0.25">
      <c r="A19415"/>
      <c r="B19415"/>
    </row>
    <row r="19416" spans="1:2" x14ac:dyDescent="0.25">
      <c r="A19416"/>
      <c r="B19416"/>
    </row>
    <row r="19417" spans="1:2" x14ac:dyDescent="0.25">
      <c r="A19417"/>
      <c r="B19417"/>
    </row>
    <row r="19418" spans="1:2" x14ac:dyDescent="0.25">
      <c r="A19418"/>
      <c r="B19418"/>
    </row>
    <row r="19419" spans="1:2" x14ac:dyDescent="0.25">
      <c r="A19419"/>
      <c r="B19419"/>
    </row>
    <row r="19420" spans="1:2" x14ac:dyDescent="0.25">
      <c r="A19420"/>
      <c r="B19420"/>
    </row>
    <row r="19421" spans="1:2" x14ac:dyDescent="0.25">
      <c r="A19421"/>
      <c r="B19421"/>
    </row>
    <row r="19422" spans="1:2" x14ac:dyDescent="0.25">
      <c r="A19422"/>
      <c r="B19422"/>
    </row>
    <row r="19423" spans="1:2" x14ac:dyDescent="0.25">
      <c r="A19423"/>
      <c r="B19423"/>
    </row>
    <row r="19424" spans="1:2" x14ac:dyDescent="0.25">
      <c r="A19424"/>
      <c r="B19424"/>
    </row>
    <row r="19425" spans="1:2" x14ac:dyDescent="0.25">
      <c r="A19425"/>
      <c r="B19425"/>
    </row>
    <row r="19426" spans="1:2" x14ac:dyDescent="0.25">
      <c r="A19426"/>
      <c r="B19426"/>
    </row>
    <row r="19427" spans="1:2" x14ac:dyDescent="0.25">
      <c r="A19427"/>
      <c r="B19427"/>
    </row>
    <row r="19428" spans="1:2" x14ac:dyDescent="0.25">
      <c r="A19428"/>
      <c r="B19428"/>
    </row>
    <row r="19429" spans="1:2" x14ac:dyDescent="0.25">
      <c r="A19429"/>
      <c r="B19429"/>
    </row>
    <row r="19430" spans="1:2" x14ac:dyDescent="0.25">
      <c r="A19430"/>
      <c r="B19430"/>
    </row>
    <row r="19431" spans="1:2" x14ac:dyDescent="0.25">
      <c r="A19431"/>
      <c r="B19431"/>
    </row>
    <row r="19432" spans="1:2" x14ac:dyDescent="0.25">
      <c r="A19432"/>
      <c r="B19432"/>
    </row>
    <row r="19433" spans="1:2" x14ac:dyDescent="0.25">
      <c r="A19433"/>
      <c r="B19433"/>
    </row>
    <row r="19434" spans="1:2" x14ac:dyDescent="0.25">
      <c r="A19434"/>
      <c r="B19434"/>
    </row>
    <row r="19435" spans="1:2" x14ac:dyDescent="0.25">
      <c r="A19435"/>
      <c r="B19435"/>
    </row>
    <row r="19436" spans="1:2" x14ac:dyDescent="0.25">
      <c r="A19436"/>
      <c r="B19436"/>
    </row>
    <row r="19437" spans="1:2" x14ac:dyDescent="0.25">
      <c r="A19437"/>
      <c r="B19437"/>
    </row>
    <row r="19438" spans="1:2" x14ac:dyDescent="0.25">
      <c r="A19438"/>
      <c r="B19438"/>
    </row>
    <row r="19439" spans="1:2" x14ac:dyDescent="0.25">
      <c r="A19439"/>
      <c r="B19439"/>
    </row>
    <row r="19440" spans="1:2" x14ac:dyDescent="0.25">
      <c r="A19440"/>
      <c r="B19440"/>
    </row>
    <row r="19441" spans="1:2" x14ac:dyDescent="0.25">
      <c r="A19441"/>
      <c r="B19441"/>
    </row>
    <row r="19442" spans="1:2" x14ac:dyDescent="0.25">
      <c r="A19442"/>
      <c r="B19442"/>
    </row>
    <row r="19443" spans="1:2" x14ac:dyDescent="0.25">
      <c r="A19443"/>
      <c r="B19443"/>
    </row>
    <row r="19444" spans="1:2" x14ac:dyDescent="0.25">
      <c r="A19444"/>
      <c r="B19444"/>
    </row>
    <row r="19445" spans="1:2" x14ac:dyDescent="0.25">
      <c r="A19445"/>
      <c r="B19445"/>
    </row>
    <row r="19446" spans="1:2" x14ac:dyDescent="0.25">
      <c r="A19446"/>
      <c r="B19446"/>
    </row>
    <row r="19447" spans="1:2" x14ac:dyDescent="0.25">
      <c r="A19447"/>
      <c r="B19447"/>
    </row>
    <row r="19448" spans="1:2" x14ac:dyDescent="0.25">
      <c r="A19448"/>
      <c r="B19448"/>
    </row>
    <row r="19449" spans="1:2" x14ac:dyDescent="0.25">
      <c r="A19449"/>
      <c r="B19449"/>
    </row>
    <row r="19450" spans="1:2" x14ac:dyDescent="0.25">
      <c r="A19450"/>
      <c r="B19450"/>
    </row>
    <row r="19451" spans="1:2" x14ac:dyDescent="0.25">
      <c r="A19451"/>
      <c r="B19451"/>
    </row>
    <row r="19452" spans="1:2" x14ac:dyDescent="0.25">
      <c r="A19452"/>
      <c r="B19452"/>
    </row>
    <row r="19453" spans="1:2" x14ac:dyDescent="0.25">
      <c r="A19453"/>
      <c r="B19453"/>
    </row>
    <row r="19454" spans="1:2" x14ac:dyDescent="0.25">
      <c r="A19454"/>
      <c r="B19454"/>
    </row>
    <row r="19455" spans="1:2" x14ac:dyDescent="0.25">
      <c r="A19455"/>
      <c r="B19455"/>
    </row>
    <row r="19456" spans="1:2" x14ac:dyDescent="0.25">
      <c r="A19456"/>
      <c r="B19456"/>
    </row>
    <row r="19457" spans="1:2" x14ac:dyDescent="0.25">
      <c r="A19457"/>
      <c r="B19457"/>
    </row>
    <row r="19458" spans="1:2" x14ac:dyDescent="0.25">
      <c r="A19458"/>
      <c r="B19458"/>
    </row>
    <row r="19459" spans="1:2" x14ac:dyDescent="0.25">
      <c r="A19459"/>
      <c r="B19459"/>
    </row>
    <row r="19460" spans="1:2" x14ac:dyDescent="0.25">
      <c r="A19460"/>
      <c r="B19460"/>
    </row>
    <row r="19461" spans="1:2" x14ac:dyDescent="0.25">
      <c r="A19461"/>
      <c r="B19461"/>
    </row>
    <row r="19462" spans="1:2" x14ac:dyDescent="0.25">
      <c r="A19462"/>
      <c r="B19462"/>
    </row>
    <row r="19463" spans="1:2" x14ac:dyDescent="0.25">
      <c r="A19463"/>
      <c r="B19463"/>
    </row>
    <row r="19464" spans="1:2" x14ac:dyDescent="0.25">
      <c r="A19464"/>
      <c r="B19464"/>
    </row>
    <row r="19465" spans="1:2" x14ac:dyDescent="0.25">
      <c r="A19465"/>
      <c r="B19465"/>
    </row>
    <row r="19466" spans="1:2" x14ac:dyDescent="0.25">
      <c r="A19466"/>
      <c r="B19466"/>
    </row>
    <row r="19467" spans="1:2" x14ac:dyDescent="0.25">
      <c r="A19467"/>
      <c r="B19467"/>
    </row>
    <row r="19468" spans="1:2" x14ac:dyDescent="0.25">
      <c r="A19468"/>
      <c r="B19468"/>
    </row>
    <row r="19469" spans="1:2" x14ac:dyDescent="0.25">
      <c r="A19469"/>
      <c r="B19469"/>
    </row>
    <row r="19470" spans="1:2" x14ac:dyDescent="0.25">
      <c r="A19470"/>
      <c r="B19470"/>
    </row>
    <row r="19471" spans="1:2" x14ac:dyDescent="0.25">
      <c r="A19471"/>
      <c r="B19471"/>
    </row>
    <row r="19472" spans="1:2" x14ac:dyDescent="0.25">
      <c r="A19472"/>
      <c r="B19472"/>
    </row>
    <row r="19473" spans="1:2" x14ac:dyDescent="0.25">
      <c r="A19473"/>
      <c r="B19473"/>
    </row>
    <row r="19474" spans="1:2" x14ac:dyDescent="0.25">
      <c r="A19474"/>
      <c r="B19474"/>
    </row>
    <row r="19475" spans="1:2" x14ac:dyDescent="0.25">
      <c r="A19475"/>
      <c r="B19475"/>
    </row>
    <row r="19476" spans="1:2" x14ac:dyDescent="0.25">
      <c r="A19476"/>
      <c r="B19476"/>
    </row>
    <row r="19477" spans="1:2" x14ac:dyDescent="0.25">
      <c r="A19477"/>
      <c r="B19477"/>
    </row>
    <row r="19478" spans="1:2" x14ac:dyDescent="0.25">
      <c r="A19478"/>
      <c r="B19478"/>
    </row>
    <row r="19479" spans="1:2" x14ac:dyDescent="0.25">
      <c r="A19479"/>
      <c r="B19479"/>
    </row>
    <row r="19480" spans="1:2" x14ac:dyDescent="0.25">
      <c r="A19480"/>
      <c r="B19480"/>
    </row>
    <row r="19481" spans="1:2" x14ac:dyDescent="0.25">
      <c r="A19481"/>
      <c r="B19481"/>
    </row>
    <row r="19482" spans="1:2" x14ac:dyDescent="0.25">
      <c r="A19482"/>
      <c r="B19482"/>
    </row>
    <row r="19483" spans="1:2" x14ac:dyDescent="0.25">
      <c r="A19483"/>
      <c r="B19483"/>
    </row>
    <row r="19484" spans="1:2" x14ac:dyDescent="0.25">
      <c r="A19484"/>
      <c r="B19484"/>
    </row>
    <row r="19485" spans="1:2" x14ac:dyDescent="0.25">
      <c r="A19485"/>
      <c r="B19485"/>
    </row>
    <row r="19486" spans="1:2" x14ac:dyDescent="0.25">
      <c r="A19486"/>
      <c r="B19486"/>
    </row>
    <row r="19487" spans="1:2" x14ac:dyDescent="0.25">
      <c r="A19487"/>
      <c r="B19487"/>
    </row>
    <row r="19488" spans="1:2" x14ac:dyDescent="0.25">
      <c r="A19488"/>
      <c r="B19488"/>
    </row>
    <row r="19489" spans="1:2" x14ac:dyDescent="0.25">
      <c r="A19489"/>
      <c r="B19489"/>
    </row>
    <row r="19490" spans="1:2" x14ac:dyDescent="0.25">
      <c r="A19490"/>
      <c r="B19490"/>
    </row>
    <row r="19491" spans="1:2" x14ac:dyDescent="0.25">
      <c r="A19491"/>
      <c r="B19491"/>
    </row>
    <row r="19492" spans="1:2" x14ac:dyDescent="0.25">
      <c r="A19492"/>
      <c r="B19492"/>
    </row>
    <row r="19493" spans="1:2" x14ac:dyDescent="0.25">
      <c r="A19493"/>
      <c r="B19493"/>
    </row>
    <row r="19494" spans="1:2" x14ac:dyDescent="0.25">
      <c r="A19494"/>
      <c r="B19494"/>
    </row>
    <row r="19495" spans="1:2" x14ac:dyDescent="0.25">
      <c r="A19495"/>
      <c r="B19495"/>
    </row>
    <row r="19496" spans="1:2" x14ac:dyDescent="0.25">
      <c r="A19496"/>
      <c r="B19496"/>
    </row>
    <row r="19497" spans="1:2" x14ac:dyDescent="0.25">
      <c r="A19497"/>
      <c r="B19497"/>
    </row>
    <row r="19498" spans="1:2" x14ac:dyDescent="0.25">
      <c r="A19498"/>
      <c r="B19498"/>
    </row>
    <row r="19499" spans="1:2" x14ac:dyDescent="0.25">
      <c r="A19499"/>
      <c r="B19499"/>
    </row>
    <row r="19500" spans="1:2" x14ac:dyDescent="0.25">
      <c r="A19500"/>
      <c r="B19500"/>
    </row>
    <row r="19501" spans="1:2" x14ac:dyDescent="0.25">
      <c r="A19501"/>
      <c r="B19501"/>
    </row>
    <row r="19502" spans="1:2" x14ac:dyDescent="0.25">
      <c r="A19502"/>
      <c r="B19502"/>
    </row>
    <row r="19503" spans="1:2" x14ac:dyDescent="0.25">
      <c r="A19503"/>
      <c r="B19503"/>
    </row>
    <row r="19504" spans="1:2" x14ac:dyDescent="0.25">
      <c r="A19504"/>
      <c r="B19504"/>
    </row>
    <row r="19505" spans="1:2" x14ac:dyDescent="0.25">
      <c r="A19505"/>
      <c r="B19505"/>
    </row>
    <row r="19506" spans="1:2" x14ac:dyDescent="0.25">
      <c r="A19506"/>
      <c r="B19506"/>
    </row>
    <row r="19507" spans="1:2" x14ac:dyDescent="0.25">
      <c r="A19507"/>
      <c r="B19507"/>
    </row>
    <row r="19508" spans="1:2" x14ac:dyDescent="0.25">
      <c r="A19508"/>
      <c r="B19508"/>
    </row>
    <row r="19509" spans="1:2" x14ac:dyDescent="0.25">
      <c r="A19509"/>
      <c r="B19509"/>
    </row>
    <row r="19510" spans="1:2" x14ac:dyDescent="0.25">
      <c r="A19510"/>
      <c r="B19510"/>
    </row>
    <row r="19511" spans="1:2" x14ac:dyDescent="0.25">
      <c r="A19511"/>
      <c r="B19511"/>
    </row>
    <row r="19512" spans="1:2" x14ac:dyDescent="0.25">
      <c r="A19512"/>
      <c r="B19512"/>
    </row>
    <row r="19513" spans="1:2" x14ac:dyDescent="0.25">
      <c r="A19513"/>
      <c r="B19513"/>
    </row>
    <row r="19514" spans="1:2" x14ac:dyDescent="0.25">
      <c r="A19514"/>
      <c r="B19514"/>
    </row>
    <row r="19515" spans="1:2" x14ac:dyDescent="0.25">
      <c r="A19515"/>
      <c r="B19515"/>
    </row>
    <row r="19516" spans="1:2" x14ac:dyDescent="0.25">
      <c r="A19516"/>
      <c r="B19516"/>
    </row>
    <row r="19517" spans="1:2" x14ac:dyDescent="0.25">
      <c r="A19517"/>
      <c r="B19517"/>
    </row>
    <row r="19518" spans="1:2" x14ac:dyDescent="0.25">
      <c r="A19518"/>
      <c r="B19518"/>
    </row>
    <row r="19519" spans="1:2" x14ac:dyDescent="0.25">
      <c r="A19519"/>
      <c r="B19519"/>
    </row>
    <row r="19520" spans="1:2" x14ac:dyDescent="0.25">
      <c r="A19520"/>
      <c r="B19520"/>
    </row>
    <row r="19521" spans="1:2" x14ac:dyDescent="0.25">
      <c r="A19521"/>
      <c r="B19521"/>
    </row>
    <row r="19522" spans="1:2" x14ac:dyDescent="0.25">
      <c r="A19522"/>
      <c r="B19522"/>
    </row>
    <row r="19523" spans="1:2" x14ac:dyDescent="0.25">
      <c r="A19523"/>
      <c r="B19523"/>
    </row>
    <row r="19524" spans="1:2" x14ac:dyDescent="0.25">
      <c r="A19524"/>
      <c r="B19524"/>
    </row>
    <row r="19525" spans="1:2" x14ac:dyDescent="0.25">
      <c r="A19525"/>
      <c r="B19525"/>
    </row>
    <row r="19526" spans="1:2" x14ac:dyDescent="0.25">
      <c r="A19526"/>
      <c r="B19526"/>
    </row>
    <row r="19527" spans="1:2" x14ac:dyDescent="0.25">
      <c r="A19527"/>
      <c r="B19527"/>
    </row>
    <row r="19528" spans="1:2" x14ac:dyDescent="0.25">
      <c r="A19528"/>
      <c r="B19528"/>
    </row>
    <row r="19529" spans="1:2" x14ac:dyDescent="0.25">
      <c r="A19529"/>
      <c r="B19529"/>
    </row>
    <row r="19530" spans="1:2" x14ac:dyDescent="0.25">
      <c r="A19530"/>
      <c r="B19530"/>
    </row>
    <row r="19531" spans="1:2" x14ac:dyDescent="0.25">
      <c r="A19531"/>
      <c r="B19531"/>
    </row>
    <row r="19532" spans="1:2" x14ac:dyDescent="0.25">
      <c r="A19532"/>
      <c r="B19532"/>
    </row>
    <row r="19533" spans="1:2" x14ac:dyDescent="0.25">
      <c r="A19533"/>
      <c r="B19533"/>
    </row>
    <row r="19534" spans="1:2" x14ac:dyDescent="0.25">
      <c r="A19534"/>
      <c r="B19534"/>
    </row>
    <row r="19535" spans="1:2" x14ac:dyDescent="0.25">
      <c r="A19535"/>
      <c r="B19535"/>
    </row>
    <row r="19536" spans="1:2" x14ac:dyDescent="0.25">
      <c r="A19536"/>
      <c r="B19536"/>
    </row>
    <row r="19537" spans="1:2" x14ac:dyDescent="0.25">
      <c r="A19537"/>
      <c r="B19537"/>
    </row>
    <row r="19538" spans="1:2" x14ac:dyDescent="0.25">
      <c r="A19538"/>
      <c r="B19538"/>
    </row>
    <row r="19539" spans="1:2" x14ac:dyDescent="0.25">
      <c r="A19539"/>
      <c r="B19539"/>
    </row>
    <row r="19540" spans="1:2" x14ac:dyDescent="0.25">
      <c r="A19540"/>
      <c r="B19540"/>
    </row>
    <row r="19541" spans="1:2" x14ac:dyDescent="0.25">
      <c r="A19541"/>
      <c r="B19541"/>
    </row>
    <row r="19542" spans="1:2" x14ac:dyDescent="0.25">
      <c r="A19542"/>
      <c r="B19542"/>
    </row>
    <row r="19543" spans="1:2" x14ac:dyDescent="0.25">
      <c r="A19543"/>
      <c r="B19543"/>
    </row>
    <row r="19544" spans="1:2" x14ac:dyDescent="0.25">
      <c r="A19544"/>
      <c r="B19544"/>
    </row>
    <row r="19545" spans="1:2" x14ac:dyDescent="0.25">
      <c r="A19545"/>
      <c r="B19545"/>
    </row>
    <row r="19546" spans="1:2" x14ac:dyDescent="0.25">
      <c r="A19546"/>
      <c r="B19546"/>
    </row>
    <row r="19547" spans="1:2" x14ac:dyDescent="0.25">
      <c r="A19547"/>
      <c r="B19547"/>
    </row>
    <row r="19548" spans="1:2" x14ac:dyDescent="0.25">
      <c r="A19548"/>
      <c r="B19548"/>
    </row>
    <row r="19549" spans="1:2" x14ac:dyDescent="0.25">
      <c r="A19549"/>
      <c r="B19549"/>
    </row>
    <row r="19550" spans="1:2" x14ac:dyDescent="0.25">
      <c r="A19550"/>
      <c r="B19550"/>
    </row>
    <row r="19551" spans="1:2" x14ac:dyDescent="0.25">
      <c r="A19551"/>
      <c r="B19551"/>
    </row>
    <row r="19552" spans="1:2" x14ac:dyDescent="0.25">
      <c r="A19552"/>
      <c r="B19552"/>
    </row>
    <row r="19553" spans="1:2" x14ac:dyDescent="0.25">
      <c r="A19553"/>
      <c r="B19553"/>
    </row>
    <row r="19554" spans="1:2" x14ac:dyDescent="0.25">
      <c r="A19554"/>
      <c r="B19554"/>
    </row>
    <row r="19555" spans="1:2" x14ac:dyDescent="0.25">
      <c r="A19555"/>
      <c r="B19555"/>
    </row>
    <row r="19556" spans="1:2" x14ac:dyDescent="0.25">
      <c r="A19556"/>
      <c r="B19556"/>
    </row>
    <row r="19557" spans="1:2" x14ac:dyDescent="0.25">
      <c r="A19557"/>
      <c r="B19557"/>
    </row>
    <row r="19558" spans="1:2" x14ac:dyDescent="0.25">
      <c r="A19558"/>
      <c r="B19558"/>
    </row>
    <row r="19559" spans="1:2" x14ac:dyDescent="0.25">
      <c r="A19559"/>
      <c r="B19559"/>
    </row>
    <row r="19560" spans="1:2" x14ac:dyDescent="0.25">
      <c r="A19560"/>
      <c r="B19560"/>
    </row>
    <row r="19561" spans="1:2" x14ac:dyDescent="0.25">
      <c r="A19561"/>
      <c r="B19561"/>
    </row>
    <row r="19562" spans="1:2" x14ac:dyDescent="0.25">
      <c r="A19562"/>
      <c r="B19562"/>
    </row>
    <row r="19563" spans="1:2" x14ac:dyDescent="0.25">
      <c r="A19563"/>
      <c r="B19563"/>
    </row>
    <row r="19564" spans="1:2" x14ac:dyDescent="0.25">
      <c r="A19564"/>
      <c r="B19564"/>
    </row>
    <row r="19565" spans="1:2" x14ac:dyDescent="0.25">
      <c r="A19565"/>
      <c r="B19565"/>
    </row>
    <row r="19566" spans="1:2" x14ac:dyDescent="0.25">
      <c r="A19566"/>
      <c r="B19566"/>
    </row>
    <row r="19567" spans="1:2" x14ac:dyDescent="0.25">
      <c r="A19567"/>
      <c r="B19567"/>
    </row>
    <row r="19568" spans="1:2" x14ac:dyDescent="0.25">
      <c r="A19568"/>
      <c r="B19568"/>
    </row>
    <row r="19569" spans="1:2" x14ac:dyDescent="0.25">
      <c r="A19569"/>
      <c r="B19569"/>
    </row>
    <row r="19570" spans="1:2" x14ac:dyDescent="0.25">
      <c r="A19570"/>
      <c r="B19570"/>
    </row>
    <row r="19571" spans="1:2" x14ac:dyDescent="0.25">
      <c r="A19571"/>
      <c r="B19571"/>
    </row>
    <row r="19572" spans="1:2" x14ac:dyDescent="0.25">
      <c r="A19572"/>
      <c r="B19572"/>
    </row>
    <row r="19573" spans="1:2" x14ac:dyDescent="0.25">
      <c r="A19573"/>
      <c r="B19573"/>
    </row>
    <row r="19574" spans="1:2" x14ac:dyDescent="0.25">
      <c r="A19574"/>
      <c r="B19574"/>
    </row>
    <row r="19575" spans="1:2" x14ac:dyDescent="0.25">
      <c r="A19575"/>
      <c r="B19575"/>
    </row>
    <row r="19576" spans="1:2" x14ac:dyDescent="0.25">
      <c r="A19576"/>
      <c r="B19576"/>
    </row>
    <row r="19577" spans="1:2" x14ac:dyDescent="0.25">
      <c r="A19577"/>
      <c r="B19577"/>
    </row>
    <row r="19578" spans="1:2" x14ac:dyDescent="0.25">
      <c r="A19578"/>
      <c r="B19578"/>
    </row>
    <row r="19579" spans="1:2" x14ac:dyDescent="0.25">
      <c r="A19579"/>
      <c r="B19579"/>
    </row>
    <row r="19580" spans="1:2" x14ac:dyDescent="0.25">
      <c r="A19580"/>
      <c r="B19580"/>
    </row>
    <row r="19581" spans="1:2" x14ac:dyDescent="0.25">
      <c r="A19581"/>
      <c r="B19581"/>
    </row>
    <row r="19582" spans="1:2" x14ac:dyDescent="0.25">
      <c r="A19582"/>
      <c r="B19582"/>
    </row>
    <row r="19583" spans="1:2" x14ac:dyDescent="0.25">
      <c r="A19583"/>
      <c r="B19583"/>
    </row>
    <row r="19584" spans="1:2" x14ac:dyDescent="0.25">
      <c r="A19584"/>
      <c r="B19584"/>
    </row>
    <row r="19585" spans="1:2" x14ac:dyDescent="0.25">
      <c r="A19585"/>
      <c r="B19585"/>
    </row>
    <row r="19586" spans="1:2" x14ac:dyDescent="0.25">
      <c r="A19586"/>
      <c r="B19586"/>
    </row>
    <row r="19587" spans="1:2" x14ac:dyDescent="0.25">
      <c r="A19587"/>
      <c r="B19587"/>
    </row>
    <row r="19588" spans="1:2" x14ac:dyDescent="0.25">
      <c r="A19588"/>
      <c r="B19588"/>
    </row>
    <row r="19589" spans="1:2" x14ac:dyDescent="0.25">
      <c r="A19589"/>
      <c r="B19589"/>
    </row>
    <row r="19590" spans="1:2" x14ac:dyDescent="0.25">
      <c r="A19590"/>
      <c r="B19590"/>
    </row>
    <row r="19591" spans="1:2" x14ac:dyDescent="0.25">
      <c r="A19591"/>
      <c r="B19591"/>
    </row>
    <row r="19592" spans="1:2" x14ac:dyDescent="0.25">
      <c r="A19592"/>
      <c r="B19592"/>
    </row>
    <row r="19593" spans="1:2" x14ac:dyDescent="0.25">
      <c r="A19593"/>
      <c r="B19593"/>
    </row>
    <row r="19594" spans="1:2" x14ac:dyDescent="0.25">
      <c r="A19594"/>
      <c r="B19594"/>
    </row>
    <row r="19595" spans="1:2" x14ac:dyDescent="0.25">
      <c r="A19595"/>
      <c r="B19595"/>
    </row>
    <row r="19596" spans="1:2" x14ac:dyDescent="0.25">
      <c r="A19596"/>
      <c r="B19596"/>
    </row>
    <row r="19597" spans="1:2" x14ac:dyDescent="0.25">
      <c r="A19597"/>
      <c r="B19597"/>
    </row>
    <row r="19598" spans="1:2" x14ac:dyDescent="0.25">
      <c r="A19598"/>
      <c r="B19598"/>
    </row>
    <row r="19599" spans="1:2" x14ac:dyDescent="0.25">
      <c r="A19599"/>
      <c r="B19599"/>
    </row>
    <row r="19600" spans="1:2" x14ac:dyDescent="0.25">
      <c r="A19600"/>
      <c r="B19600"/>
    </row>
    <row r="19601" spans="1:2" x14ac:dyDescent="0.25">
      <c r="A19601"/>
      <c r="B19601"/>
    </row>
    <row r="19602" spans="1:2" x14ac:dyDescent="0.25">
      <c r="A19602"/>
      <c r="B19602"/>
    </row>
    <row r="19603" spans="1:2" x14ac:dyDescent="0.25">
      <c r="A19603"/>
      <c r="B19603"/>
    </row>
    <row r="19604" spans="1:2" x14ac:dyDescent="0.25">
      <c r="A19604"/>
      <c r="B19604"/>
    </row>
    <row r="19605" spans="1:2" x14ac:dyDescent="0.25">
      <c r="A19605"/>
      <c r="B19605"/>
    </row>
    <row r="19606" spans="1:2" x14ac:dyDescent="0.25">
      <c r="A19606"/>
      <c r="B19606"/>
    </row>
    <row r="19607" spans="1:2" x14ac:dyDescent="0.25">
      <c r="A19607"/>
      <c r="B19607"/>
    </row>
    <row r="19608" spans="1:2" x14ac:dyDescent="0.25">
      <c r="A19608"/>
      <c r="B19608"/>
    </row>
    <row r="19609" spans="1:2" x14ac:dyDescent="0.25">
      <c r="A19609"/>
      <c r="B19609"/>
    </row>
    <row r="19610" spans="1:2" x14ac:dyDescent="0.25">
      <c r="A19610"/>
      <c r="B19610"/>
    </row>
    <row r="19611" spans="1:2" x14ac:dyDescent="0.25">
      <c r="A19611"/>
      <c r="B19611"/>
    </row>
    <row r="19612" spans="1:2" x14ac:dyDescent="0.25">
      <c r="A19612"/>
      <c r="B19612"/>
    </row>
    <row r="19613" spans="1:2" x14ac:dyDescent="0.25">
      <c r="A19613"/>
      <c r="B19613"/>
    </row>
    <row r="19614" spans="1:2" x14ac:dyDescent="0.25">
      <c r="A19614"/>
      <c r="B19614"/>
    </row>
    <row r="19615" spans="1:2" x14ac:dyDescent="0.25">
      <c r="A19615"/>
      <c r="B19615"/>
    </row>
    <row r="19616" spans="1:2" x14ac:dyDescent="0.25">
      <c r="A19616"/>
      <c r="B19616"/>
    </row>
    <row r="19617" spans="1:2" x14ac:dyDescent="0.25">
      <c r="A19617"/>
      <c r="B19617"/>
    </row>
    <row r="19618" spans="1:2" x14ac:dyDescent="0.25">
      <c r="A19618"/>
      <c r="B19618"/>
    </row>
    <row r="19619" spans="1:2" x14ac:dyDescent="0.25">
      <c r="A19619"/>
      <c r="B19619"/>
    </row>
    <row r="19620" spans="1:2" x14ac:dyDescent="0.25">
      <c r="A19620"/>
      <c r="B19620"/>
    </row>
    <row r="19621" spans="1:2" x14ac:dyDescent="0.25">
      <c r="A19621"/>
      <c r="B19621"/>
    </row>
    <row r="19622" spans="1:2" x14ac:dyDescent="0.25">
      <c r="A19622"/>
      <c r="B19622"/>
    </row>
    <row r="19623" spans="1:2" x14ac:dyDescent="0.25">
      <c r="A19623"/>
      <c r="B19623"/>
    </row>
    <row r="19624" spans="1:2" x14ac:dyDescent="0.25">
      <c r="A19624"/>
      <c r="B19624"/>
    </row>
    <row r="19625" spans="1:2" x14ac:dyDescent="0.25">
      <c r="A19625"/>
      <c r="B19625"/>
    </row>
    <row r="19626" spans="1:2" x14ac:dyDescent="0.25">
      <c r="A19626"/>
      <c r="B19626"/>
    </row>
    <row r="19627" spans="1:2" x14ac:dyDescent="0.25">
      <c r="A19627"/>
      <c r="B19627"/>
    </row>
    <row r="19628" spans="1:2" x14ac:dyDescent="0.25">
      <c r="A19628"/>
      <c r="B19628"/>
    </row>
    <row r="19629" spans="1:2" x14ac:dyDescent="0.25">
      <c r="A19629"/>
      <c r="B19629"/>
    </row>
    <row r="19630" spans="1:2" x14ac:dyDescent="0.25">
      <c r="A19630"/>
      <c r="B19630"/>
    </row>
    <row r="19631" spans="1:2" x14ac:dyDescent="0.25">
      <c r="A19631"/>
      <c r="B19631"/>
    </row>
    <row r="19632" spans="1:2" x14ac:dyDescent="0.25">
      <c r="A19632"/>
      <c r="B19632"/>
    </row>
    <row r="19633" spans="1:2" x14ac:dyDescent="0.25">
      <c r="A19633"/>
      <c r="B19633"/>
    </row>
    <row r="19634" spans="1:2" x14ac:dyDescent="0.25">
      <c r="A19634"/>
      <c r="B19634"/>
    </row>
    <row r="19635" spans="1:2" x14ac:dyDescent="0.25">
      <c r="A19635"/>
      <c r="B19635"/>
    </row>
    <row r="19636" spans="1:2" x14ac:dyDescent="0.25">
      <c r="A19636"/>
      <c r="B19636"/>
    </row>
    <row r="19637" spans="1:2" x14ac:dyDescent="0.25">
      <c r="A19637"/>
      <c r="B19637"/>
    </row>
    <row r="19638" spans="1:2" x14ac:dyDescent="0.25">
      <c r="A19638"/>
      <c r="B19638"/>
    </row>
    <row r="19639" spans="1:2" x14ac:dyDescent="0.25">
      <c r="A19639"/>
      <c r="B19639"/>
    </row>
    <row r="19640" spans="1:2" x14ac:dyDescent="0.25">
      <c r="A19640"/>
      <c r="B19640"/>
    </row>
    <row r="19641" spans="1:2" x14ac:dyDescent="0.25">
      <c r="A19641"/>
      <c r="B19641"/>
    </row>
    <row r="19642" spans="1:2" x14ac:dyDescent="0.25">
      <c r="A19642"/>
      <c r="B19642"/>
    </row>
    <row r="19643" spans="1:2" x14ac:dyDescent="0.25">
      <c r="A19643"/>
      <c r="B19643"/>
    </row>
    <row r="19644" spans="1:2" x14ac:dyDescent="0.25">
      <c r="A19644"/>
      <c r="B19644"/>
    </row>
    <row r="19645" spans="1:2" x14ac:dyDescent="0.25">
      <c r="A19645"/>
      <c r="B19645"/>
    </row>
    <row r="19646" spans="1:2" x14ac:dyDescent="0.25">
      <c r="A19646"/>
      <c r="B19646"/>
    </row>
    <row r="19647" spans="1:2" x14ac:dyDescent="0.25">
      <c r="A19647"/>
      <c r="B19647"/>
    </row>
    <row r="19648" spans="1:2" x14ac:dyDescent="0.25">
      <c r="A19648"/>
      <c r="B19648"/>
    </row>
    <row r="19649" spans="1:2" x14ac:dyDescent="0.25">
      <c r="A19649"/>
      <c r="B19649"/>
    </row>
    <row r="19650" spans="1:2" x14ac:dyDescent="0.25">
      <c r="A19650"/>
      <c r="B19650"/>
    </row>
    <row r="19651" spans="1:2" x14ac:dyDescent="0.25">
      <c r="A19651"/>
      <c r="B19651"/>
    </row>
    <row r="19652" spans="1:2" x14ac:dyDescent="0.25">
      <c r="A19652"/>
      <c r="B19652"/>
    </row>
    <row r="19653" spans="1:2" x14ac:dyDescent="0.25">
      <c r="A19653"/>
      <c r="B19653"/>
    </row>
    <row r="19654" spans="1:2" x14ac:dyDescent="0.25">
      <c r="A19654"/>
      <c r="B19654"/>
    </row>
    <row r="19655" spans="1:2" x14ac:dyDescent="0.25">
      <c r="A19655"/>
      <c r="B19655"/>
    </row>
    <row r="19656" spans="1:2" x14ac:dyDescent="0.25">
      <c r="A19656"/>
      <c r="B19656"/>
    </row>
    <row r="19657" spans="1:2" x14ac:dyDescent="0.25">
      <c r="A19657"/>
      <c r="B19657"/>
    </row>
    <row r="19658" spans="1:2" x14ac:dyDescent="0.25">
      <c r="A19658"/>
      <c r="B19658"/>
    </row>
    <row r="19659" spans="1:2" x14ac:dyDescent="0.25">
      <c r="A19659"/>
      <c r="B19659"/>
    </row>
    <row r="19660" spans="1:2" x14ac:dyDescent="0.25">
      <c r="A19660"/>
      <c r="B19660"/>
    </row>
    <row r="19661" spans="1:2" x14ac:dyDescent="0.25">
      <c r="A19661"/>
      <c r="B19661"/>
    </row>
    <row r="19662" spans="1:2" x14ac:dyDescent="0.25">
      <c r="A19662"/>
      <c r="B19662"/>
    </row>
    <row r="19663" spans="1:2" x14ac:dyDescent="0.25">
      <c r="A19663"/>
      <c r="B19663"/>
    </row>
    <row r="19664" spans="1:2" x14ac:dyDescent="0.25">
      <c r="A19664"/>
      <c r="B19664"/>
    </row>
    <row r="19665" spans="1:2" x14ac:dyDescent="0.25">
      <c r="A19665"/>
      <c r="B19665"/>
    </row>
    <row r="19666" spans="1:2" x14ac:dyDescent="0.25">
      <c r="A19666"/>
      <c r="B19666"/>
    </row>
    <row r="19667" spans="1:2" x14ac:dyDescent="0.25">
      <c r="A19667"/>
      <c r="B19667"/>
    </row>
    <row r="19668" spans="1:2" x14ac:dyDescent="0.25">
      <c r="A19668"/>
      <c r="B19668"/>
    </row>
    <row r="19669" spans="1:2" x14ac:dyDescent="0.25">
      <c r="A19669"/>
      <c r="B19669"/>
    </row>
    <row r="19670" spans="1:2" x14ac:dyDescent="0.25">
      <c r="A19670"/>
      <c r="B19670"/>
    </row>
    <row r="19671" spans="1:2" x14ac:dyDescent="0.25">
      <c r="A19671"/>
      <c r="B19671"/>
    </row>
    <row r="19672" spans="1:2" x14ac:dyDescent="0.25">
      <c r="A19672"/>
      <c r="B19672"/>
    </row>
    <row r="19673" spans="1:2" x14ac:dyDescent="0.25">
      <c r="A19673"/>
      <c r="B19673"/>
    </row>
    <row r="19674" spans="1:2" x14ac:dyDescent="0.25">
      <c r="A19674"/>
      <c r="B19674"/>
    </row>
    <row r="19675" spans="1:2" x14ac:dyDescent="0.25">
      <c r="A19675"/>
      <c r="B19675"/>
    </row>
    <row r="19676" spans="1:2" x14ac:dyDescent="0.25">
      <c r="A19676"/>
      <c r="B19676"/>
    </row>
    <row r="19677" spans="1:2" x14ac:dyDescent="0.25">
      <c r="A19677"/>
      <c r="B19677"/>
    </row>
    <row r="19678" spans="1:2" x14ac:dyDescent="0.25">
      <c r="A19678"/>
      <c r="B19678"/>
    </row>
    <row r="19679" spans="1:2" x14ac:dyDescent="0.25">
      <c r="A19679"/>
      <c r="B19679"/>
    </row>
    <row r="19680" spans="1:2" x14ac:dyDescent="0.25">
      <c r="A19680"/>
      <c r="B19680"/>
    </row>
    <row r="19681" spans="1:2" x14ac:dyDescent="0.25">
      <c r="A19681"/>
      <c r="B19681"/>
    </row>
    <row r="19682" spans="1:2" x14ac:dyDescent="0.25">
      <c r="A19682"/>
      <c r="B19682"/>
    </row>
    <row r="19683" spans="1:2" x14ac:dyDescent="0.25">
      <c r="A19683"/>
      <c r="B19683"/>
    </row>
    <row r="19684" spans="1:2" x14ac:dyDescent="0.25">
      <c r="A19684"/>
      <c r="B19684"/>
    </row>
    <row r="19685" spans="1:2" x14ac:dyDescent="0.25">
      <c r="A19685"/>
      <c r="B19685"/>
    </row>
    <row r="19686" spans="1:2" x14ac:dyDescent="0.25">
      <c r="A19686"/>
      <c r="B19686"/>
    </row>
    <row r="19687" spans="1:2" x14ac:dyDescent="0.25">
      <c r="A19687"/>
      <c r="B19687"/>
    </row>
    <row r="19688" spans="1:2" x14ac:dyDescent="0.25">
      <c r="A19688"/>
      <c r="B19688"/>
    </row>
    <row r="19689" spans="1:2" x14ac:dyDescent="0.25">
      <c r="A19689"/>
      <c r="B19689"/>
    </row>
    <row r="19690" spans="1:2" x14ac:dyDescent="0.25">
      <c r="A19690"/>
      <c r="B19690"/>
    </row>
    <row r="19691" spans="1:2" x14ac:dyDescent="0.25">
      <c r="A19691"/>
      <c r="B19691"/>
    </row>
    <row r="19692" spans="1:2" x14ac:dyDescent="0.25">
      <c r="A19692"/>
      <c r="B19692"/>
    </row>
    <row r="19693" spans="1:2" x14ac:dyDescent="0.25">
      <c r="A19693"/>
      <c r="B19693"/>
    </row>
    <row r="19694" spans="1:2" x14ac:dyDescent="0.25">
      <c r="A19694"/>
      <c r="B19694"/>
    </row>
    <row r="19695" spans="1:2" x14ac:dyDescent="0.25">
      <c r="A19695"/>
      <c r="B19695"/>
    </row>
    <row r="19696" spans="1:2" x14ac:dyDescent="0.25">
      <c r="A19696"/>
      <c r="B19696"/>
    </row>
    <row r="19697" spans="1:2" x14ac:dyDescent="0.25">
      <c r="A19697"/>
      <c r="B19697"/>
    </row>
    <row r="19698" spans="1:2" x14ac:dyDescent="0.25">
      <c r="A19698"/>
      <c r="B19698"/>
    </row>
    <row r="19699" spans="1:2" x14ac:dyDescent="0.25">
      <c r="A19699"/>
      <c r="B19699"/>
    </row>
    <row r="19700" spans="1:2" x14ac:dyDescent="0.25">
      <c r="A19700"/>
      <c r="B19700"/>
    </row>
    <row r="19701" spans="1:2" x14ac:dyDescent="0.25">
      <c r="A19701"/>
      <c r="B19701"/>
    </row>
    <row r="19702" spans="1:2" x14ac:dyDescent="0.25">
      <c r="A19702"/>
      <c r="B19702"/>
    </row>
    <row r="19703" spans="1:2" x14ac:dyDescent="0.25">
      <c r="A19703"/>
      <c r="B19703"/>
    </row>
    <row r="19704" spans="1:2" x14ac:dyDescent="0.25">
      <c r="A19704"/>
      <c r="B19704"/>
    </row>
    <row r="19705" spans="1:2" x14ac:dyDescent="0.25">
      <c r="A19705"/>
      <c r="B19705"/>
    </row>
    <row r="19706" spans="1:2" x14ac:dyDescent="0.25">
      <c r="A19706"/>
      <c r="B19706"/>
    </row>
    <row r="19707" spans="1:2" x14ac:dyDescent="0.25">
      <c r="A19707"/>
      <c r="B19707"/>
    </row>
    <row r="19708" spans="1:2" x14ac:dyDescent="0.25">
      <c r="A19708"/>
      <c r="B19708"/>
    </row>
    <row r="19709" spans="1:2" x14ac:dyDescent="0.25">
      <c r="A19709"/>
      <c r="B19709"/>
    </row>
    <row r="19710" spans="1:2" x14ac:dyDescent="0.25">
      <c r="A19710"/>
      <c r="B19710"/>
    </row>
    <row r="19711" spans="1:2" x14ac:dyDescent="0.25">
      <c r="A19711"/>
      <c r="B19711"/>
    </row>
    <row r="19712" spans="1:2" x14ac:dyDescent="0.25">
      <c r="A19712"/>
      <c r="B19712"/>
    </row>
    <row r="19713" spans="1:2" x14ac:dyDescent="0.25">
      <c r="A19713"/>
      <c r="B19713"/>
    </row>
    <row r="19714" spans="1:2" x14ac:dyDescent="0.25">
      <c r="A19714"/>
      <c r="B19714"/>
    </row>
    <row r="19715" spans="1:2" x14ac:dyDescent="0.25">
      <c r="A19715"/>
      <c r="B19715"/>
    </row>
    <row r="19716" spans="1:2" x14ac:dyDescent="0.25">
      <c r="A19716"/>
      <c r="B19716"/>
    </row>
    <row r="19717" spans="1:2" x14ac:dyDescent="0.25">
      <c r="A19717"/>
      <c r="B19717"/>
    </row>
    <row r="19718" spans="1:2" x14ac:dyDescent="0.25">
      <c r="A19718"/>
      <c r="B19718"/>
    </row>
    <row r="19719" spans="1:2" x14ac:dyDescent="0.25">
      <c r="A19719"/>
      <c r="B19719"/>
    </row>
    <row r="19720" spans="1:2" x14ac:dyDescent="0.25">
      <c r="A19720"/>
      <c r="B19720"/>
    </row>
    <row r="19721" spans="1:2" x14ac:dyDescent="0.25">
      <c r="A19721"/>
      <c r="B19721"/>
    </row>
    <row r="19722" spans="1:2" x14ac:dyDescent="0.25">
      <c r="A19722"/>
      <c r="B19722"/>
    </row>
    <row r="19723" spans="1:2" x14ac:dyDescent="0.25">
      <c r="A19723"/>
      <c r="B19723"/>
    </row>
    <row r="19724" spans="1:2" x14ac:dyDescent="0.25">
      <c r="A19724"/>
      <c r="B19724"/>
    </row>
    <row r="19725" spans="1:2" x14ac:dyDescent="0.25">
      <c r="A19725"/>
      <c r="B19725"/>
    </row>
    <row r="19726" spans="1:2" x14ac:dyDescent="0.25">
      <c r="A19726"/>
      <c r="B19726"/>
    </row>
    <row r="19727" spans="1:2" x14ac:dyDescent="0.25">
      <c r="A19727"/>
      <c r="B19727"/>
    </row>
    <row r="19728" spans="1:2" x14ac:dyDescent="0.25">
      <c r="A19728"/>
      <c r="B19728"/>
    </row>
    <row r="19729" spans="1:2" x14ac:dyDescent="0.25">
      <c r="A19729"/>
      <c r="B19729"/>
    </row>
    <row r="19730" spans="1:2" x14ac:dyDescent="0.25">
      <c r="A19730"/>
      <c r="B19730"/>
    </row>
    <row r="19731" spans="1:2" x14ac:dyDescent="0.25">
      <c r="A19731"/>
      <c r="B19731"/>
    </row>
    <row r="19732" spans="1:2" x14ac:dyDescent="0.25">
      <c r="A19732"/>
      <c r="B19732"/>
    </row>
    <row r="19733" spans="1:2" x14ac:dyDescent="0.25">
      <c r="A19733"/>
      <c r="B19733"/>
    </row>
    <row r="19734" spans="1:2" x14ac:dyDescent="0.25">
      <c r="A19734"/>
      <c r="B19734"/>
    </row>
    <row r="19735" spans="1:2" x14ac:dyDescent="0.25">
      <c r="A19735"/>
      <c r="B19735"/>
    </row>
    <row r="19736" spans="1:2" x14ac:dyDescent="0.25">
      <c r="A19736"/>
      <c r="B19736"/>
    </row>
    <row r="19737" spans="1:2" x14ac:dyDescent="0.25">
      <c r="A19737"/>
      <c r="B19737"/>
    </row>
    <row r="19738" spans="1:2" x14ac:dyDescent="0.25">
      <c r="A19738"/>
      <c r="B19738"/>
    </row>
    <row r="19739" spans="1:2" x14ac:dyDescent="0.25">
      <c r="A19739"/>
      <c r="B19739"/>
    </row>
    <row r="19740" spans="1:2" x14ac:dyDescent="0.25">
      <c r="A19740"/>
      <c r="B19740"/>
    </row>
    <row r="19741" spans="1:2" x14ac:dyDescent="0.25">
      <c r="A19741"/>
      <c r="B19741"/>
    </row>
    <row r="19742" spans="1:2" x14ac:dyDescent="0.25">
      <c r="A19742"/>
      <c r="B19742"/>
    </row>
    <row r="19743" spans="1:2" x14ac:dyDescent="0.25">
      <c r="A19743"/>
      <c r="B19743"/>
    </row>
    <row r="19744" spans="1:2" x14ac:dyDescent="0.25">
      <c r="A19744"/>
      <c r="B19744"/>
    </row>
    <row r="19745" spans="1:2" x14ac:dyDescent="0.25">
      <c r="A19745"/>
      <c r="B19745"/>
    </row>
    <row r="19746" spans="1:2" x14ac:dyDescent="0.25">
      <c r="A19746"/>
      <c r="B19746"/>
    </row>
    <row r="19747" spans="1:2" x14ac:dyDescent="0.25">
      <c r="A19747"/>
      <c r="B19747"/>
    </row>
    <row r="19748" spans="1:2" x14ac:dyDescent="0.25">
      <c r="A19748"/>
      <c r="B19748"/>
    </row>
    <row r="19749" spans="1:2" x14ac:dyDescent="0.25">
      <c r="A19749"/>
      <c r="B19749"/>
    </row>
    <row r="19750" spans="1:2" x14ac:dyDescent="0.25">
      <c r="A19750"/>
      <c r="B19750"/>
    </row>
    <row r="19751" spans="1:2" x14ac:dyDescent="0.25">
      <c r="A19751"/>
      <c r="B19751"/>
    </row>
    <row r="19752" spans="1:2" x14ac:dyDescent="0.25">
      <c r="A19752"/>
      <c r="B19752"/>
    </row>
    <row r="19753" spans="1:2" x14ac:dyDescent="0.25">
      <c r="A19753"/>
      <c r="B19753"/>
    </row>
    <row r="19754" spans="1:2" x14ac:dyDescent="0.25">
      <c r="A19754"/>
      <c r="B19754"/>
    </row>
    <row r="19755" spans="1:2" x14ac:dyDescent="0.25">
      <c r="A19755"/>
      <c r="B19755"/>
    </row>
    <row r="19756" spans="1:2" x14ac:dyDescent="0.25">
      <c r="A19756"/>
      <c r="B19756"/>
    </row>
    <row r="19757" spans="1:2" x14ac:dyDescent="0.25">
      <c r="A19757"/>
      <c r="B19757"/>
    </row>
    <row r="19758" spans="1:2" x14ac:dyDescent="0.25">
      <c r="A19758"/>
      <c r="B19758"/>
    </row>
    <row r="19759" spans="1:2" x14ac:dyDescent="0.25">
      <c r="A19759"/>
      <c r="B19759"/>
    </row>
    <row r="19760" spans="1:2" x14ac:dyDescent="0.25">
      <c r="A19760"/>
      <c r="B19760"/>
    </row>
    <row r="19761" spans="1:2" x14ac:dyDescent="0.25">
      <c r="A19761"/>
      <c r="B19761"/>
    </row>
    <row r="19762" spans="1:2" x14ac:dyDescent="0.25">
      <c r="A19762"/>
      <c r="B19762"/>
    </row>
    <row r="19763" spans="1:2" x14ac:dyDescent="0.25">
      <c r="A19763"/>
      <c r="B19763"/>
    </row>
    <row r="19764" spans="1:2" x14ac:dyDescent="0.25">
      <c r="A19764"/>
      <c r="B19764"/>
    </row>
    <row r="19765" spans="1:2" x14ac:dyDescent="0.25">
      <c r="A19765"/>
      <c r="B19765"/>
    </row>
    <row r="19766" spans="1:2" x14ac:dyDescent="0.25">
      <c r="A19766"/>
      <c r="B19766"/>
    </row>
    <row r="19767" spans="1:2" x14ac:dyDescent="0.25">
      <c r="A19767"/>
      <c r="B19767"/>
    </row>
    <row r="19768" spans="1:2" x14ac:dyDescent="0.25">
      <c r="A19768"/>
      <c r="B19768"/>
    </row>
    <row r="19769" spans="1:2" x14ac:dyDescent="0.25">
      <c r="A19769"/>
      <c r="B19769"/>
    </row>
    <row r="19770" spans="1:2" x14ac:dyDescent="0.25">
      <c r="A19770"/>
      <c r="B19770"/>
    </row>
    <row r="19771" spans="1:2" x14ac:dyDescent="0.25">
      <c r="A19771"/>
      <c r="B19771"/>
    </row>
    <row r="19772" spans="1:2" x14ac:dyDescent="0.25">
      <c r="A19772"/>
      <c r="B19772"/>
    </row>
    <row r="19773" spans="1:2" x14ac:dyDescent="0.25">
      <c r="A19773"/>
      <c r="B19773"/>
    </row>
    <row r="19774" spans="1:2" x14ac:dyDescent="0.25">
      <c r="A19774"/>
      <c r="B19774"/>
    </row>
    <row r="19775" spans="1:2" x14ac:dyDescent="0.25">
      <c r="A19775"/>
      <c r="B19775"/>
    </row>
    <row r="19776" spans="1:2" x14ac:dyDescent="0.25">
      <c r="A19776"/>
      <c r="B19776"/>
    </row>
    <row r="19777" spans="1:2" x14ac:dyDescent="0.25">
      <c r="A19777"/>
      <c r="B19777"/>
    </row>
    <row r="19778" spans="1:2" x14ac:dyDescent="0.25">
      <c r="A19778"/>
      <c r="B19778"/>
    </row>
    <row r="19779" spans="1:2" x14ac:dyDescent="0.25">
      <c r="A19779"/>
      <c r="B19779"/>
    </row>
    <row r="19780" spans="1:2" x14ac:dyDescent="0.25">
      <c r="A19780"/>
      <c r="B19780"/>
    </row>
    <row r="19781" spans="1:2" x14ac:dyDescent="0.25">
      <c r="A19781"/>
      <c r="B19781"/>
    </row>
    <row r="19782" spans="1:2" x14ac:dyDescent="0.25">
      <c r="A19782"/>
      <c r="B19782"/>
    </row>
    <row r="19783" spans="1:2" x14ac:dyDescent="0.25">
      <c r="A19783"/>
      <c r="B19783"/>
    </row>
    <row r="19784" spans="1:2" x14ac:dyDescent="0.25">
      <c r="A19784"/>
      <c r="B19784"/>
    </row>
    <row r="19785" spans="1:2" x14ac:dyDescent="0.25">
      <c r="A19785"/>
      <c r="B19785"/>
    </row>
    <row r="19786" spans="1:2" x14ac:dyDescent="0.25">
      <c r="A19786"/>
      <c r="B19786"/>
    </row>
    <row r="19787" spans="1:2" x14ac:dyDescent="0.25">
      <c r="A19787"/>
      <c r="B19787"/>
    </row>
    <row r="19788" spans="1:2" x14ac:dyDescent="0.25">
      <c r="A19788"/>
      <c r="B19788"/>
    </row>
    <row r="19789" spans="1:2" x14ac:dyDescent="0.25">
      <c r="A19789"/>
      <c r="B19789"/>
    </row>
    <row r="19790" spans="1:2" x14ac:dyDescent="0.25">
      <c r="A19790"/>
      <c r="B19790"/>
    </row>
    <row r="19791" spans="1:2" x14ac:dyDescent="0.25">
      <c r="A19791"/>
      <c r="B19791"/>
    </row>
    <row r="19792" spans="1:2" x14ac:dyDescent="0.25">
      <c r="A19792"/>
      <c r="B19792"/>
    </row>
    <row r="19793" spans="1:2" x14ac:dyDescent="0.25">
      <c r="A19793"/>
      <c r="B19793"/>
    </row>
    <row r="19794" spans="1:2" x14ac:dyDescent="0.25">
      <c r="A19794"/>
      <c r="B19794"/>
    </row>
    <row r="19795" spans="1:2" x14ac:dyDescent="0.25">
      <c r="A19795"/>
      <c r="B19795"/>
    </row>
    <row r="19796" spans="1:2" x14ac:dyDescent="0.25">
      <c r="A19796"/>
      <c r="B19796"/>
    </row>
    <row r="19797" spans="1:2" x14ac:dyDescent="0.25">
      <c r="A19797"/>
      <c r="B19797"/>
    </row>
    <row r="19798" spans="1:2" x14ac:dyDescent="0.25">
      <c r="A19798"/>
      <c r="B19798"/>
    </row>
    <row r="19799" spans="1:2" x14ac:dyDescent="0.25">
      <c r="A19799"/>
      <c r="B19799"/>
    </row>
    <row r="19800" spans="1:2" x14ac:dyDescent="0.25">
      <c r="A19800"/>
      <c r="B19800"/>
    </row>
    <row r="19801" spans="1:2" x14ac:dyDescent="0.25">
      <c r="A19801"/>
      <c r="B19801"/>
    </row>
    <row r="19802" spans="1:2" x14ac:dyDescent="0.25">
      <c r="A19802"/>
      <c r="B19802"/>
    </row>
    <row r="19803" spans="1:2" x14ac:dyDescent="0.25">
      <c r="A19803"/>
      <c r="B19803"/>
    </row>
    <row r="19804" spans="1:2" x14ac:dyDescent="0.25">
      <c r="A19804"/>
      <c r="B19804"/>
    </row>
    <row r="19805" spans="1:2" x14ac:dyDescent="0.25">
      <c r="A19805"/>
      <c r="B19805"/>
    </row>
    <row r="19806" spans="1:2" x14ac:dyDescent="0.25">
      <c r="A19806"/>
      <c r="B19806"/>
    </row>
    <row r="19807" spans="1:2" x14ac:dyDescent="0.25">
      <c r="A19807"/>
      <c r="B19807"/>
    </row>
    <row r="19808" spans="1:2" x14ac:dyDescent="0.25">
      <c r="A19808"/>
      <c r="B19808"/>
    </row>
    <row r="19809" spans="1:2" x14ac:dyDescent="0.25">
      <c r="A19809"/>
      <c r="B19809"/>
    </row>
    <row r="19810" spans="1:2" x14ac:dyDescent="0.25">
      <c r="A19810"/>
      <c r="B19810"/>
    </row>
    <row r="19811" spans="1:2" x14ac:dyDescent="0.25">
      <c r="A19811"/>
      <c r="B19811"/>
    </row>
    <row r="19812" spans="1:2" x14ac:dyDescent="0.25">
      <c r="A19812"/>
      <c r="B19812"/>
    </row>
    <row r="19813" spans="1:2" x14ac:dyDescent="0.25">
      <c r="A19813"/>
      <c r="B19813"/>
    </row>
    <row r="19814" spans="1:2" x14ac:dyDescent="0.25">
      <c r="A19814"/>
      <c r="B19814"/>
    </row>
    <row r="19815" spans="1:2" x14ac:dyDescent="0.25">
      <c r="A19815"/>
      <c r="B19815"/>
    </row>
    <row r="19816" spans="1:2" x14ac:dyDescent="0.25">
      <c r="A19816"/>
      <c r="B19816"/>
    </row>
    <row r="19817" spans="1:2" x14ac:dyDescent="0.25">
      <c r="A19817"/>
      <c r="B19817"/>
    </row>
    <row r="19818" spans="1:2" x14ac:dyDescent="0.25">
      <c r="A19818"/>
      <c r="B19818"/>
    </row>
    <row r="19819" spans="1:2" x14ac:dyDescent="0.25">
      <c r="A19819"/>
      <c r="B19819"/>
    </row>
    <row r="19820" spans="1:2" x14ac:dyDescent="0.25">
      <c r="A19820"/>
      <c r="B19820"/>
    </row>
    <row r="19821" spans="1:2" x14ac:dyDescent="0.25">
      <c r="A19821"/>
      <c r="B19821"/>
    </row>
    <row r="19822" spans="1:2" x14ac:dyDescent="0.25">
      <c r="A19822"/>
      <c r="B19822"/>
    </row>
    <row r="19823" spans="1:2" x14ac:dyDescent="0.25">
      <c r="A19823"/>
      <c r="B19823"/>
    </row>
    <row r="19824" spans="1:2" x14ac:dyDescent="0.25">
      <c r="A19824"/>
      <c r="B19824"/>
    </row>
    <row r="19825" spans="1:2" x14ac:dyDescent="0.25">
      <c r="A19825"/>
      <c r="B19825"/>
    </row>
    <row r="19826" spans="1:2" x14ac:dyDescent="0.25">
      <c r="A19826"/>
      <c r="B19826"/>
    </row>
    <row r="19827" spans="1:2" x14ac:dyDescent="0.25">
      <c r="A19827"/>
      <c r="B19827"/>
    </row>
    <row r="19828" spans="1:2" x14ac:dyDescent="0.25">
      <c r="A19828"/>
      <c r="B19828"/>
    </row>
    <row r="19829" spans="1:2" x14ac:dyDescent="0.25">
      <c r="A19829"/>
      <c r="B19829"/>
    </row>
    <row r="19830" spans="1:2" x14ac:dyDescent="0.25">
      <c r="A19830"/>
      <c r="B19830"/>
    </row>
    <row r="19831" spans="1:2" x14ac:dyDescent="0.25">
      <c r="A19831"/>
      <c r="B19831"/>
    </row>
    <row r="19832" spans="1:2" x14ac:dyDescent="0.25">
      <c r="A19832"/>
      <c r="B19832"/>
    </row>
    <row r="19833" spans="1:2" x14ac:dyDescent="0.25">
      <c r="A19833"/>
      <c r="B19833"/>
    </row>
    <row r="19834" spans="1:2" x14ac:dyDescent="0.25">
      <c r="A19834"/>
      <c r="B19834"/>
    </row>
    <row r="19835" spans="1:2" x14ac:dyDescent="0.25">
      <c r="A19835"/>
      <c r="B19835"/>
    </row>
    <row r="19836" spans="1:2" x14ac:dyDescent="0.25">
      <c r="A19836"/>
      <c r="B19836"/>
    </row>
    <row r="19837" spans="1:2" x14ac:dyDescent="0.25">
      <c r="A19837"/>
      <c r="B19837"/>
    </row>
    <row r="19838" spans="1:2" x14ac:dyDescent="0.25">
      <c r="A19838"/>
      <c r="B19838"/>
    </row>
    <row r="19839" spans="1:2" x14ac:dyDescent="0.25">
      <c r="A19839"/>
      <c r="B19839"/>
    </row>
    <row r="19840" spans="1:2" x14ac:dyDescent="0.25">
      <c r="A19840"/>
      <c r="B19840"/>
    </row>
    <row r="19841" spans="1:2" x14ac:dyDescent="0.25">
      <c r="A19841"/>
      <c r="B19841"/>
    </row>
    <row r="19842" spans="1:2" x14ac:dyDescent="0.25">
      <c r="A19842"/>
      <c r="B19842"/>
    </row>
    <row r="19843" spans="1:2" x14ac:dyDescent="0.25">
      <c r="A19843"/>
      <c r="B19843"/>
    </row>
    <row r="19844" spans="1:2" x14ac:dyDescent="0.25">
      <c r="A19844"/>
      <c r="B19844"/>
    </row>
    <row r="19845" spans="1:2" x14ac:dyDescent="0.25">
      <c r="A19845"/>
      <c r="B19845"/>
    </row>
    <row r="19846" spans="1:2" x14ac:dyDescent="0.25">
      <c r="A19846"/>
      <c r="B19846"/>
    </row>
    <row r="19847" spans="1:2" x14ac:dyDescent="0.25">
      <c r="A19847"/>
      <c r="B19847"/>
    </row>
    <row r="19848" spans="1:2" x14ac:dyDescent="0.25">
      <c r="A19848"/>
      <c r="B19848"/>
    </row>
    <row r="19849" spans="1:2" x14ac:dyDescent="0.25">
      <c r="A19849"/>
      <c r="B19849"/>
    </row>
    <row r="19850" spans="1:2" x14ac:dyDescent="0.25">
      <c r="A19850"/>
      <c r="B19850"/>
    </row>
    <row r="19851" spans="1:2" x14ac:dyDescent="0.25">
      <c r="A19851"/>
      <c r="B19851"/>
    </row>
    <row r="19852" spans="1:2" x14ac:dyDescent="0.25">
      <c r="A19852"/>
      <c r="B19852"/>
    </row>
    <row r="19853" spans="1:2" x14ac:dyDescent="0.25">
      <c r="A19853"/>
      <c r="B19853"/>
    </row>
    <row r="19854" spans="1:2" x14ac:dyDescent="0.25">
      <c r="A19854"/>
      <c r="B19854"/>
    </row>
    <row r="19855" spans="1:2" x14ac:dyDescent="0.25">
      <c r="A19855"/>
      <c r="B19855"/>
    </row>
    <row r="19856" spans="1:2" x14ac:dyDescent="0.25">
      <c r="A19856"/>
      <c r="B19856"/>
    </row>
    <row r="19857" spans="1:2" x14ac:dyDescent="0.25">
      <c r="A19857"/>
      <c r="B19857"/>
    </row>
    <row r="19858" spans="1:2" x14ac:dyDescent="0.25">
      <c r="A19858"/>
      <c r="B19858"/>
    </row>
    <row r="19859" spans="1:2" x14ac:dyDescent="0.25">
      <c r="A19859"/>
      <c r="B19859"/>
    </row>
    <row r="19860" spans="1:2" x14ac:dyDescent="0.25">
      <c r="A19860"/>
      <c r="B19860"/>
    </row>
    <row r="19861" spans="1:2" x14ac:dyDescent="0.25">
      <c r="A19861"/>
      <c r="B19861"/>
    </row>
    <row r="19862" spans="1:2" x14ac:dyDescent="0.25">
      <c r="A19862"/>
      <c r="B19862"/>
    </row>
    <row r="19863" spans="1:2" x14ac:dyDescent="0.25">
      <c r="A19863"/>
      <c r="B19863"/>
    </row>
    <row r="19864" spans="1:2" x14ac:dyDescent="0.25">
      <c r="A19864"/>
      <c r="B19864"/>
    </row>
    <row r="19865" spans="1:2" x14ac:dyDescent="0.25">
      <c r="A19865"/>
      <c r="B19865"/>
    </row>
    <row r="19866" spans="1:2" x14ac:dyDescent="0.25">
      <c r="A19866"/>
      <c r="B19866"/>
    </row>
    <row r="19867" spans="1:2" x14ac:dyDescent="0.25">
      <c r="A19867"/>
      <c r="B19867"/>
    </row>
    <row r="19868" spans="1:2" x14ac:dyDescent="0.25">
      <c r="A19868"/>
      <c r="B19868"/>
    </row>
    <row r="19869" spans="1:2" x14ac:dyDescent="0.25">
      <c r="A19869"/>
      <c r="B19869"/>
    </row>
    <row r="19870" spans="1:2" x14ac:dyDescent="0.25">
      <c r="A19870"/>
      <c r="B19870"/>
    </row>
    <row r="19871" spans="1:2" x14ac:dyDescent="0.25">
      <c r="A19871"/>
      <c r="B19871"/>
    </row>
    <row r="19872" spans="1:2" x14ac:dyDescent="0.25">
      <c r="A19872"/>
      <c r="B19872"/>
    </row>
    <row r="19873" spans="1:2" x14ac:dyDescent="0.25">
      <c r="A19873"/>
      <c r="B19873"/>
    </row>
    <row r="19874" spans="1:2" x14ac:dyDescent="0.25">
      <c r="A19874"/>
      <c r="B19874"/>
    </row>
    <row r="19875" spans="1:2" x14ac:dyDescent="0.25">
      <c r="A19875"/>
      <c r="B19875"/>
    </row>
    <row r="19876" spans="1:2" x14ac:dyDescent="0.25">
      <c r="A19876"/>
      <c r="B19876"/>
    </row>
    <row r="19877" spans="1:2" x14ac:dyDescent="0.25">
      <c r="A19877"/>
      <c r="B19877"/>
    </row>
    <row r="19878" spans="1:2" x14ac:dyDescent="0.25">
      <c r="A19878"/>
      <c r="B19878"/>
    </row>
    <row r="19879" spans="1:2" x14ac:dyDescent="0.25">
      <c r="A19879"/>
      <c r="B19879"/>
    </row>
    <row r="19880" spans="1:2" x14ac:dyDescent="0.25">
      <c r="A19880"/>
      <c r="B19880"/>
    </row>
    <row r="19881" spans="1:2" x14ac:dyDescent="0.25">
      <c r="A19881"/>
      <c r="B19881"/>
    </row>
    <row r="19882" spans="1:2" x14ac:dyDescent="0.25">
      <c r="A19882"/>
      <c r="B19882"/>
    </row>
    <row r="19883" spans="1:2" x14ac:dyDescent="0.25">
      <c r="A19883"/>
      <c r="B19883"/>
    </row>
    <row r="19884" spans="1:2" x14ac:dyDescent="0.25">
      <c r="A19884"/>
      <c r="B19884"/>
    </row>
    <row r="19885" spans="1:2" x14ac:dyDescent="0.25">
      <c r="A19885"/>
      <c r="B19885"/>
    </row>
    <row r="19886" spans="1:2" x14ac:dyDescent="0.25">
      <c r="A19886"/>
      <c r="B19886"/>
    </row>
    <row r="19887" spans="1:2" x14ac:dyDescent="0.25">
      <c r="A19887"/>
      <c r="B19887"/>
    </row>
    <row r="19888" spans="1:2" x14ac:dyDescent="0.25">
      <c r="A19888"/>
      <c r="B19888"/>
    </row>
    <row r="19889" spans="1:2" x14ac:dyDescent="0.25">
      <c r="A19889"/>
      <c r="B19889"/>
    </row>
    <row r="19890" spans="1:2" x14ac:dyDescent="0.25">
      <c r="A19890"/>
      <c r="B19890"/>
    </row>
    <row r="19891" spans="1:2" x14ac:dyDescent="0.25">
      <c r="A19891"/>
      <c r="B19891"/>
    </row>
    <row r="19892" spans="1:2" x14ac:dyDescent="0.25">
      <c r="A19892"/>
      <c r="B19892"/>
    </row>
    <row r="19893" spans="1:2" x14ac:dyDescent="0.25">
      <c r="A19893"/>
      <c r="B19893"/>
    </row>
    <row r="19894" spans="1:2" x14ac:dyDescent="0.25">
      <c r="A19894"/>
      <c r="B19894"/>
    </row>
    <row r="19895" spans="1:2" x14ac:dyDescent="0.25">
      <c r="A19895"/>
      <c r="B19895"/>
    </row>
    <row r="19896" spans="1:2" x14ac:dyDescent="0.25">
      <c r="A19896"/>
      <c r="B19896"/>
    </row>
    <row r="19897" spans="1:2" x14ac:dyDescent="0.25">
      <c r="A19897"/>
      <c r="B19897"/>
    </row>
    <row r="19898" spans="1:2" x14ac:dyDescent="0.25">
      <c r="A19898"/>
      <c r="B19898"/>
    </row>
    <row r="19899" spans="1:2" x14ac:dyDescent="0.25">
      <c r="A19899"/>
      <c r="B19899"/>
    </row>
    <row r="19900" spans="1:2" x14ac:dyDescent="0.25">
      <c r="A19900"/>
      <c r="B19900"/>
    </row>
    <row r="19901" spans="1:2" x14ac:dyDescent="0.25">
      <c r="A19901"/>
      <c r="B19901"/>
    </row>
    <row r="19902" spans="1:2" x14ac:dyDescent="0.25">
      <c r="A19902"/>
      <c r="B19902"/>
    </row>
    <row r="19903" spans="1:2" x14ac:dyDescent="0.25">
      <c r="A19903"/>
      <c r="B19903"/>
    </row>
    <row r="19904" spans="1:2" x14ac:dyDescent="0.25">
      <c r="A19904"/>
      <c r="B19904"/>
    </row>
    <row r="19905" spans="1:2" x14ac:dyDescent="0.25">
      <c r="A19905"/>
      <c r="B19905"/>
    </row>
    <row r="19906" spans="1:2" x14ac:dyDescent="0.25">
      <c r="A19906"/>
      <c r="B19906"/>
    </row>
    <row r="19907" spans="1:2" x14ac:dyDescent="0.25">
      <c r="A19907"/>
      <c r="B19907"/>
    </row>
    <row r="19908" spans="1:2" x14ac:dyDescent="0.25">
      <c r="A19908"/>
      <c r="B19908"/>
    </row>
    <row r="19909" spans="1:2" x14ac:dyDescent="0.25">
      <c r="A19909"/>
      <c r="B19909"/>
    </row>
    <row r="19910" spans="1:2" x14ac:dyDescent="0.25">
      <c r="A19910"/>
      <c r="B19910"/>
    </row>
    <row r="19911" spans="1:2" x14ac:dyDescent="0.25">
      <c r="A19911"/>
      <c r="B19911"/>
    </row>
    <row r="19912" spans="1:2" x14ac:dyDescent="0.25">
      <c r="A19912"/>
      <c r="B19912"/>
    </row>
    <row r="19913" spans="1:2" x14ac:dyDescent="0.25">
      <c r="A19913"/>
      <c r="B19913"/>
    </row>
    <row r="19914" spans="1:2" x14ac:dyDescent="0.25">
      <c r="A19914"/>
      <c r="B19914"/>
    </row>
    <row r="19915" spans="1:2" x14ac:dyDescent="0.25">
      <c r="A19915"/>
      <c r="B19915"/>
    </row>
    <row r="19916" spans="1:2" x14ac:dyDescent="0.25">
      <c r="A19916"/>
      <c r="B19916"/>
    </row>
    <row r="19917" spans="1:2" x14ac:dyDescent="0.25">
      <c r="A19917"/>
      <c r="B19917"/>
    </row>
    <row r="19918" spans="1:2" x14ac:dyDescent="0.25">
      <c r="A19918"/>
      <c r="B19918"/>
    </row>
    <row r="19919" spans="1:2" x14ac:dyDescent="0.25">
      <c r="A19919"/>
      <c r="B19919"/>
    </row>
    <row r="19920" spans="1:2" x14ac:dyDescent="0.25">
      <c r="A19920"/>
      <c r="B19920"/>
    </row>
    <row r="19921" spans="1:2" x14ac:dyDescent="0.25">
      <c r="A19921"/>
      <c r="B19921"/>
    </row>
    <row r="19922" spans="1:2" x14ac:dyDescent="0.25">
      <c r="A19922"/>
      <c r="B19922"/>
    </row>
    <row r="19923" spans="1:2" x14ac:dyDescent="0.25">
      <c r="A19923"/>
      <c r="B19923"/>
    </row>
    <row r="19924" spans="1:2" x14ac:dyDescent="0.25">
      <c r="A19924"/>
      <c r="B19924"/>
    </row>
    <row r="19925" spans="1:2" x14ac:dyDescent="0.25">
      <c r="A19925"/>
      <c r="B19925"/>
    </row>
    <row r="19926" spans="1:2" x14ac:dyDescent="0.25">
      <c r="A19926"/>
      <c r="B19926"/>
    </row>
    <row r="19927" spans="1:2" x14ac:dyDescent="0.25">
      <c r="A19927"/>
      <c r="B19927"/>
    </row>
    <row r="19928" spans="1:2" x14ac:dyDescent="0.25">
      <c r="A19928"/>
      <c r="B19928"/>
    </row>
    <row r="19929" spans="1:2" x14ac:dyDescent="0.25">
      <c r="A19929"/>
      <c r="B19929"/>
    </row>
    <row r="19930" spans="1:2" x14ac:dyDescent="0.25">
      <c r="A19930"/>
      <c r="B19930"/>
    </row>
    <row r="19931" spans="1:2" x14ac:dyDescent="0.25">
      <c r="A19931"/>
      <c r="B19931"/>
    </row>
    <row r="19932" spans="1:2" x14ac:dyDescent="0.25">
      <c r="A19932"/>
      <c r="B19932"/>
    </row>
    <row r="19933" spans="1:2" x14ac:dyDescent="0.25">
      <c r="A19933"/>
      <c r="B19933"/>
    </row>
    <row r="19934" spans="1:2" x14ac:dyDescent="0.25">
      <c r="A19934"/>
      <c r="B19934"/>
    </row>
    <row r="19935" spans="1:2" x14ac:dyDescent="0.25">
      <c r="A19935"/>
      <c r="B19935"/>
    </row>
    <row r="19936" spans="1:2" x14ac:dyDescent="0.25">
      <c r="A19936"/>
      <c r="B19936"/>
    </row>
    <row r="19937" spans="1:2" x14ac:dyDescent="0.25">
      <c r="A19937"/>
      <c r="B19937"/>
    </row>
    <row r="19938" spans="1:2" x14ac:dyDescent="0.25">
      <c r="A19938"/>
      <c r="B19938"/>
    </row>
    <row r="19939" spans="1:2" x14ac:dyDescent="0.25">
      <c r="A19939"/>
      <c r="B19939"/>
    </row>
    <row r="19940" spans="1:2" x14ac:dyDescent="0.25">
      <c r="A19940"/>
      <c r="B19940"/>
    </row>
    <row r="19941" spans="1:2" x14ac:dyDescent="0.25">
      <c r="A19941"/>
      <c r="B19941"/>
    </row>
    <row r="19942" spans="1:2" x14ac:dyDescent="0.25">
      <c r="A19942"/>
      <c r="B19942"/>
    </row>
    <row r="19943" spans="1:2" x14ac:dyDescent="0.25">
      <c r="A19943"/>
      <c r="B19943"/>
    </row>
    <row r="19944" spans="1:2" x14ac:dyDescent="0.25">
      <c r="A19944"/>
      <c r="B19944"/>
    </row>
    <row r="19945" spans="1:2" x14ac:dyDescent="0.25">
      <c r="A19945"/>
      <c r="B19945"/>
    </row>
    <row r="19946" spans="1:2" x14ac:dyDescent="0.25">
      <c r="A19946"/>
      <c r="B19946"/>
    </row>
    <row r="19947" spans="1:2" x14ac:dyDescent="0.25">
      <c r="A19947"/>
      <c r="B19947"/>
    </row>
    <row r="19948" spans="1:2" x14ac:dyDescent="0.25">
      <c r="A19948"/>
      <c r="B19948"/>
    </row>
    <row r="19949" spans="1:2" x14ac:dyDescent="0.25">
      <c r="A19949"/>
      <c r="B19949"/>
    </row>
    <row r="19950" spans="1:2" x14ac:dyDescent="0.25">
      <c r="A19950"/>
      <c r="B19950"/>
    </row>
    <row r="19951" spans="1:2" x14ac:dyDescent="0.25">
      <c r="A19951"/>
      <c r="B19951"/>
    </row>
    <row r="19952" spans="1:2" x14ac:dyDescent="0.25">
      <c r="A19952"/>
      <c r="B19952"/>
    </row>
    <row r="19953" spans="1:2" x14ac:dyDescent="0.25">
      <c r="A19953"/>
      <c r="B19953"/>
    </row>
    <row r="19954" spans="1:2" x14ac:dyDescent="0.25">
      <c r="A19954"/>
      <c r="B19954"/>
    </row>
    <row r="19955" spans="1:2" x14ac:dyDescent="0.25">
      <c r="A19955"/>
      <c r="B19955"/>
    </row>
    <row r="19956" spans="1:2" x14ac:dyDescent="0.25">
      <c r="A19956"/>
      <c r="B19956"/>
    </row>
    <row r="19957" spans="1:2" x14ac:dyDescent="0.25">
      <c r="A19957"/>
      <c r="B19957"/>
    </row>
    <row r="19958" spans="1:2" x14ac:dyDescent="0.25">
      <c r="A19958"/>
      <c r="B19958"/>
    </row>
    <row r="19959" spans="1:2" x14ac:dyDescent="0.25">
      <c r="A19959"/>
      <c r="B19959"/>
    </row>
    <row r="19960" spans="1:2" x14ac:dyDescent="0.25">
      <c r="A19960"/>
      <c r="B19960"/>
    </row>
    <row r="19961" spans="1:2" x14ac:dyDescent="0.25">
      <c r="A19961"/>
      <c r="B19961"/>
    </row>
    <row r="19962" spans="1:2" x14ac:dyDescent="0.25">
      <c r="A19962"/>
      <c r="B19962"/>
    </row>
    <row r="19963" spans="1:2" x14ac:dyDescent="0.25">
      <c r="A19963"/>
      <c r="B19963"/>
    </row>
    <row r="19964" spans="1:2" x14ac:dyDescent="0.25">
      <c r="A19964"/>
      <c r="B19964"/>
    </row>
    <row r="19965" spans="1:2" x14ac:dyDescent="0.25">
      <c r="A19965"/>
      <c r="B19965"/>
    </row>
    <row r="19966" spans="1:2" x14ac:dyDescent="0.25">
      <c r="A19966"/>
      <c r="B19966"/>
    </row>
    <row r="19967" spans="1:2" x14ac:dyDescent="0.25">
      <c r="A19967"/>
      <c r="B19967"/>
    </row>
    <row r="19968" spans="1:2" x14ac:dyDescent="0.25">
      <c r="A19968"/>
      <c r="B19968"/>
    </row>
    <row r="19969" spans="1:2" x14ac:dyDescent="0.25">
      <c r="A19969"/>
      <c r="B19969"/>
    </row>
    <row r="19970" spans="1:2" x14ac:dyDescent="0.25">
      <c r="A19970"/>
      <c r="B19970"/>
    </row>
    <row r="19971" spans="1:2" x14ac:dyDescent="0.25">
      <c r="A19971"/>
      <c r="B19971"/>
    </row>
    <row r="19972" spans="1:2" x14ac:dyDescent="0.25">
      <c r="A19972"/>
      <c r="B19972"/>
    </row>
    <row r="19973" spans="1:2" x14ac:dyDescent="0.25">
      <c r="A19973"/>
      <c r="B19973"/>
    </row>
    <row r="19974" spans="1:2" x14ac:dyDescent="0.25">
      <c r="A19974"/>
      <c r="B19974"/>
    </row>
    <row r="19975" spans="1:2" x14ac:dyDescent="0.25">
      <c r="A19975"/>
      <c r="B19975"/>
    </row>
    <row r="19976" spans="1:2" x14ac:dyDescent="0.25">
      <c r="A19976"/>
      <c r="B19976"/>
    </row>
    <row r="19977" spans="1:2" x14ac:dyDescent="0.25">
      <c r="A19977"/>
      <c r="B19977"/>
    </row>
    <row r="19978" spans="1:2" x14ac:dyDescent="0.25">
      <c r="A19978"/>
      <c r="B19978"/>
    </row>
    <row r="19979" spans="1:2" x14ac:dyDescent="0.25">
      <c r="A19979"/>
      <c r="B19979"/>
    </row>
    <row r="19980" spans="1:2" x14ac:dyDescent="0.25">
      <c r="A19980"/>
      <c r="B19980"/>
    </row>
    <row r="19981" spans="1:2" x14ac:dyDescent="0.25">
      <c r="A19981"/>
      <c r="B19981"/>
    </row>
    <row r="19982" spans="1:2" x14ac:dyDescent="0.25">
      <c r="A19982"/>
      <c r="B19982"/>
    </row>
    <row r="19983" spans="1:2" x14ac:dyDescent="0.25">
      <c r="A19983"/>
      <c r="B19983"/>
    </row>
    <row r="19984" spans="1:2" x14ac:dyDescent="0.25">
      <c r="A19984"/>
      <c r="B19984"/>
    </row>
    <row r="19985" spans="1:2" x14ac:dyDescent="0.25">
      <c r="A19985"/>
      <c r="B19985"/>
    </row>
    <row r="19986" spans="1:2" x14ac:dyDescent="0.25">
      <c r="A19986"/>
      <c r="B19986"/>
    </row>
    <row r="19987" spans="1:2" x14ac:dyDescent="0.25">
      <c r="A19987"/>
      <c r="B19987"/>
    </row>
    <row r="19988" spans="1:2" x14ac:dyDescent="0.25">
      <c r="A19988"/>
      <c r="B19988"/>
    </row>
    <row r="19989" spans="1:2" x14ac:dyDescent="0.25">
      <c r="A19989"/>
      <c r="B19989"/>
    </row>
    <row r="19990" spans="1:2" x14ac:dyDescent="0.25">
      <c r="A19990"/>
      <c r="B19990"/>
    </row>
    <row r="19991" spans="1:2" x14ac:dyDescent="0.25">
      <c r="A19991"/>
      <c r="B19991"/>
    </row>
    <row r="19992" spans="1:2" x14ac:dyDescent="0.25">
      <c r="A19992"/>
      <c r="B19992"/>
    </row>
    <row r="19993" spans="1:2" x14ac:dyDescent="0.25">
      <c r="A19993"/>
      <c r="B19993"/>
    </row>
    <row r="19994" spans="1:2" x14ac:dyDescent="0.25">
      <c r="A19994"/>
      <c r="B19994"/>
    </row>
    <row r="19995" spans="1:2" x14ac:dyDescent="0.25">
      <c r="A19995"/>
      <c r="B19995"/>
    </row>
    <row r="19996" spans="1:2" x14ac:dyDescent="0.25">
      <c r="A19996"/>
      <c r="B19996"/>
    </row>
    <row r="19997" spans="1:2" x14ac:dyDescent="0.25">
      <c r="A19997"/>
      <c r="B19997"/>
    </row>
    <row r="19998" spans="1:2" x14ac:dyDescent="0.25">
      <c r="A19998"/>
      <c r="B19998"/>
    </row>
    <row r="19999" spans="1:2" x14ac:dyDescent="0.25">
      <c r="A19999"/>
      <c r="B19999"/>
    </row>
    <row r="20000" spans="1:2" x14ac:dyDescent="0.25">
      <c r="A20000"/>
      <c r="B20000"/>
    </row>
    <row r="20001" spans="1:2" x14ac:dyDescent="0.25">
      <c r="A20001"/>
      <c r="B20001"/>
    </row>
    <row r="20002" spans="1:2" x14ac:dyDescent="0.25">
      <c r="A20002"/>
      <c r="B20002"/>
    </row>
    <row r="20003" spans="1:2" x14ac:dyDescent="0.25">
      <c r="A20003"/>
      <c r="B20003"/>
    </row>
    <row r="20004" spans="1:2" x14ac:dyDescent="0.25">
      <c r="A20004"/>
      <c r="B20004"/>
    </row>
    <row r="20005" spans="1:2" x14ac:dyDescent="0.25">
      <c r="A20005"/>
      <c r="B20005"/>
    </row>
    <row r="20006" spans="1:2" x14ac:dyDescent="0.25">
      <c r="A20006"/>
      <c r="B20006"/>
    </row>
    <row r="20007" spans="1:2" x14ac:dyDescent="0.25">
      <c r="A20007"/>
      <c r="B20007"/>
    </row>
    <row r="20008" spans="1:2" x14ac:dyDescent="0.25">
      <c r="A20008"/>
      <c r="B20008"/>
    </row>
    <row r="20009" spans="1:2" x14ac:dyDescent="0.25">
      <c r="A20009"/>
      <c r="B20009"/>
    </row>
    <row r="20010" spans="1:2" x14ac:dyDescent="0.25">
      <c r="A20010"/>
      <c r="B20010"/>
    </row>
    <row r="20011" spans="1:2" x14ac:dyDescent="0.25">
      <c r="A20011"/>
      <c r="B20011"/>
    </row>
    <row r="20012" spans="1:2" x14ac:dyDescent="0.25">
      <c r="A20012"/>
      <c r="B20012"/>
    </row>
    <row r="20013" spans="1:2" x14ac:dyDescent="0.25">
      <c r="A20013"/>
      <c r="B20013"/>
    </row>
    <row r="20014" spans="1:2" x14ac:dyDescent="0.25">
      <c r="A20014"/>
      <c r="B20014"/>
    </row>
    <row r="20015" spans="1:2" x14ac:dyDescent="0.25">
      <c r="A20015"/>
      <c r="B20015"/>
    </row>
    <row r="20016" spans="1:2" x14ac:dyDescent="0.25">
      <c r="A20016"/>
      <c r="B20016"/>
    </row>
    <row r="20017" spans="1:2" x14ac:dyDescent="0.25">
      <c r="A20017"/>
      <c r="B20017"/>
    </row>
    <row r="20018" spans="1:2" x14ac:dyDescent="0.25">
      <c r="A20018"/>
      <c r="B20018"/>
    </row>
    <row r="20019" spans="1:2" x14ac:dyDescent="0.25">
      <c r="A20019"/>
      <c r="B20019"/>
    </row>
    <row r="20020" spans="1:2" x14ac:dyDescent="0.25">
      <c r="A20020"/>
      <c r="B20020"/>
    </row>
    <row r="20021" spans="1:2" x14ac:dyDescent="0.25">
      <c r="A20021"/>
      <c r="B20021"/>
    </row>
    <row r="20022" spans="1:2" x14ac:dyDescent="0.25">
      <c r="A20022"/>
      <c r="B20022"/>
    </row>
    <row r="20023" spans="1:2" x14ac:dyDescent="0.25">
      <c r="A20023"/>
      <c r="B20023"/>
    </row>
    <row r="20024" spans="1:2" x14ac:dyDescent="0.25">
      <c r="A20024"/>
      <c r="B20024"/>
    </row>
    <row r="20025" spans="1:2" x14ac:dyDescent="0.25">
      <c r="A20025"/>
      <c r="B20025"/>
    </row>
    <row r="20026" spans="1:2" x14ac:dyDescent="0.25">
      <c r="A20026"/>
      <c r="B20026"/>
    </row>
    <row r="20027" spans="1:2" x14ac:dyDescent="0.25">
      <c r="A20027"/>
      <c r="B20027"/>
    </row>
    <row r="20028" spans="1:2" x14ac:dyDescent="0.25">
      <c r="A20028"/>
      <c r="B20028"/>
    </row>
    <row r="20029" spans="1:2" x14ac:dyDescent="0.25">
      <c r="A20029"/>
      <c r="B20029"/>
    </row>
    <row r="20030" spans="1:2" x14ac:dyDescent="0.25">
      <c r="A20030"/>
      <c r="B20030"/>
    </row>
    <row r="20031" spans="1:2" x14ac:dyDescent="0.25">
      <c r="A20031"/>
      <c r="B20031"/>
    </row>
    <row r="20032" spans="1:2" x14ac:dyDescent="0.25">
      <c r="A20032"/>
      <c r="B20032"/>
    </row>
    <row r="20033" spans="1:2" x14ac:dyDescent="0.25">
      <c r="A20033"/>
      <c r="B20033"/>
    </row>
    <row r="20034" spans="1:2" x14ac:dyDescent="0.25">
      <c r="A20034"/>
      <c r="B20034"/>
    </row>
    <row r="20035" spans="1:2" x14ac:dyDescent="0.25">
      <c r="A20035"/>
      <c r="B20035"/>
    </row>
    <row r="20036" spans="1:2" x14ac:dyDescent="0.25">
      <c r="A20036"/>
      <c r="B20036"/>
    </row>
    <row r="20037" spans="1:2" x14ac:dyDescent="0.25">
      <c r="A20037"/>
      <c r="B20037"/>
    </row>
    <row r="20038" spans="1:2" x14ac:dyDescent="0.25">
      <c r="A20038"/>
      <c r="B20038"/>
    </row>
    <row r="20039" spans="1:2" x14ac:dyDescent="0.25">
      <c r="A20039"/>
      <c r="B20039"/>
    </row>
    <row r="20040" spans="1:2" x14ac:dyDescent="0.25">
      <c r="A20040"/>
      <c r="B20040"/>
    </row>
    <row r="20041" spans="1:2" x14ac:dyDescent="0.25">
      <c r="A20041"/>
      <c r="B20041"/>
    </row>
    <row r="20042" spans="1:2" x14ac:dyDescent="0.25">
      <c r="A20042"/>
      <c r="B20042"/>
    </row>
    <row r="20043" spans="1:2" x14ac:dyDescent="0.25">
      <c r="A20043"/>
      <c r="B20043"/>
    </row>
    <row r="20044" spans="1:2" x14ac:dyDescent="0.25">
      <c r="A20044"/>
      <c r="B20044"/>
    </row>
    <row r="20045" spans="1:2" x14ac:dyDescent="0.25">
      <c r="A20045"/>
      <c r="B20045"/>
    </row>
    <row r="20046" spans="1:2" x14ac:dyDescent="0.25">
      <c r="A20046"/>
      <c r="B20046"/>
    </row>
    <row r="20047" spans="1:2" x14ac:dyDescent="0.25">
      <c r="A20047"/>
      <c r="B20047"/>
    </row>
    <row r="20048" spans="1:2" x14ac:dyDescent="0.25">
      <c r="A20048"/>
      <c r="B20048"/>
    </row>
    <row r="20049" spans="1:2" x14ac:dyDescent="0.25">
      <c r="A20049"/>
      <c r="B20049"/>
    </row>
    <row r="20050" spans="1:2" x14ac:dyDescent="0.25">
      <c r="A20050"/>
      <c r="B20050"/>
    </row>
    <row r="20051" spans="1:2" x14ac:dyDescent="0.25">
      <c r="A20051"/>
      <c r="B20051"/>
    </row>
    <row r="20052" spans="1:2" x14ac:dyDescent="0.25">
      <c r="A20052"/>
      <c r="B20052"/>
    </row>
    <row r="20053" spans="1:2" x14ac:dyDescent="0.25">
      <c r="A20053"/>
      <c r="B20053"/>
    </row>
    <row r="20054" spans="1:2" x14ac:dyDescent="0.25">
      <c r="A20054"/>
      <c r="B20054"/>
    </row>
    <row r="20055" spans="1:2" x14ac:dyDescent="0.25">
      <c r="A20055"/>
      <c r="B20055"/>
    </row>
    <row r="20056" spans="1:2" x14ac:dyDescent="0.25">
      <c r="A20056"/>
      <c r="B20056"/>
    </row>
    <row r="20057" spans="1:2" x14ac:dyDescent="0.25">
      <c r="A20057"/>
      <c r="B20057"/>
    </row>
    <row r="20058" spans="1:2" x14ac:dyDescent="0.25">
      <c r="A20058"/>
      <c r="B20058"/>
    </row>
    <row r="20059" spans="1:2" x14ac:dyDescent="0.25">
      <c r="A20059"/>
      <c r="B20059"/>
    </row>
    <row r="20060" spans="1:2" x14ac:dyDescent="0.25">
      <c r="A20060"/>
      <c r="B20060"/>
    </row>
    <row r="20061" spans="1:2" x14ac:dyDescent="0.25">
      <c r="A20061"/>
      <c r="B20061"/>
    </row>
    <row r="20062" spans="1:2" x14ac:dyDescent="0.25">
      <c r="A20062"/>
      <c r="B20062"/>
    </row>
    <row r="20063" spans="1:2" x14ac:dyDescent="0.25">
      <c r="A20063"/>
      <c r="B20063"/>
    </row>
    <row r="20064" spans="1:2" x14ac:dyDescent="0.25">
      <c r="A20064"/>
      <c r="B20064"/>
    </row>
    <row r="20065" spans="1:2" x14ac:dyDescent="0.25">
      <c r="A20065"/>
      <c r="B20065"/>
    </row>
    <row r="20066" spans="1:2" x14ac:dyDescent="0.25">
      <c r="A20066"/>
      <c r="B20066"/>
    </row>
    <row r="20067" spans="1:2" x14ac:dyDescent="0.25">
      <c r="A20067"/>
      <c r="B20067"/>
    </row>
    <row r="20068" spans="1:2" x14ac:dyDescent="0.25">
      <c r="A20068"/>
      <c r="B20068"/>
    </row>
    <row r="20069" spans="1:2" x14ac:dyDescent="0.25">
      <c r="A20069"/>
      <c r="B20069"/>
    </row>
    <row r="20070" spans="1:2" x14ac:dyDescent="0.25">
      <c r="A20070"/>
      <c r="B20070"/>
    </row>
    <row r="20071" spans="1:2" x14ac:dyDescent="0.25">
      <c r="A20071"/>
      <c r="B20071"/>
    </row>
    <row r="20072" spans="1:2" x14ac:dyDescent="0.25">
      <c r="A20072"/>
      <c r="B20072"/>
    </row>
    <row r="20073" spans="1:2" x14ac:dyDescent="0.25">
      <c r="A20073"/>
      <c r="B20073"/>
    </row>
    <row r="20074" spans="1:2" x14ac:dyDescent="0.25">
      <c r="A20074"/>
      <c r="B20074"/>
    </row>
    <row r="20075" spans="1:2" x14ac:dyDescent="0.25">
      <c r="A20075"/>
      <c r="B20075"/>
    </row>
    <row r="20076" spans="1:2" x14ac:dyDescent="0.25">
      <c r="A20076"/>
      <c r="B20076"/>
    </row>
    <row r="20077" spans="1:2" x14ac:dyDescent="0.25">
      <c r="A20077"/>
      <c r="B20077"/>
    </row>
    <row r="20078" spans="1:2" x14ac:dyDescent="0.25">
      <c r="A20078"/>
      <c r="B20078"/>
    </row>
    <row r="20079" spans="1:2" x14ac:dyDescent="0.25">
      <c r="A20079"/>
      <c r="B20079"/>
    </row>
    <row r="20080" spans="1:2" x14ac:dyDescent="0.25">
      <c r="A20080"/>
      <c r="B20080"/>
    </row>
    <row r="20081" spans="1:2" x14ac:dyDescent="0.25">
      <c r="A20081"/>
      <c r="B20081"/>
    </row>
    <row r="20082" spans="1:2" x14ac:dyDescent="0.25">
      <c r="A20082"/>
      <c r="B20082"/>
    </row>
    <row r="20083" spans="1:2" x14ac:dyDescent="0.25">
      <c r="A20083"/>
      <c r="B20083"/>
    </row>
    <row r="20084" spans="1:2" x14ac:dyDescent="0.25">
      <c r="A20084"/>
      <c r="B20084"/>
    </row>
    <row r="20085" spans="1:2" x14ac:dyDescent="0.25">
      <c r="A20085"/>
      <c r="B20085"/>
    </row>
    <row r="20086" spans="1:2" x14ac:dyDescent="0.25">
      <c r="A20086"/>
      <c r="B20086"/>
    </row>
    <row r="20087" spans="1:2" x14ac:dyDescent="0.25">
      <c r="A20087"/>
      <c r="B20087"/>
    </row>
    <row r="20088" spans="1:2" x14ac:dyDescent="0.25">
      <c r="A20088"/>
      <c r="B20088"/>
    </row>
    <row r="20089" spans="1:2" x14ac:dyDescent="0.25">
      <c r="A20089"/>
      <c r="B20089"/>
    </row>
    <row r="20090" spans="1:2" x14ac:dyDescent="0.25">
      <c r="A20090"/>
      <c r="B20090"/>
    </row>
    <row r="20091" spans="1:2" x14ac:dyDescent="0.25">
      <c r="A20091"/>
      <c r="B20091"/>
    </row>
    <row r="20092" spans="1:2" x14ac:dyDescent="0.25">
      <c r="A20092"/>
      <c r="B20092"/>
    </row>
    <row r="20093" spans="1:2" x14ac:dyDescent="0.25">
      <c r="A20093"/>
      <c r="B20093"/>
    </row>
    <row r="20094" spans="1:2" x14ac:dyDescent="0.25">
      <c r="A20094"/>
      <c r="B20094"/>
    </row>
    <row r="20095" spans="1:2" x14ac:dyDescent="0.25">
      <c r="A20095"/>
      <c r="B20095"/>
    </row>
    <row r="20096" spans="1:2" x14ac:dyDescent="0.25">
      <c r="A20096"/>
      <c r="B20096"/>
    </row>
    <row r="20097" spans="1:2" x14ac:dyDescent="0.25">
      <c r="A20097"/>
      <c r="B20097"/>
    </row>
    <row r="20098" spans="1:2" x14ac:dyDescent="0.25">
      <c r="A20098"/>
      <c r="B20098"/>
    </row>
    <row r="20099" spans="1:2" x14ac:dyDescent="0.25">
      <c r="A20099"/>
      <c r="B20099"/>
    </row>
    <row r="20100" spans="1:2" x14ac:dyDescent="0.25">
      <c r="A20100"/>
      <c r="B20100"/>
    </row>
    <row r="20101" spans="1:2" x14ac:dyDescent="0.25">
      <c r="A20101"/>
      <c r="B20101"/>
    </row>
    <row r="20102" spans="1:2" x14ac:dyDescent="0.25">
      <c r="A20102"/>
      <c r="B20102"/>
    </row>
    <row r="20103" spans="1:2" x14ac:dyDescent="0.25">
      <c r="A20103"/>
      <c r="B20103"/>
    </row>
    <row r="20104" spans="1:2" x14ac:dyDescent="0.25">
      <c r="A20104"/>
      <c r="B20104"/>
    </row>
    <row r="20105" spans="1:2" x14ac:dyDescent="0.25">
      <c r="A20105"/>
      <c r="B20105"/>
    </row>
    <row r="20106" spans="1:2" x14ac:dyDescent="0.25">
      <c r="A20106"/>
      <c r="B20106"/>
    </row>
    <row r="20107" spans="1:2" x14ac:dyDescent="0.25">
      <c r="A20107"/>
      <c r="B20107"/>
    </row>
    <row r="20108" spans="1:2" x14ac:dyDescent="0.25">
      <c r="A20108"/>
      <c r="B20108"/>
    </row>
    <row r="20109" spans="1:2" x14ac:dyDescent="0.25">
      <c r="A20109"/>
      <c r="B20109"/>
    </row>
    <row r="20110" spans="1:2" x14ac:dyDescent="0.25">
      <c r="A20110"/>
      <c r="B20110"/>
    </row>
    <row r="20111" spans="1:2" x14ac:dyDescent="0.25">
      <c r="A20111"/>
      <c r="B20111"/>
    </row>
    <row r="20112" spans="1:2" x14ac:dyDescent="0.25">
      <c r="A20112"/>
      <c r="B20112"/>
    </row>
    <row r="20113" spans="1:2" x14ac:dyDescent="0.25">
      <c r="A20113"/>
      <c r="B20113"/>
    </row>
    <row r="20114" spans="1:2" x14ac:dyDescent="0.25">
      <c r="A20114"/>
      <c r="B20114"/>
    </row>
    <row r="20115" spans="1:2" x14ac:dyDescent="0.25">
      <c r="A20115"/>
      <c r="B20115"/>
    </row>
    <row r="20116" spans="1:2" x14ac:dyDescent="0.25">
      <c r="A20116"/>
      <c r="B20116"/>
    </row>
    <row r="20117" spans="1:2" x14ac:dyDescent="0.25">
      <c r="A20117"/>
      <c r="B20117"/>
    </row>
    <row r="20118" spans="1:2" x14ac:dyDescent="0.25">
      <c r="A20118"/>
      <c r="B20118"/>
    </row>
    <row r="20119" spans="1:2" x14ac:dyDescent="0.25">
      <c r="A20119"/>
      <c r="B20119"/>
    </row>
    <row r="20120" spans="1:2" x14ac:dyDescent="0.25">
      <c r="A20120"/>
      <c r="B20120"/>
    </row>
    <row r="20121" spans="1:2" x14ac:dyDescent="0.25">
      <c r="A20121"/>
      <c r="B20121"/>
    </row>
    <row r="20122" spans="1:2" x14ac:dyDescent="0.25">
      <c r="A20122"/>
      <c r="B20122"/>
    </row>
    <row r="20123" spans="1:2" x14ac:dyDescent="0.25">
      <c r="A20123"/>
      <c r="B20123"/>
    </row>
    <row r="20124" spans="1:2" x14ac:dyDescent="0.25">
      <c r="A20124"/>
      <c r="B20124"/>
    </row>
    <row r="20125" spans="1:2" x14ac:dyDescent="0.25">
      <c r="A20125"/>
      <c r="B20125"/>
    </row>
    <row r="20126" spans="1:2" x14ac:dyDescent="0.25">
      <c r="A20126"/>
      <c r="B20126"/>
    </row>
    <row r="20127" spans="1:2" x14ac:dyDescent="0.25">
      <c r="A20127"/>
      <c r="B20127"/>
    </row>
    <row r="20128" spans="1:2" x14ac:dyDescent="0.25">
      <c r="A20128"/>
      <c r="B20128"/>
    </row>
    <row r="20129" spans="1:2" x14ac:dyDescent="0.25">
      <c r="A20129"/>
      <c r="B20129"/>
    </row>
    <row r="20130" spans="1:2" x14ac:dyDescent="0.25">
      <c r="A20130"/>
      <c r="B20130"/>
    </row>
    <row r="20131" spans="1:2" x14ac:dyDescent="0.25">
      <c r="A20131"/>
      <c r="B20131"/>
    </row>
    <row r="20132" spans="1:2" x14ac:dyDescent="0.25">
      <c r="A20132"/>
      <c r="B20132"/>
    </row>
    <row r="20133" spans="1:2" x14ac:dyDescent="0.25">
      <c r="A20133"/>
      <c r="B20133"/>
    </row>
    <row r="20134" spans="1:2" x14ac:dyDescent="0.25">
      <c r="A20134"/>
      <c r="B20134"/>
    </row>
    <row r="20135" spans="1:2" x14ac:dyDescent="0.25">
      <c r="A20135"/>
      <c r="B20135"/>
    </row>
    <row r="20136" spans="1:2" x14ac:dyDescent="0.25">
      <c r="A20136"/>
      <c r="B20136"/>
    </row>
    <row r="20137" spans="1:2" x14ac:dyDescent="0.25">
      <c r="A20137"/>
      <c r="B20137"/>
    </row>
    <row r="20138" spans="1:2" x14ac:dyDescent="0.25">
      <c r="A20138"/>
      <c r="B20138"/>
    </row>
    <row r="20139" spans="1:2" x14ac:dyDescent="0.25">
      <c r="A20139"/>
      <c r="B20139"/>
    </row>
    <row r="20140" spans="1:2" x14ac:dyDescent="0.25">
      <c r="A20140"/>
      <c r="B20140"/>
    </row>
    <row r="20141" spans="1:2" x14ac:dyDescent="0.25">
      <c r="A20141"/>
      <c r="B20141"/>
    </row>
    <row r="20142" spans="1:2" x14ac:dyDescent="0.25">
      <c r="A20142"/>
      <c r="B20142"/>
    </row>
    <row r="20143" spans="1:2" x14ac:dyDescent="0.25">
      <c r="A20143"/>
      <c r="B20143"/>
    </row>
    <row r="20144" spans="1:2" x14ac:dyDescent="0.25">
      <c r="A20144"/>
      <c r="B20144"/>
    </row>
    <row r="20145" spans="1:2" x14ac:dyDescent="0.25">
      <c r="A20145"/>
      <c r="B20145"/>
    </row>
    <row r="20146" spans="1:2" x14ac:dyDescent="0.25">
      <c r="A20146"/>
      <c r="B20146"/>
    </row>
    <row r="20147" spans="1:2" x14ac:dyDescent="0.25">
      <c r="A20147"/>
      <c r="B20147"/>
    </row>
    <row r="20148" spans="1:2" x14ac:dyDescent="0.25">
      <c r="A20148"/>
      <c r="B20148"/>
    </row>
    <row r="20149" spans="1:2" x14ac:dyDescent="0.25">
      <c r="A20149"/>
      <c r="B20149"/>
    </row>
    <row r="20150" spans="1:2" x14ac:dyDescent="0.25">
      <c r="A20150"/>
      <c r="B20150"/>
    </row>
    <row r="20151" spans="1:2" x14ac:dyDescent="0.25">
      <c r="A20151"/>
      <c r="B20151"/>
    </row>
    <row r="20152" spans="1:2" x14ac:dyDescent="0.25">
      <c r="A20152"/>
      <c r="B20152"/>
    </row>
    <row r="20153" spans="1:2" x14ac:dyDescent="0.25">
      <c r="A20153"/>
      <c r="B20153"/>
    </row>
    <row r="20154" spans="1:2" x14ac:dyDescent="0.25">
      <c r="A20154"/>
      <c r="B20154"/>
    </row>
    <row r="20155" spans="1:2" x14ac:dyDescent="0.25">
      <c r="A20155"/>
      <c r="B20155"/>
    </row>
    <row r="20156" spans="1:2" x14ac:dyDescent="0.25">
      <c r="A20156"/>
      <c r="B20156"/>
    </row>
    <row r="20157" spans="1:2" x14ac:dyDescent="0.25">
      <c r="A20157"/>
      <c r="B20157"/>
    </row>
    <row r="20158" spans="1:2" x14ac:dyDescent="0.25">
      <c r="A20158"/>
      <c r="B20158"/>
    </row>
    <row r="20159" spans="1:2" x14ac:dyDescent="0.25">
      <c r="A20159"/>
      <c r="B20159"/>
    </row>
    <row r="20160" spans="1:2" x14ac:dyDescent="0.25">
      <c r="A20160"/>
      <c r="B20160"/>
    </row>
    <row r="20161" spans="1:2" x14ac:dyDescent="0.25">
      <c r="A20161"/>
      <c r="B20161"/>
    </row>
    <row r="20162" spans="1:2" x14ac:dyDescent="0.25">
      <c r="A20162"/>
      <c r="B20162"/>
    </row>
    <row r="20163" spans="1:2" x14ac:dyDescent="0.25">
      <c r="A20163"/>
      <c r="B20163"/>
    </row>
    <row r="20164" spans="1:2" x14ac:dyDescent="0.25">
      <c r="A20164"/>
      <c r="B20164"/>
    </row>
    <row r="20165" spans="1:2" x14ac:dyDescent="0.25">
      <c r="A20165"/>
      <c r="B20165"/>
    </row>
    <row r="20166" spans="1:2" x14ac:dyDescent="0.25">
      <c r="A20166"/>
      <c r="B20166"/>
    </row>
    <row r="20167" spans="1:2" x14ac:dyDescent="0.25">
      <c r="A20167"/>
      <c r="B20167"/>
    </row>
    <row r="20168" spans="1:2" x14ac:dyDescent="0.25">
      <c r="A20168"/>
      <c r="B20168"/>
    </row>
    <row r="20169" spans="1:2" x14ac:dyDescent="0.25">
      <c r="A20169"/>
      <c r="B20169"/>
    </row>
    <row r="20170" spans="1:2" x14ac:dyDescent="0.25">
      <c r="A20170"/>
      <c r="B20170"/>
    </row>
    <row r="20171" spans="1:2" x14ac:dyDescent="0.25">
      <c r="A20171"/>
      <c r="B20171"/>
    </row>
    <row r="20172" spans="1:2" x14ac:dyDescent="0.25">
      <c r="A20172"/>
      <c r="B20172"/>
    </row>
    <row r="20173" spans="1:2" x14ac:dyDescent="0.25">
      <c r="A20173"/>
      <c r="B20173"/>
    </row>
    <row r="20174" spans="1:2" x14ac:dyDescent="0.25">
      <c r="A20174"/>
      <c r="B20174"/>
    </row>
    <row r="20175" spans="1:2" x14ac:dyDescent="0.25">
      <c r="A20175"/>
      <c r="B20175"/>
    </row>
    <row r="20176" spans="1:2" x14ac:dyDescent="0.25">
      <c r="A20176"/>
      <c r="B20176"/>
    </row>
    <row r="20177" spans="1:2" x14ac:dyDescent="0.25">
      <c r="A20177"/>
      <c r="B20177"/>
    </row>
    <row r="20178" spans="1:2" x14ac:dyDescent="0.25">
      <c r="A20178"/>
      <c r="B20178"/>
    </row>
    <row r="20179" spans="1:2" x14ac:dyDescent="0.25">
      <c r="A20179"/>
      <c r="B20179"/>
    </row>
    <row r="20180" spans="1:2" x14ac:dyDescent="0.25">
      <c r="A20180"/>
      <c r="B20180"/>
    </row>
    <row r="20181" spans="1:2" x14ac:dyDescent="0.25">
      <c r="A20181"/>
      <c r="B20181"/>
    </row>
    <row r="20182" spans="1:2" x14ac:dyDescent="0.25">
      <c r="A20182"/>
      <c r="B20182"/>
    </row>
    <row r="20183" spans="1:2" x14ac:dyDescent="0.25">
      <c r="A20183"/>
      <c r="B20183"/>
    </row>
    <row r="20184" spans="1:2" x14ac:dyDescent="0.25">
      <c r="A20184"/>
      <c r="B20184"/>
    </row>
    <row r="20185" spans="1:2" x14ac:dyDescent="0.25">
      <c r="A20185"/>
      <c r="B20185"/>
    </row>
    <row r="20186" spans="1:2" x14ac:dyDescent="0.25">
      <c r="A20186"/>
      <c r="B20186"/>
    </row>
    <row r="20187" spans="1:2" x14ac:dyDescent="0.25">
      <c r="A20187"/>
      <c r="B20187"/>
    </row>
    <row r="20188" spans="1:2" x14ac:dyDescent="0.25">
      <c r="A20188"/>
      <c r="B20188"/>
    </row>
    <row r="20189" spans="1:2" x14ac:dyDescent="0.25">
      <c r="A20189"/>
      <c r="B20189"/>
    </row>
    <row r="20190" spans="1:2" x14ac:dyDescent="0.25">
      <c r="A20190"/>
      <c r="B20190"/>
    </row>
    <row r="20191" spans="1:2" x14ac:dyDescent="0.25">
      <c r="A20191"/>
      <c r="B20191"/>
    </row>
    <row r="20192" spans="1:2" x14ac:dyDescent="0.25">
      <c r="A20192"/>
      <c r="B20192"/>
    </row>
    <row r="20193" spans="1:2" x14ac:dyDescent="0.25">
      <c r="A20193"/>
      <c r="B20193"/>
    </row>
    <row r="20194" spans="1:2" x14ac:dyDescent="0.25">
      <c r="A20194"/>
      <c r="B20194"/>
    </row>
    <row r="20195" spans="1:2" x14ac:dyDescent="0.25">
      <c r="A20195"/>
      <c r="B20195"/>
    </row>
    <row r="20196" spans="1:2" x14ac:dyDescent="0.25">
      <c r="A20196"/>
      <c r="B20196"/>
    </row>
    <row r="20197" spans="1:2" x14ac:dyDescent="0.25">
      <c r="A20197"/>
      <c r="B20197"/>
    </row>
    <row r="20198" spans="1:2" x14ac:dyDescent="0.25">
      <c r="A20198"/>
      <c r="B20198"/>
    </row>
    <row r="20199" spans="1:2" x14ac:dyDescent="0.25">
      <c r="A20199"/>
      <c r="B20199"/>
    </row>
    <row r="20200" spans="1:2" x14ac:dyDescent="0.25">
      <c r="A20200"/>
      <c r="B20200"/>
    </row>
    <row r="20201" spans="1:2" x14ac:dyDescent="0.25">
      <c r="A20201"/>
      <c r="B20201"/>
    </row>
    <row r="20202" spans="1:2" x14ac:dyDescent="0.25">
      <c r="A20202"/>
      <c r="B20202"/>
    </row>
    <row r="20203" spans="1:2" x14ac:dyDescent="0.25">
      <c r="A20203"/>
      <c r="B20203"/>
    </row>
    <row r="20204" spans="1:2" x14ac:dyDescent="0.25">
      <c r="A20204"/>
      <c r="B20204"/>
    </row>
    <row r="20205" spans="1:2" x14ac:dyDescent="0.25">
      <c r="A20205"/>
      <c r="B20205"/>
    </row>
    <row r="20206" spans="1:2" x14ac:dyDescent="0.25">
      <c r="A20206"/>
      <c r="B20206"/>
    </row>
    <row r="20207" spans="1:2" x14ac:dyDescent="0.25">
      <c r="A20207"/>
      <c r="B20207"/>
    </row>
    <row r="20208" spans="1:2" x14ac:dyDescent="0.25">
      <c r="A20208"/>
      <c r="B20208"/>
    </row>
    <row r="20209" spans="1:2" x14ac:dyDescent="0.25">
      <c r="A20209"/>
      <c r="B20209"/>
    </row>
    <row r="20210" spans="1:2" x14ac:dyDescent="0.25">
      <c r="A20210"/>
      <c r="B20210"/>
    </row>
    <row r="20211" spans="1:2" x14ac:dyDescent="0.25">
      <c r="A20211"/>
      <c r="B20211"/>
    </row>
    <row r="20212" spans="1:2" x14ac:dyDescent="0.25">
      <c r="A20212"/>
      <c r="B20212"/>
    </row>
    <row r="20213" spans="1:2" x14ac:dyDescent="0.25">
      <c r="A20213"/>
      <c r="B20213"/>
    </row>
    <row r="20214" spans="1:2" x14ac:dyDescent="0.25">
      <c r="A20214"/>
      <c r="B20214"/>
    </row>
    <row r="20215" spans="1:2" x14ac:dyDescent="0.25">
      <c r="A20215"/>
      <c r="B20215"/>
    </row>
    <row r="20216" spans="1:2" x14ac:dyDescent="0.25">
      <c r="A20216"/>
      <c r="B20216"/>
    </row>
    <row r="20217" spans="1:2" x14ac:dyDescent="0.25">
      <c r="A20217"/>
      <c r="B20217"/>
    </row>
    <row r="20218" spans="1:2" x14ac:dyDescent="0.25">
      <c r="A20218"/>
      <c r="B20218"/>
    </row>
    <row r="20219" spans="1:2" x14ac:dyDescent="0.25">
      <c r="A20219"/>
      <c r="B20219"/>
    </row>
    <row r="20220" spans="1:2" x14ac:dyDescent="0.25">
      <c r="A20220"/>
      <c r="B20220"/>
    </row>
    <row r="20221" spans="1:2" x14ac:dyDescent="0.25">
      <c r="A20221"/>
      <c r="B20221"/>
    </row>
    <row r="20222" spans="1:2" x14ac:dyDescent="0.25">
      <c r="A20222"/>
      <c r="B20222"/>
    </row>
    <row r="20223" spans="1:2" x14ac:dyDescent="0.25">
      <c r="A20223"/>
      <c r="B20223"/>
    </row>
    <row r="20224" spans="1:2" x14ac:dyDescent="0.25">
      <c r="A20224"/>
      <c r="B20224"/>
    </row>
    <row r="20225" spans="1:2" x14ac:dyDescent="0.25">
      <c r="A20225"/>
      <c r="B20225"/>
    </row>
    <row r="20226" spans="1:2" x14ac:dyDescent="0.25">
      <c r="A20226"/>
      <c r="B20226"/>
    </row>
    <row r="20227" spans="1:2" x14ac:dyDescent="0.25">
      <c r="A20227"/>
      <c r="B20227"/>
    </row>
    <row r="20228" spans="1:2" x14ac:dyDescent="0.25">
      <c r="A20228"/>
      <c r="B20228"/>
    </row>
    <row r="20229" spans="1:2" x14ac:dyDescent="0.25">
      <c r="A20229"/>
      <c r="B20229"/>
    </row>
    <row r="20230" spans="1:2" x14ac:dyDescent="0.25">
      <c r="A20230"/>
      <c r="B20230"/>
    </row>
    <row r="20231" spans="1:2" x14ac:dyDescent="0.25">
      <c r="A20231"/>
      <c r="B20231"/>
    </row>
    <row r="20232" spans="1:2" x14ac:dyDescent="0.25">
      <c r="A20232"/>
      <c r="B20232"/>
    </row>
    <row r="20233" spans="1:2" x14ac:dyDescent="0.25">
      <c r="A20233"/>
      <c r="B20233"/>
    </row>
    <row r="20234" spans="1:2" x14ac:dyDescent="0.25">
      <c r="A20234"/>
      <c r="B20234"/>
    </row>
    <row r="20235" spans="1:2" x14ac:dyDescent="0.25">
      <c r="A20235"/>
      <c r="B20235"/>
    </row>
    <row r="20236" spans="1:2" x14ac:dyDescent="0.25">
      <c r="A20236"/>
      <c r="B20236"/>
    </row>
    <row r="20237" spans="1:2" x14ac:dyDescent="0.25">
      <c r="A20237"/>
      <c r="B20237"/>
    </row>
    <row r="20238" spans="1:2" x14ac:dyDescent="0.25">
      <c r="A20238"/>
      <c r="B20238"/>
    </row>
    <row r="20239" spans="1:2" x14ac:dyDescent="0.25">
      <c r="A20239"/>
      <c r="B20239"/>
    </row>
    <row r="20240" spans="1:2" x14ac:dyDescent="0.25">
      <c r="A20240"/>
      <c r="B20240"/>
    </row>
    <row r="20241" spans="1:2" x14ac:dyDescent="0.25">
      <c r="A20241"/>
      <c r="B20241"/>
    </row>
    <row r="20242" spans="1:2" x14ac:dyDescent="0.25">
      <c r="A20242"/>
      <c r="B20242"/>
    </row>
    <row r="20243" spans="1:2" x14ac:dyDescent="0.25">
      <c r="A20243"/>
      <c r="B20243"/>
    </row>
    <row r="20244" spans="1:2" x14ac:dyDescent="0.25">
      <c r="A20244"/>
      <c r="B20244"/>
    </row>
    <row r="20245" spans="1:2" x14ac:dyDescent="0.25">
      <c r="A20245"/>
      <c r="B20245"/>
    </row>
    <row r="20246" spans="1:2" x14ac:dyDescent="0.25">
      <c r="A20246"/>
      <c r="B20246"/>
    </row>
    <row r="20247" spans="1:2" x14ac:dyDescent="0.25">
      <c r="A20247"/>
      <c r="B20247"/>
    </row>
    <row r="20248" spans="1:2" x14ac:dyDescent="0.25">
      <c r="A20248"/>
      <c r="B20248"/>
    </row>
    <row r="20249" spans="1:2" x14ac:dyDescent="0.25">
      <c r="A20249"/>
      <c r="B20249"/>
    </row>
    <row r="20250" spans="1:2" x14ac:dyDescent="0.25">
      <c r="A20250"/>
      <c r="B20250"/>
    </row>
    <row r="20251" spans="1:2" x14ac:dyDescent="0.25">
      <c r="A20251"/>
      <c r="B20251"/>
    </row>
    <row r="20252" spans="1:2" x14ac:dyDescent="0.25">
      <c r="A20252"/>
      <c r="B20252"/>
    </row>
    <row r="20253" spans="1:2" x14ac:dyDescent="0.25">
      <c r="A20253"/>
      <c r="B20253"/>
    </row>
    <row r="20254" spans="1:2" x14ac:dyDescent="0.25">
      <c r="A20254"/>
      <c r="B20254"/>
    </row>
    <row r="20255" spans="1:2" x14ac:dyDescent="0.25">
      <c r="A20255"/>
      <c r="B20255"/>
    </row>
    <row r="20256" spans="1:2" x14ac:dyDescent="0.25">
      <c r="A20256"/>
      <c r="B20256"/>
    </row>
    <row r="20257" spans="1:2" x14ac:dyDescent="0.25">
      <c r="A20257"/>
      <c r="B20257"/>
    </row>
    <row r="20258" spans="1:2" x14ac:dyDescent="0.25">
      <c r="A20258"/>
      <c r="B20258"/>
    </row>
    <row r="20259" spans="1:2" x14ac:dyDescent="0.25">
      <c r="A20259"/>
      <c r="B20259"/>
    </row>
    <row r="20260" spans="1:2" x14ac:dyDescent="0.25">
      <c r="A20260"/>
      <c r="B20260"/>
    </row>
    <row r="20261" spans="1:2" x14ac:dyDescent="0.25">
      <c r="A20261"/>
      <c r="B20261"/>
    </row>
    <row r="20262" spans="1:2" x14ac:dyDescent="0.25">
      <c r="A20262"/>
      <c r="B20262"/>
    </row>
    <row r="20263" spans="1:2" x14ac:dyDescent="0.25">
      <c r="A20263"/>
      <c r="B20263"/>
    </row>
    <row r="20264" spans="1:2" x14ac:dyDescent="0.25">
      <c r="A20264"/>
      <c r="B20264"/>
    </row>
    <row r="20265" spans="1:2" x14ac:dyDescent="0.25">
      <c r="A20265"/>
      <c r="B20265"/>
    </row>
    <row r="20266" spans="1:2" x14ac:dyDescent="0.25">
      <c r="A20266"/>
      <c r="B20266"/>
    </row>
    <row r="20267" spans="1:2" x14ac:dyDescent="0.25">
      <c r="A20267"/>
      <c r="B20267"/>
    </row>
    <row r="20268" spans="1:2" x14ac:dyDescent="0.25">
      <c r="A20268"/>
      <c r="B20268"/>
    </row>
    <row r="20269" spans="1:2" x14ac:dyDescent="0.25">
      <c r="A20269"/>
      <c r="B20269"/>
    </row>
    <row r="20270" spans="1:2" x14ac:dyDescent="0.25">
      <c r="A20270"/>
      <c r="B20270"/>
    </row>
    <row r="20271" spans="1:2" x14ac:dyDescent="0.25">
      <c r="A20271"/>
      <c r="B20271"/>
    </row>
    <row r="20272" spans="1:2" x14ac:dyDescent="0.25">
      <c r="A20272"/>
      <c r="B20272"/>
    </row>
    <row r="20273" spans="1:2" x14ac:dyDescent="0.25">
      <c r="A20273"/>
      <c r="B20273"/>
    </row>
    <row r="20274" spans="1:2" x14ac:dyDescent="0.25">
      <c r="A20274"/>
      <c r="B20274"/>
    </row>
    <row r="20275" spans="1:2" x14ac:dyDescent="0.25">
      <c r="A20275"/>
      <c r="B20275"/>
    </row>
    <row r="20276" spans="1:2" x14ac:dyDescent="0.25">
      <c r="A20276"/>
      <c r="B20276"/>
    </row>
    <row r="20277" spans="1:2" x14ac:dyDescent="0.25">
      <c r="A20277"/>
      <c r="B20277"/>
    </row>
    <row r="20278" spans="1:2" x14ac:dyDescent="0.25">
      <c r="A20278"/>
      <c r="B20278"/>
    </row>
    <row r="20279" spans="1:2" x14ac:dyDescent="0.25">
      <c r="A20279"/>
      <c r="B20279"/>
    </row>
    <row r="20280" spans="1:2" x14ac:dyDescent="0.25">
      <c r="A20280"/>
      <c r="B20280"/>
    </row>
    <row r="20281" spans="1:2" x14ac:dyDescent="0.25">
      <c r="A20281"/>
      <c r="B20281"/>
    </row>
    <row r="20282" spans="1:2" x14ac:dyDescent="0.25">
      <c r="A20282"/>
      <c r="B20282"/>
    </row>
    <row r="20283" spans="1:2" x14ac:dyDescent="0.25">
      <c r="A20283"/>
      <c r="B20283"/>
    </row>
    <row r="20284" spans="1:2" x14ac:dyDescent="0.25">
      <c r="A20284"/>
      <c r="B20284"/>
    </row>
    <row r="20285" spans="1:2" x14ac:dyDescent="0.25">
      <c r="A20285"/>
      <c r="B20285"/>
    </row>
    <row r="20286" spans="1:2" x14ac:dyDescent="0.25">
      <c r="A20286"/>
      <c r="B20286"/>
    </row>
    <row r="20287" spans="1:2" x14ac:dyDescent="0.25">
      <c r="A20287"/>
      <c r="B20287"/>
    </row>
    <row r="20288" spans="1:2" x14ac:dyDescent="0.25">
      <c r="A20288"/>
      <c r="B20288"/>
    </row>
    <row r="20289" spans="1:2" x14ac:dyDescent="0.25">
      <c r="A20289"/>
      <c r="B20289"/>
    </row>
    <row r="20290" spans="1:2" x14ac:dyDescent="0.25">
      <c r="A20290"/>
      <c r="B20290"/>
    </row>
    <row r="20291" spans="1:2" x14ac:dyDescent="0.25">
      <c r="A20291"/>
      <c r="B20291"/>
    </row>
    <row r="20292" spans="1:2" x14ac:dyDescent="0.25">
      <c r="A20292"/>
      <c r="B20292"/>
    </row>
    <row r="20293" spans="1:2" x14ac:dyDescent="0.25">
      <c r="A20293"/>
      <c r="B20293"/>
    </row>
    <row r="20294" spans="1:2" x14ac:dyDescent="0.25">
      <c r="A20294"/>
      <c r="B20294"/>
    </row>
    <row r="20295" spans="1:2" x14ac:dyDescent="0.25">
      <c r="A20295"/>
      <c r="B20295"/>
    </row>
    <row r="20296" spans="1:2" x14ac:dyDescent="0.25">
      <c r="A20296"/>
      <c r="B20296"/>
    </row>
    <row r="20297" spans="1:2" x14ac:dyDescent="0.25">
      <c r="A20297"/>
      <c r="B20297"/>
    </row>
    <row r="20298" spans="1:2" x14ac:dyDescent="0.25">
      <c r="A20298"/>
      <c r="B20298"/>
    </row>
    <row r="20299" spans="1:2" x14ac:dyDescent="0.25">
      <c r="A20299"/>
      <c r="B20299"/>
    </row>
    <row r="20300" spans="1:2" x14ac:dyDescent="0.25">
      <c r="A20300"/>
      <c r="B20300"/>
    </row>
    <row r="20301" spans="1:2" x14ac:dyDescent="0.25">
      <c r="A20301"/>
      <c r="B20301"/>
    </row>
    <row r="20302" spans="1:2" x14ac:dyDescent="0.25">
      <c r="A20302"/>
      <c r="B20302"/>
    </row>
    <row r="20303" spans="1:2" x14ac:dyDescent="0.25">
      <c r="A20303"/>
      <c r="B20303"/>
    </row>
    <row r="20304" spans="1:2" x14ac:dyDescent="0.25">
      <c r="A20304"/>
      <c r="B20304"/>
    </row>
    <row r="20305" spans="1:2" x14ac:dyDescent="0.25">
      <c r="A20305"/>
      <c r="B20305"/>
    </row>
    <row r="20306" spans="1:2" x14ac:dyDescent="0.25">
      <c r="A20306"/>
      <c r="B20306"/>
    </row>
    <row r="20307" spans="1:2" x14ac:dyDescent="0.25">
      <c r="A20307"/>
      <c r="B20307"/>
    </row>
    <row r="20308" spans="1:2" x14ac:dyDescent="0.25">
      <c r="A20308"/>
      <c r="B20308"/>
    </row>
    <row r="20309" spans="1:2" x14ac:dyDescent="0.25">
      <c r="A20309"/>
      <c r="B20309"/>
    </row>
    <row r="20310" spans="1:2" x14ac:dyDescent="0.25">
      <c r="A20310"/>
      <c r="B20310"/>
    </row>
    <row r="20311" spans="1:2" x14ac:dyDescent="0.25">
      <c r="A20311"/>
      <c r="B20311"/>
    </row>
    <row r="20312" spans="1:2" x14ac:dyDescent="0.25">
      <c r="A20312"/>
      <c r="B20312"/>
    </row>
    <row r="20313" spans="1:2" x14ac:dyDescent="0.25">
      <c r="A20313"/>
      <c r="B20313"/>
    </row>
    <row r="20314" spans="1:2" x14ac:dyDescent="0.25">
      <c r="A20314"/>
      <c r="B20314"/>
    </row>
    <row r="20315" spans="1:2" x14ac:dyDescent="0.25">
      <c r="A20315"/>
      <c r="B20315"/>
    </row>
    <row r="20316" spans="1:2" x14ac:dyDescent="0.25">
      <c r="A20316"/>
      <c r="B20316"/>
    </row>
    <row r="20317" spans="1:2" x14ac:dyDescent="0.25">
      <c r="A20317"/>
      <c r="B20317"/>
    </row>
    <row r="20318" spans="1:2" x14ac:dyDescent="0.25">
      <c r="A20318"/>
      <c r="B20318"/>
    </row>
    <row r="20319" spans="1:2" x14ac:dyDescent="0.25">
      <c r="A20319"/>
      <c r="B20319"/>
    </row>
    <row r="20320" spans="1:2" x14ac:dyDescent="0.25">
      <c r="A20320"/>
      <c r="B20320"/>
    </row>
    <row r="20321" spans="1:2" x14ac:dyDescent="0.25">
      <c r="A20321"/>
      <c r="B20321"/>
    </row>
    <row r="20322" spans="1:2" x14ac:dyDescent="0.25">
      <c r="A20322"/>
      <c r="B20322"/>
    </row>
    <row r="20323" spans="1:2" x14ac:dyDescent="0.25">
      <c r="A20323"/>
      <c r="B20323"/>
    </row>
    <row r="20324" spans="1:2" x14ac:dyDescent="0.25">
      <c r="A20324"/>
      <c r="B20324"/>
    </row>
    <row r="20325" spans="1:2" x14ac:dyDescent="0.25">
      <c r="A20325"/>
      <c r="B20325"/>
    </row>
    <row r="20326" spans="1:2" x14ac:dyDescent="0.25">
      <c r="A20326"/>
      <c r="B20326"/>
    </row>
    <row r="20327" spans="1:2" x14ac:dyDescent="0.25">
      <c r="A20327"/>
      <c r="B20327"/>
    </row>
    <row r="20328" spans="1:2" x14ac:dyDescent="0.25">
      <c r="A20328"/>
      <c r="B20328"/>
    </row>
    <row r="20329" spans="1:2" x14ac:dyDescent="0.25">
      <c r="A20329"/>
      <c r="B20329"/>
    </row>
    <row r="20330" spans="1:2" x14ac:dyDescent="0.25">
      <c r="A20330"/>
      <c r="B20330"/>
    </row>
    <row r="20331" spans="1:2" x14ac:dyDescent="0.25">
      <c r="A20331"/>
      <c r="B20331"/>
    </row>
    <row r="20332" spans="1:2" x14ac:dyDescent="0.25">
      <c r="A20332"/>
      <c r="B20332"/>
    </row>
    <row r="20333" spans="1:2" x14ac:dyDescent="0.25">
      <c r="A20333"/>
      <c r="B20333"/>
    </row>
    <row r="20334" spans="1:2" x14ac:dyDescent="0.25">
      <c r="A20334"/>
      <c r="B20334"/>
    </row>
    <row r="20335" spans="1:2" x14ac:dyDescent="0.25">
      <c r="A20335"/>
      <c r="B20335"/>
    </row>
    <row r="20336" spans="1:2" x14ac:dyDescent="0.25">
      <c r="A20336"/>
      <c r="B20336"/>
    </row>
    <row r="20337" spans="1:2" x14ac:dyDescent="0.25">
      <c r="A20337"/>
      <c r="B20337"/>
    </row>
    <row r="20338" spans="1:2" x14ac:dyDescent="0.25">
      <c r="A20338"/>
      <c r="B20338"/>
    </row>
    <row r="20339" spans="1:2" x14ac:dyDescent="0.25">
      <c r="A20339"/>
      <c r="B20339"/>
    </row>
    <row r="20340" spans="1:2" x14ac:dyDescent="0.25">
      <c r="A20340"/>
      <c r="B20340"/>
    </row>
    <row r="20341" spans="1:2" x14ac:dyDescent="0.25">
      <c r="A20341"/>
      <c r="B20341"/>
    </row>
    <row r="20342" spans="1:2" x14ac:dyDescent="0.25">
      <c r="A20342"/>
      <c r="B20342"/>
    </row>
    <row r="20343" spans="1:2" x14ac:dyDescent="0.25">
      <c r="A20343"/>
      <c r="B20343"/>
    </row>
    <row r="20344" spans="1:2" x14ac:dyDescent="0.25">
      <c r="A20344"/>
      <c r="B20344"/>
    </row>
    <row r="20345" spans="1:2" x14ac:dyDescent="0.25">
      <c r="A20345"/>
      <c r="B20345"/>
    </row>
    <row r="20346" spans="1:2" x14ac:dyDescent="0.25">
      <c r="A20346"/>
      <c r="B20346"/>
    </row>
    <row r="20347" spans="1:2" x14ac:dyDescent="0.25">
      <c r="A20347"/>
      <c r="B20347"/>
    </row>
    <row r="20348" spans="1:2" x14ac:dyDescent="0.25">
      <c r="A20348"/>
      <c r="B20348"/>
    </row>
    <row r="20349" spans="1:2" x14ac:dyDescent="0.25">
      <c r="A20349"/>
      <c r="B20349"/>
    </row>
    <row r="20350" spans="1:2" x14ac:dyDescent="0.25">
      <c r="A20350"/>
      <c r="B20350"/>
    </row>
    <row r="20351" spans="1:2" x14ac:dyDescent="0.25">
      <c r="A20351"/>
      <c r="B20351"/>
    </row>
    <row r="20352" spans="1:2" x14ac:dyDescent="0.25">
      <c r="A20352"/>
      <c r="B20352"/>
    </row>
    <row r="20353" spans="1:2" x14ac:dyDescent="0.25">
      <c r="A20353"/>
      <c r="B20353"/>
    </row>
    <row r="20354" spans="1:2" x14ac:dyDescent="0.25">
      <c r="A20354"/>
      <c r="B20354"/>
    </row>
    <row r="20355" spans="1:2" x14ac:dyDescent="0.25">
      <c r="A20355"/>
      <c r="B20355"/>
    </row>
    <row r="20356" spans="1:2" x14ac:dyDescent="0.25">
      <c r="A20356"/>
      <c r="B20356"/>
    </row>
    <row r="20357" spans="1:2" x14ac:dyDescent="0.25">
      <c r="A20357"/>
      <c r="B20357"/>
    </row>
    <row r="20358" spans="1:2" x14ac:dyDescent="0.25">
      <c r="A20358"/>
      <c r="B20358"/>
    </row>
    <row r="20359" spans="1:2" x14ac:dyDescent="0.25">
      <c r="A20359"/>
      <c r="B20359"/>
    </row>
    <row r="20360" spans="1:2" x14ac:dyDescent="0.25">
      <c r="A20360"/>
      <c r="B20360"/>
    </row>
    <row r="20361" spans="1:2" x14ac:dyDescent="0.25">
      <c r="A20361"/>
      <c r="B20361"/>
    </row>
    <row r="20362" spans="1:2" x14ac:dyDescent="0.25">
      <c r="A20362"/>
      <c r="B20362"/>
    </row>
    <row r="20363" spans="1:2" x14ac:dyDescent="0.25">
      <c r="A20363"/>
      <c r="B20363"/>
    </row>
    <row r="20364" spans="1:2" x14ac:dyDescent="0.25">
      <c r="A20364"/>
      <c r="B20364"/>
    </row>
    <row r="20365" spans="1:2" x14ac:dyDescent="0.25">
      <c r="A20365"/>
      <c r="B20365"/>
    </row>
    <row r="20366" spans="1:2" x14ac:dyDescent="0.25">
      <c r="A20366"/>
      <c r="B20366"/>
    </row>
    <row r="20367" spans="1:2" x14ac:dyDescent="0.25">
      <c r="A20367"/>
      <c r="B20367"/>
    </row>
    <row r="20368" spans="1:2" x14ac:dyDescent="0.25">
      <c r="A20368"/>
      <c r="B20368"/>
    </row>
    <row r="20369" spans="1:2" x14ac:dyDescent="0.25">
      <c r="A20369"/>
      <c r="B20369"/>
    </row>
    <row r="20370" spans="1:2" x14ac:dyDescent="0.25">
      <c r="A20370"/>
      <c r="B20370"/>
    </row>
    <row r="20371" spans="1:2" x14ac:dyDescent="0.25">
      <c r="A20371"/>
      <c r="B20371"/>
    </row>
    <row r="20372" spans="1:2" x14ac:dyDescent="0.25">
      <c r="A20372"/>
      <c r="B20372"/>
    </row>
    <row r="20373" spans="1:2" x14ac:dyDescent="0.25">
      <c r="A20373"/>
      <c r="B20373"/>
    </row>
    <row r="20374" spans="1:2" x14ac:dyDescent="0.25">
      <c r="A20374"/>
      <c r="B20374"/>
    </row>
    <row r="20375" spans="1:2" x14ac:dyDescent="0.25">
      <c r="A20375"/>
      <c r="B20375"/>
    </row>
    <row r="20376" spans="1:2" x14ac:dyDescent="0.25">
      <c r="A20376"/>
      <c r="B20376"/>
    </row>
    <row r="20377" spans="1:2" x14ac:dyDescent="0.25">
      <c r="A20377"/>
      <c r="B20377"/>
    </row>
    <row r="20378" spans="1:2" x14ac:dyDescent="0.25">
      <c r="A20378"/>
      <c r="B20378"/>
    </row>
    <row r="20379" spans="1:2" x14ac:dyDescent="0.25">
      <c r="A20379"/>
      <c r="B20379"/>
    </row>
    <row r="20380" spans="1:2" x14ac:dyDescent="0.25">
      <c r="A20380"/>
      <c r="B20380"/>
    </row>
    <row r="20381" spans="1:2" x14ac:dyDescent="0.25">
      <c r="A20381"/>
      <c r="B20381"/>
    </row>
    <row r="20382" spans="1:2" x14ac:dyDescent="0.25">
      <c r="A20382"/>
      <c r="B20382"/>
    </row>
    <row r="20383" spans="1:2" x14ac:dyDescent="0.25">
      <c r="A20383"/>
      <c r="B20383"/>
    </row>
    <row r="20384" spans="1:2" x14ac:dyDescent="0.25">
      <c r="A20384"/>
      <c r="B20384"/>
    </row>
    <row r="20385" spans="1:2" x14ac:dyDescent="0.25">
      <c r="A20385"/>
      <c r="B20385"/>
    </row>
    <row r="20386" spans="1:2" x14ac:dyDescent="0.25">
      <c r="A20386"/>
      <c r="B20386"/>
    </row>
    <row r="20387" spans="1:2" x14ac:dyDescent="0.25">
      <c r="A20387"/>
      <c r="B20387"/>
    </row>
    <row r="20388" spans="1:2" x14ac:dyDescent="0.25">
      <c r="A20388"/>
      <c r="B20388"/>
    </row>
    <row r="20389" spans="1:2" x14ac:dyDescent="0.25">
      <c r="A20389"/>
      <c r="B20389"/>
    </row>
    <row r="20390" spans="1:2" x14ac:dyDescent="0.25">
      <c r="A20390"/>
      <c r="B20390"/>
    </row>
    <row r="20391" spans="1:2" x14ac:dyDescent="0.25">
      <c r="A20391"/>
      <c r="B20391"/>
    </row>
    <row r="20392" spans="1:2" x14ac:dyDescent="0.25">
      <c r="A20392"/>
      <c r="B20392"/>
    </row>
    <row r="20393" spans="1:2" x14ac:dyDescent="0.25">
      <c r="A20393"/>
      <c r="B20393"/>
    </row>
    <row r="20394" spans="1:2" x14ac:dyDescent="0.25">
      <c r="A20394"/>
      <c r="B20394"/>
    </row>
    <row r="20395" spans="1:2" x14ac:dyDescent="0.25">
      <c r="A20395"/>
      <c r="B20395"/>
    </row>
    <row r="20396" spans="1:2" x14ac:dyDescent="0.25">
      <c r="A20396"/>
      <c r="B20396"/>
    </row>
    <row r="20397" spans="1:2" x14ac:dyDescent="0.25">
      <c r="A20397"/>
      <c r="B20397"/>
    </row>
    <row r="20398" spans="1:2" x14ac:dyDescent="0.25">
      <c r="A20398"/>
      <c r="B20398"/>
    </row>
    <row r="20399" spans="1:2" x14ac:dyDescent="0.25">
      <c r="A20399"/>
      <c r="B20399"/>
    </row>
    <row r="20400" spans="1:2" x14ac:dyDescent="0.25">
      <c r="A20400"/>
      <c r="B20400"/>
    </row>
    <row r="20401" spans="1:2" x14ac:dyDescent="0.25">
      <c r="A20401"/>
      <c r="B20401"/>
    </row>
    <row r="20402" spans="1:2" x14ac:dyDescent="0.25">
      <c r="A20402"/>
      <c r="B20402"/>
    </row>
    <row r="20403" spans="1:2" x14ac:dyDescent="0.25">
      <c r="A20403"/>
      <c r="B20403"/>
    </row>
    <row r="20404" spans="1:2" x14ac:dyDescent="0.25">
      <c r="A20404"/>
      <c r="B20404"/>
    </row>
    <row r="20405" spans="1:2" x14ac:dyDescent="0.25">
      <c r="A20405"/>
      <c r="B20405"/>
    </row>
    <row r="20406" spans="1:2" x14ac:dyDescent="0.25">
      <c r="A20406"/>
      <c r="B20406"/>
    </row>
    <row r="20407" spans="1:2" x14ac:dyDescent="0.25">
      <c r="A20407"/>
      <c r="B20407"/>
    </row>
    <row r="20408" spans="1:2" x14ac:dyDescent="0.25">
      <c r="A20408"/>
      <c r="B20408"/>
    </row>
    <row r="20409" spans="1:2" x14ac:dyDescent="0.25">
      <c r="A20409"/>
      <c r="B20409"/>
    </row>
    <row r="20410" spans="1:2" x14ac:dyDescent="0.25">
      <c r="A20410"/>
      <c r="B20410"/>
    </row>
    <row r="20411" spans="1:2" x14ac:dyDescent="0.25">
      <c r="A20411"/>
      <c r="B20411"/>
    </row>
    <row r="20412" spans="1:2" x14ac:dyDescent="0.25">
      <c r="A20412"/>
      <c r="B20412"/>
    </row>
    <row r="20413" spans="1:2" x14ac:dyDescent="0.25">
      <c r="A20413"/>
      <c r="B20413"/>
    </row>
    <row r="20414" spans="1:2" x14ac:dyDescent="0.25">
      <c r="A20414"/>
      <c r="B20414"/>
    </row>
    <row r="20415" spans="1:2" x14ac:dyDescent="0.25">
      <c r="A20415"/>
      <c r="B20415"/>
    </row>
    <row r="20416" spans="1:2" x14ac:dyDescent="0.25">
      <c r="A20416"/>
      <c r="B20416"/>
    </row>
    <row r="20417" spans="1:2" x14ac:dyDescent="0.25">
      <c r="A20417"/>
      <c r="B20417"/>
    </row>
    <row r="20418" spans="1:2" x14ac:dyDescent="0.25">
      <c r="A20418"/>
      <c r="B20418"/>
    </row>
    <row r="20419" spans="1:2" x14ac:dyDescent="0.25">
      <c r="A20419"/>
      <c r="B20419"/>
    </row>
    <row r="20420" spans="1:2" x14ac:dyDescent="0.25">
      <c r="A20420"/>
      <c r="B20420"/>
    </row>
    <row r="20421" spans="1:2" x14ac:dyDescent="0.25">
      <c r="A20421"/>
      <c r="B20421"/>
    </row>
    <row r="20422" spans="1:2" x14ac:dyDescent="0.25">
      <c r="A20422"/>
      <c r="B20422"/>
    </row>
    <row r="20423" spans="1:2" x14ac:dyDescent="0.25">
      <c r="A20423"/>
      <c r="B20423"/>
    </row>
    <row r="20424" spans="1:2" x14ac:dyDescent="0.25">
      <c r="A20424"/>
      <c r="B20424"/>
    </row>
    <row r="20425" spans="1:2" x14ac:dyDescent="0.25">
      <c r="A20425"/>
      <c r="B20425"/>
    </row>
    <row r="20426" spans="1:2" x14ac:dyDescent="0.25">
      <c r="A20426"/>
      <c r="B20426"/>
    </row>
    <row r="20427" spans="1:2" x14ac:dyDescent="0.25">
      <c r="A20427"/>
      <c r="B20427"/>
    </row>
    <row r="20428" spans="1:2" x14ac:dyDescent="0.25">
      <c r="A20428"/>
      <c r="B20428"/>
    </row>
    <row r="20429" spans="1:2" x14ac:dyDescent="0.25">
      <c r="A20429"/>
      <c r="B20429"/>
    </row>
    <row r="20430" spans="1:2" x14ac:dyDescent="0.25">
      <c r="A20430"/>
      <c r="B20430"/>
    </row>
    <row r="20431" spans="1:2" x14ac:dyDescent="0.25">
      <c r="A20431"/>
      <c r="B20431"/>
    </row>
    <row r="20432" spans="1:2" x14ac:dyDescent="0.25">
      <c r="A20432"/>
      <c r="B20432"/>
    </row>
    <row r="20433" spans="1:2" x14ac:dyDescent="0.25">
      <c r="A20433"/>
      <c r="B20433"/>
    </row>
    <row r="20434" spans="1:2" x14ac:dyDescent="0.25">
      <c r="A20434"/>
      <c r="B20434"/>
    </row>
    <row r="20435" spans="1:2" x14ac:dyDescent="0.25">
      <c r="A20435"/>
      <c r="B20435"/>
    </row>
    <row r="20436" spans="1:2" x14ac:dyDescent="0.25">
      <c r="A20436"/>
      <c r="B20436"/>
    </row>
    <row r="20437" spans="1:2" x14ac:dyDescent="0.25">
      <c r="A20437"/>
      <c r="B20437"/>
    </row>
    <row r="20438" spans="1:2" x14ac:dyDescent="0.25">
      <c r="A20438"/>
      <c r="B20438"/>
    </row>
    <row r="20439" spans="1:2" x14ac:dyDescent="0.25">
      <c r="A20439"/>
      <c r="B20439"/>
    </row>
    <row r="20440" spans="1:2" x14ac:dyDescent="0.25">
      <c r="A20440"/>
      <c r="B20440"/>
    </row>
    <row r="20441" spans="1:2" x14ac:dyDescent="0.25">
      <c r="A20441"/>
      <c r="B20441"/>
    </row>
    <row r="20442" spans="1:2" x14ac:dyDescent="0.25">
      <c r="A20442"/>
      <c r="B20442"/>
    </row>
    <row r="20443" spans="1:2" x14ac:dyDescent="0.25">
      <c r="A20443"/>
      <c r="B20443"/>
    </row>
    <row r="20444" spans="1:2" x14ac:dyDescent="0.25">
      <c r="A20444"/>
      <c r="B20444"/>
    </row>
    <row r="20445" spans="1:2" x14ac:dyDescent="0.25">
      <c r="A20445"/>
      <c r="B20445"/>
    </row>
    <row r="20446" spans="1:2" x14ac:dyDescent="0.25">
      <c r="A20446"/>
      <c r="B20446"/>
    </row>
    <row r="20447" spans="1:2" x14ac:dyDescent="0.25">
      <c r="A20447"/>
      <c r="B20447"/>
    </row>
    <row r="20448" spans="1:2" x14ac:dyDescent="0.25">
      <c r="A20448"/>
      <c r="B20448"/>
    </row>
    <row r="20449" spans="1:2" x14ac:dyDescent="0.25">
      <c r="A20449"/>
      <c r="B20449"/>
    </row>
    <row r="20450" spans="1:2" x14ac:dyDescent="0.25">
      <c r="A20450"/>
      <c r="B20450"/>
    </row>
    <row r="20451" spans="1:2" x14ac:dyDescent="0.25">
      <c r="A20451"/>
      <c r="B20451"/>
    </row>
    <row r="20452" spans="1:2" x14ac:dyDescent="0.25">
      <c r="A20452"/>
      <c r="B20452"/>
    </row>
    <row r="20453" spans="1:2" x14ac:dyDescent="0.25">
      <c r="A20453"/>
      <c r="B20453"/>
    </row>
    <row r="20454" spans="1:2" x14ac:dyDescent="0.25">
      <c r="A20454"/>
      <c r="B20454"/>
    </row>
    <row r="20455" spans="1:2" x14ac:dyDescent="0.25">
      <c r="A20455"/>
      <c r="B20455"/>
    </row>
    <row r="20456" spans="1:2" x14ac:dyDescent="0.25">
      <c r="A20456"/>
      <c r="B20456"/>
    </row>
    <row r="20457" spans="1:2" x14ac:dyDescent="0.25">
      <c r="A20457"/>
      <c r="B20457"/>
    </row>
    <row r="20458" spans="1:2" x14ac:dyDescent="0.25">
      <c r="A20458"/>
      <c r="B20458"/>
    </row>
    <row r="20459" spans="1:2" x14ac:dyDescent="0.25">
      <c r="A20459"/>
      <c r="B20459"/>
    </row>
    <row r="20460" spans="1:2" x14ac:dyDescent="0.25">
      <c r="A20460"/>
      <c r="B20460"/>
    </row>
    <row r="20461" spans="1:2" x14ac:dyDescent="0.25">
      <c r="A20461"/>
      <c r="B20461"/>
    </row>
    <row r="20462" spans="1:2" x14ac:dyDescent="0.25">
      <c r="A20462"/>
      <c r="B20462"/>
    </row>
    <row r="20463" spans="1:2" x14ac:dyDescent="0.25">
      <c r="A20463"/>
      <c r="B20463"/>
    </row>
    <row r="20464" spans="1:2" x14ac:dyDescent="0.25">
      <c r="A20464"/>
      <c r="B20464"/>
    </row>
    <row r="20465" spans="1:2" x14ac:dyDescent="0.25">
      <c r="A20465"/>
      <c r="B20465"/>
    </row>
    <row r="20466" spans="1:2" x14ac:dyDescent="0.25">
      <c r="A20466"/>
      <c r="B20466"/>
    </row>
    <row r="20467" spans="1:2" x14ac:dyDescent="0.25">
      <c r="A20467"/>
      <c r="B20467"/>
    </row>
    <row r="20468" spans="1:2" x14ac:dyDescent="0.25">
      <c r="A20468"/>
      <c r="B20468"/>
    </row>
    <row r="20469" spans="1:2" x14ac:dyDescent="0.25">
      <c r="A20469"/>
      <c r="B20469"/>
    </row>
    <row r="20470" spans="1:2" x14ac:dyDescent="0.25">
      <c r="A20470"/>
      <c r="B20470"/>
    </row>
    <row r="20471" spans="1:2" x14ac:dyDescent="0.25">
      <c r="A20471"/>
      <c r="B20471"/>
    </row>
    <row r="20472" spans="1:2" x14ac:dyDescent="0.25">
      <c r="A20472"/>
      <c r="B20472"/>
    </row>
    <row r="20473" spans="1:2" x14ac:dyDescent="0.25">
      <c r="A20473"/>
      <c r="B20473"/>
    </row>
    <row r="20474" spans="1:2" x14ac:dyDescent="0.25">
      <c r="A20474"/>
      <c r="B20474"/>
    </row>
    <row r="20475" spans="1:2" x14ac:dyDescent="0.25">
      <c r="A20475"/>
      <c r="B20475"/>
    </row>
    <row r="20476" spans="1:2" x14ac:dyDescent="0.25">
      <c r="A20476"/>
      <c r="B20476"/>
    </row>
    <row r="20477" spans="1:2" x14ac:dyDescent="0.25">
      <c r="A20477"/>
      <c r="B20477"/>
    </row>
    <row r="20478" spans="1:2" x14ac:dyDescent="0.25">
      <c r="A20478"/>
      <c r="B20478"/>
    </row>
    <row r="20479" spans="1:2" x14ac:dyDescent="0.25">
      <c r="A20479"/>
      <c r="B20479"/>
    </row>
    <row r="20480" spans="1:2" x14ac:dyDescent="0.25">
      <c r="A20480"/>
      <c r="B20480"/>
    </row>
    <row r="20481" spans="1:2" x14ac:dyDescent="0.25">
      <c r="A20481"/>
      <c r="B20481"/>
    </row>
    <row r="20482" spans="1:2" x14ac:dyDescent="0.25">
      <c r="A20482"/>
      <c r="B20482"/>
    </row>
    <row r="20483" spans="1:2" x14ac:dyDescent="0.25">
      <c r="A20483"/>
      <c r="B20483"/>
    </row>
    <row r="20484" spans="1:2" x14ac:dyDescent="0.25">
      <c r="A20484"/>
      <c r="B20484"/>
    </row>
    <row r="20485" spans="1:2" x14ac:dyDescent="0.25">
      <c r="A20485"/>
      <c r="B20485"/>
    </row>
    <row r="20486" spans="1:2" x14ac:dyDescent="0.25">
      <c r="A20486"/>
      <c r="B20486"/>
    </row>
    <row r="20487" spans="1:2" x14ac:dyDescent="0.25">
      <c r="A20487"/>
      <c r="B20487"/>
    </row>
    <row r="20488" spans="1:2" x14ac:dyDescent="0.25">
      <c r="A20488"/>
      <c r="B20488"/>
    </row>
    <row r="20489" spans="1:2" x14ac:dyDescent="0.25">
      <c r="A20489"/>
      <c r="B20489"/>
    </row>
    <row r="20490" spans="1:2" x14ac:dyDescent="0.25">
      <c r="A20490"/>
      <c r="B20490"/>
    </row>
    <row r="20491" spans="1:2" x14ac:dyDescent="0.25">
      <c r="A20491"/>
      <c r="B20491"/>
    </row>
    <row r="20492" spans="1:2" x14ac:dyDescent="0.25">
      <c r="A20492"/>
      <c r="B20492"/>
    </row>
    <row r="20493" spans="1:2" x14ac:dyDescent="0.25">
      <c r="A20493"/>
      <c r="B20493"/>
    </row>
    <row r="20494" spans="1:2" x14ac:dyDescent="0.25">
      <c r="A20494"/>
      <c r="B20494"/>
    </row>
    <row r="20495" spans="1:2" x14ac:dyDescent="0.25">
      <c r="A20495"/>
      <c r="B20495"/>
    </row>
    <row r="20496" spans="1:2" x14ac:dyDescent="0.25">
      <c r="A20496"/>
      <c r="B20496"/>
    </row>
    <row r="20497" spans="1:2" x14ac:dyDescent="0.25">
      <c r="A20497"/>
      <c r="B20497"/>
    </row>
    <row r="20498" spans="1:2" x14ac:dyDescent="0.25">
      <c r="A20498"/>
      <c r="B20498"/>
    </row>
    <row r="20499" spans="1:2" x14ac:dyDescent="0.25">
      <c r="A20499"/>
      <c r="B20499"/>
    </row>
    <row r="20500" spans="1:2" x14ac:dyDescent="0.25">
      <c r="A20500"/>
      <c r="B20500"/>
    </row>
    <row r="20501" spans="1:2" x14ac:dyDescent="0.25">
      <c r="A20501"/>
      <c r="B20501"/>
    </row>
    <row r="20502" spans="1:2" x14ac:dyDescent="0.25">
      <c r="A20502"/>
      <c r="B20502"/>
    </row>
    <row r="20503" spans="1:2" x14ac:dyDescent="0.25">
      <c r="A20503"/>
      <c r="B20503"/>
    </row>
    <row r="20504" spans="1:2" x14ac:dyDescent="0.25">
      <c r="A20504"/>
      <c r="B20504"/>
    </row>
    <row r="20505" spans="1:2" x14ac:dyDescent="0.25">
      <c r="A20505"/>
      <c r="B20505"/>
    </row>
    <row r="20506" spans="1:2" x14ac:dyDescent="0.25">
      <c r="A20506"/>
      <c r="B20506"/>
    </row>
    <row r="20507" spans="1:2" x14ac:dyDescent="0.25">
      <c r="A20507"/>
      <c r="B20507"/>
    </row>
    <row r="20508" spans="1:2" x14ac:dyDescent="0.25">
      <c r="A20508"/>
      <c r="B20508"/>
    </row>
    <row r="20509" spans="1:2" x14ac:dyDescent="0.25">
      <c r="A20509"/>
      <c r="B20509"/>
    </row>
    <row r="20510" spans="1:2" x14ac:dyDescent="0.25">
      <c r="A20510"/>
      <c r="B20510"/>
    </row>
    <row r="20511" spans="1:2" x14ac:dyDescent="0.25">
      <c r="A20511"/>
      <c r="B20511"/>
    </row>
    <row r="20512" spans="1:2" x14ac:dyDescent="0.25">
      <c r="A20512"/>
      <c r="B20512"/>
    </row>
    <row r="20513" spans="1:2" x14ac:dyDescent="0.25">
      <c r="A20513"/>
      <c r="B20513"/>
    </row>
    <row r="20514" spans="1:2" x14ac:dyDescent="0.25">
      <c r="A20514"/>
      <c r="B20514"/>
    </row>
    <row r="20515" spans="1:2" x14ac:dyDescent="0.25">
      <c r="A20515"/>
      <c r="B20515"/>
    </row>
    <row r="20516" spans="1:2" x14ac:dyDescent="0.25">
      <c r="A20516"/>
      <c r="B20516"/>
    </row>
    <row r="20517" spans="1:2" x14ac:dyDescent="0.25">
      <c r="A20517"/>
      <c r="B20517"/>
    </row>
    <row r="20518" spans="1:2" x14ac:dyDescent="0.25">
      <c r="A20518"/>
      <c r="B20518"/>
    </row>
    <row r="20519" spans="1:2" x14ac:dyDescent="0.25">
      <c r="A20519"/>
      <c r="B20519"/>
    </row>
    <row r="20520" spans="1:2" x14ac:dyDescent="0.25">
      <c r="A20520"/>
      <c r="B20520"/>
    </row>
    <row r="20521" spans="1:2" x14ac:dyDescent="0.25">
      <c r="A20521"/>
      <c r="B20521"/>
    </row>
    <row r="20522" spans="1:2" x14ac:dyDescent="0.25">
      <c r="A20522"/>
      <c r="B20522"/>
    </row>
    <row r="20523" spans="1:2" x14ac:dyDescent="0.25">
      <c r="A20523"/>
      <c r="B20523"/>
    </row>
    <row r="20524" spans="1:2" x14ac:dyDescent="0.25">
      <c r="A20524"/>
      <c r="B20524"/>
    </row>
    <row r="20525" spans="1:2" x14ac:dyDescent="0.25">
      <c r="A20525"/>
      <c r="B20525"/>
    </row>
    <row r="20526" spans="1:2" x14ac:dyDescent="0.25">
      <c r="A20526"/>
      <c r="B20526"/>
    </row>
    <row r="20527" spans="1:2" x14ac:dyDescent="0.25">
      <c r="A20527"/>
      <c r="B20527"/>
    </row>
    <row r="20528" spans="1:2" x14ac:dyDescent="0.25">
      <c r="A20528"/>
      <c r="B20528"/>
    </row>
    <row r="20529" spans="1:2" x14ac:dyDescent="0.25">
      <c r="A20529"/>
      <c r="B20529"/>
    </row>
    <row r="20530" spans="1:2" x14ac:dyDescent="0.25">
      <c r="A20530"/>
      <c r="B20530"/>
    </row>
    <row r="20531" spans="1:2" x14ac:dyDescent="0.25">
      <c r="A20531"/>
      <c r="B20531"/>
    </row>
    <row r="20532" spans="1:2" x14ac:dyDescent="0.25">
      <c r="A20532"/>
      <c r="B20532"/>
    </row>
    <row r="20533" spans="1:2" x14ac:dyDescent="0.25">
      <c r="A20533"/>
      <c r="B20533"/>
    </row>
    <row r="20534" spans="1:2" x14ac:dyDescent="0.25">
      <c r="A20534"/>
      <c r="B20534"/>
    </row>
    <row r="20535" spans="1:2" x14ac:dyDescent="0.25">
      <c r="A20535"/>
      <c r="B20535"/>
    </row>
    <row r="20536" spans="1:2" x14ac:dyDescent="0.25">
      <c r="A20536"/>
      <c r="B20536"/>
    </row>
    <row r="20537" spans="1:2" x14ac:dyDescent="0.25">
      <c r="A20537"/>
      <c r="B20537"/>
    </row>
    <row r="20538" spans="1:2" x14ac:dyDescent="0.25">
      <c r="A20538"/>
      <c r="B20538"/>
    </row>
    <row r="20539" spans="1:2" x14ac:dyDescent="0.25">
      <c r="A20539"/>
      <c r="B20539"/>
    </row>
    <row r="20540" spans="1:2" x14ac:dyDescent="0.25">
      <c r="A20540"/>
      <c r="B20540"/>
    </row>
    <row r="20541" spans="1:2" x14ac:dyDescent="0.25">
      <c r="A20541"/>
      <c r="B20541"/>
    </row>
    <row r="20542" spans="1:2" x14ac:dyDescent="0.25">
      <c r="A20542"/>
      <c r="B20542"/>
    </row>
    <row r="20543" spans="1:2" x14ac:dyDescent="0.25">
      <c r="A20543"/>
      <c r="B20543"/>
    </row>
    <row r="20544" spans="1:2" x14ac:dyDescent="0.25">
      <c r="A20544"/>
      <c r="B20544"/>
    </row>
    <row r="20545" spans="1:2" x14ac:dyDescent="0.25">
      <c r="A20545"/>
      <c r="B20545"/>
    </row>
    <row r="20546" spans="1:2" x14ac:dyDescent="0.25">
      <c r="A20546"/>
      <c r="B20546"/>
    </row>
    <row r="20547" spans="1:2" x14ac:dyDescent="0.25">
      <c r="A20547"/>
      <c r="B20547"/>
    </row>
    <row r="20548" spans="1:2" x14ac:dyDescent="0.25">
      <c r="A20548"/>
      <c r="B20548"/>
    </row>
    <row r="20549" spans="1:2" x14ac:dyDescent="0.25">
      <c r="A20549"/>
      <c r="B20549"/>
    </row>
    <row r="20550" spans="1:2" x14ac:dyDescent="0.25">
      <c r="A20550"/>
      <c r="B20550"/>
    </row>
    <row r="20551" spans="1:2" x14ac:dyDescent="0.25">
      <c r="A20551"/>
      <c r="B20551"/>
    </row>
    <row r="20552" spans="1:2" x14ac:dyDescent="0.25">
      <c r="A20552"/>
      <c r="B20552"/>
    </row>
    <row r="20553" spans="1:2" x14ac:dyDescent="0.25">
      <c r="A20553"/>
      <c r="B20553"/>
    </row>
    <row r="20554" spans="1:2" x14ac:dyDescent="0.25">
      <c r="A20554"/>
      <c r="B20554"/>
    </row>
    <row r="20555" spans="1:2" x14ac:dyDescent="0.25">
      <c r="A20555"/>
      <c r="B20555"/>
    </row>
    <row r="20556" spans="1:2" x14ac:dyDescent="0.25">
      <c r="A20556"/>
      <c r="B20556"/>
    </row>
    <row r="20557" spans="1:2" x14ac:dyDescent="0.25">
      <c r="A20557"/>
      <c r="B20557"/>
    </row>
    <row r="20558" spans="1:2" x14ac:dyDescent="0.25">
      <c r="A20558"/>
      <c r="B20558"/>
    </row>
    <row r="20559" spans="1:2" x14ac:dyDescent="0.25">
      <c r="A20559"/>
      <c r="B20559"/>
    </row>
    <row r="20560" spans="1:2" x14ac:dyDescent="0.25">
      <c r="A20560"/>
      <c r="B20560"/>
    </row>
    <row r="20561" spans="1:2" x14ac:dyDescent="0.25">
      <c r="A20561"/>
      <c r="B20561"/>
    </row>
    <row r="20562" spans="1:2" x14ac:dyDescent="0.25">
      <c r="A20562"/>
      <c r="B20562"/>
    </row>
    <row r="20563" spans="1:2" x14ac:dyDescent="0.25">
      <c r="A20563"/>
      <c r="B20563"/>
    </row>
    <row r="20564" spans="1:2" x14ac:dyDescent="0.25">
      <c r="A20564"/>
      <c r="B20564"/>
    </row>
    <row r="20565" spans="1:2" x14ac:dyDescent="0.25">
      <c r="A20565"/>
      <c r="B20565"/>
    </row>
    <row r="20566" spans="1:2" x14ac:dyDescent="0.25">
      <c r="A20566"/>
      <c r="B20566"/>
    </row>
    <row r="20567" spans="1:2" x14ac:dyDescent="0.25">
      <c r="A20567"/>
      <c r="B20567"/>
    </row>
    <row r="20568" spans="1:2" x14ac:dyDescent="0.25">
      <c r="A20568"/>
      <c r="B20568"/>
    </row>
    <row r="20569" spans="1:2" x14ac:dyDescent="0.25">
      <c r="A20569"/>
      <c r="B20569"/>
    </row>
    <row r="20570" spans="1:2" x14ac:dyDescent="0.25">
      <c r="A20570"/>
      <c r="B20570"/>
    </row>
    <row r="20571" spans="1:2" x14ac:dyDescent="0.25">
      <c r="A20571"/>
      <c r="B20571"/>
    </row>
    <row r="20572" spans="1:2" x14ac:dyDescent="0.25">
      <c r="A20572"/>
      <c r="B20572"/>
    </row>
    <row r="20573" spans="1:2" x14ac:dyDescent="0.25">
      <c r="A20573"/>
      <c r="B20573"/>
    </row>
    <row r="20574" spans="1:2" x14ac:dyDescent="0.25">
      <c r="A20574"/>
      <c r="B20574"/>
    </row>
    <row r="20575" spans="1:2" x14ac:dyDescent="0.25">
      <c r="A20575"/>
      <c r="B20575"/>
    </row>
    <row r="20576" spans="1:2" x14ac:dyDescent="0.25">
      <c r="A20576"/>
      <c r="B20576"/>
    </row>
    <row r="20577" spans="1:2" x14ac:dyDescent="0.25">
      <c r="A20577"/>
      <c r="B20577"/>
    </row>
    <row r="20578" spans="1:2" x14ac:dyDescent="0.25">
      <c r="A20578"/>
      <c r="B20578"/>
    </row>
    <row r="20579" spans="1:2" x14ac:dyDescent="0.25">
      <c r="A20579"/>
      <c r="B20579"/>
    </row>
    <row r="20580" spans="1:2" x14ac:dyDescent="0.25">
      <c r="A20580"/>
      <c r="B20580"/>
    </row>
    <row r="20581" spans="1:2" x14ac:dyDescent="0.25">
      <c r="A20581"/>
      <c r="B20581"/>
    </row>
    <row r="20582" spans="1:2" x14ac:dyDescent="0.25">
      <c r="A20582"/>
      <c r="B20582"/>
    </row>
    <row r="20583" spans="1:2" x14ac:dyDescent="0.25">
      <c r="A20583"/>
      <c r="B20583"/>
    </row>
    <row r="20584" spans="1:2" x14ac:dyDescent="0.25">
      <c r="A20584"/>
      <c r="B20584"/>
    </row>
    <row r="20585" spans="1:2" x14ac:dyDescent="0.25">
      <c r="A20585"/>
      <c r="B20585"/>
    </row>
    <row r="20586" spans="1:2" x14ac:dyDescent="0.25">
      <c r="A20586"/>
      <c r="B20586"/>
    </row>
    <row r="20587" spans="1:2" x14ac:dyDescent="0.25">
      <c r="A20587"/>
      <c r="B20587"/>
    </row>
    <row r="20588" spans="1:2" x14ac:dyDescent="0.25">
      <c r="A20588"/>
      <c r="B20588"/>
    </row>
    <row r="20589" spans="1:2" x14ac:dyDescent="0.25">
      <c r="A20589"/>
      <c r="B20589"/>
    </row>
    <row r="20590" spans="1:2" x14ac:dyDescent="0.25">
      <c r="A20590"/>
      <c r="B20590"/>
    </row>
    <row r="20591" spans="1:2" x14ac:dyDescent="0.25">
      <c r="A20591"/>
      <c r="B20591"/>
    </row>
    <row r="20592" spans="1:2" x14ac:dyDescent="0.25">
      <c r="A20592"/>
      <c r="B20592"/>
    </row>
    <row r="20593" spans="1:2" x14ac:dyDescent="0.25">
      <c r="A20593"/>
      <c r="B20593"/>
    </row>
    <row r="20594" spans="1:2" x14ac:dyDescent="0.25">
      <c r="A20594"/>
      <c r="B20594"/>
    </row>
    <row r="20595" spans="1:2" x14ac:dyDescent="0.25">
      <c r="A20595"/>
      <c r="B20595"/>
    </row>
    <row r="20596" spans="1:2" x14ac:dyDescent="0.25">
      <c r="A20596"/>
      <c r="B20596"/>
    </row>
    <row r="20597" spans="1:2" x14ac:dyDescent="0.25">
      <c r="A20597"/>
      <c r="B20597"/>
    </row>
    <row r="20598" spans="1:2" x14ac:dyDescent="0.25">
      <c r="A20598"/>
      <c r="B20598"/>
    </row>
    <row r="20599" spans="1:2" x14ac:dyDescent="0.25">
      <c r="A20599"/>
      <c r="B20599"/>
    </row>
    <row r="20600" spans="1:2" x14ac:dyDescent="0.25">
      <c r="A20600"/>
      <c r="B20600"/>
    </row>
    <row r="20601" spans="1:2" x14ac:dyDescent="0.25">
      <c r="A20601"/>
      <c r="B20601"/>
    </row>
    <row r="20602" spans="1:2" x14ac:dyDescent="0.25">
      <c r="A20602"/>
      <c r="B20602"/>
    </row>
    <row r="20603" spans="1:2" x14ac:dyDescent="0.25">
      <c r="A20603"/>
      <c r="B20603"/>
    </row>
    <row r="20604" spans="1:2" x14ac:dyDescent="0.25">
      <c r="A20604"/>
      <c r="B20604"/>
    </row>
    <row r="20605" spans="1:2" x14ac:dyDescent="0.25">
      <c r="A20605"/>
      <c r="B20605"/>
    </row>
    <row r="20606" spans="1:2" x14ac:dyDescent="0.25">
      <c r="A20606"/>
      <c r="B20606"/>
    </row>
    <row r="20607" spans="1:2" x14ac:dyDescent="0.25">
      <c r="A20607"/>
      <c r="B20607"/>
    </row>
    <row r="20608" spans="1:2" x14ac:dyDescent="0.25">
      <c r="A20608"/>
      <c r="B20608"/>
    </row>
    <row r="20609" spans="1:2" x14ac:dyDescent="0.25">
      <c r="A20609"/>
      <c r="B20609"/>
    </row>
    <row r="20610" spans="1:2" x14ac:dyDescent="0.25">
      <c r="A20610"/>
      <c r="B20610"/>
    </row>
    <row r="20611" spans="1:2" x14ac:dyDescent="0.25">
      <c r="A20611"/>
      <c r="B20611"/>
    </row>
    <row r="20612" spans="1:2" x14ac:dyDescent="0.25">
      <c r="A20612"/>
      <c r="B20612"/>
    </row>
    <row r="20613" spans="1:2" x14ac:dyDescent="0.25">
      <c r="A20613"/>
      <c r="B20613"/>
    </row>
    <row r="20614" spans="1:2" x14ac:dyDescent="0.25">
      <c r="A20614"/>
      <c r="B20614"/>
    </row>
    <row r="20615" spans="1:2" x14ac:dyDescent="0.25">
      <c r="A20615"/>
      <c r="B20615"/>
    </row>
    <row r="20616" spans="1:2" x14ac:dyDescent="0.25">
      <c r="A20616"/>
      <c r="B20616"/>
    </row>
    <row r="20617" spans="1:2" x14ac:dyDescent="0.25">
      <c r="A20617"/>
      <c r="B20617"/>
    </row>
    <row r="20618" spans="1:2" x14ac:dyDescent="0.25">
      <c r="A20618"/>
      <c r="B20618"/>
    </row>
    <row r="20619" spans="1:2" x14ac:dyDescent="0.25">
      <c r="A20619"/>
      <c r="B20619"/>
    </row>
    <row r="20620" spans="1:2" x14ac:dyDescent="0.25">
      <c r="A20620"/>
      <c r="B20620"/>
    </row>
    <row r="20621" spans="1:2" x14ac:dyDescent="0.25">
      <c r="A20621"/>
      <c r="B20621"/>
    </row>
    <row r="20622" spans="1:2" x14ac:dyDescent="0.25">
      <c r="A20622"/>
      <c r="B20622"/>
    </row>
    <row r="20623" spans="1:2" x14ac:dyDescent="0.25">
      <c r="A20623"/>
      <c r="B20623"/>
    </row>
    <row r="20624" spans="1:2" x14ac:dyDescent="0.25">
      <c r="A20624"/>
      <c r="B20624"/>
    </row>
    <row r="20625" spans="1:2" x14ac:dyDescent="0.25">
      <c r="A20625"/>
      <c r="B20625"/>
    </row>
    <row r="20626" spans="1:2" x14ac:dyDescent="0.25">
      <c r="A20626"/>
      <c r="B20626"/>
    </row>
    <row r="20627" spans="1:2" x14ac:dyDescent="0.25">
      <c r="A20627"/>
      <c r="B20627"/>
    </row>
    <row r="20628" spans="1:2" x14ac:dyDescent="0.25">
      <c r="A20628"/>
      <c r="B20628"/>
    </row>
    <row r="20629" spans="1:2" x14ac:dyDescent="0.25">
      <c r="A20629"/>
      <c r="B20629"/>
    </row>
    <row r="20630" spans="1:2" x14ac:dyDescent="0.25">
      <c r="A20630"/>
      <c r="B20630"/>
    </row>
    <row r="20631" spans="1:2" x14ac:dyDescent="0.25">
      <c r="A20631"/>
      <c r="B20631"/>
    </row>
    <row r="20632" spans="1:2" x14ac:dyDescent="0.25">
      <c r="A20632"/>
      <c r="B20632"/>
    </row>
    <row r="20633" spans="1:2" x14ac:dyDescent="0.25">
      <c r="A20633"/>
      <c r="B20633"/>
    </row>
    <row r="20634" spans="1:2" x14ac:dyDescent="0.25">
      <c r="A20634"/>
      <c r="B20634"/>
    </row>
    <row r="20635" spans="1:2" x14ac:dyDescent="0.25">
      <c r="A20635"/>
      <c r="B20635"/>
    </row>
    <row r="20636" spans="1:2" x14ac:dyDescent="0.25">
      <c r="A20636"/>
      <c r="B20636"/>
    </row>
    <row r="20637" spans="1:2" x14ac:dyDescent="0.25">
      <c r="A20637"/>
      <c r="B20637"/>
    </row>
    <row r="20638" spans="1:2" x14ac:dyDescent="0.25">
      <c r="A20638"/>
      <c r="B20638"/>
    </row>
    <row r="20639" spans="1:2" x14ac:dyDescent="0.25">
      <c r="A20639"/>
      <c r="B20639"/>
    </row>
    <row r="20640" spans="1:2" x14ac:dyDescent="0.25">
      <c r="A20640"/>
      <c r="B20640"/>
    </row>
    <row r="20641" spans="1:2" x14ac:dyDescent="0.25">
      <c r="A20641"/>
      <c r="B20641"/>
    </row>
    <row r="20642" spans="1:2" x14ac:dyDescent="0.25">
      <c r="A20642"/>
      <c r="B20642"/>
    </row>
    <row r="20643" spans="1:2" x14ac:dyDescent="0.25">
      <c r="A20643"/>
      <c r="B20643"/>
    </row>
    <row r="20644" spans="1:2" x14ac:dyDescent="0.25">
      <c r="A20644"/>
      <c r="B20644"/>
    </row>
    <row r="20645" spans="1:2" x14ac:dyDescent="0.25">
      <c r="A20645"/>
      <c r="B20645"/>
    </row>
    <row r="20646" spans="1:2" x14ac:dyDescent="0.25">
      <c r="A20646"/>
      <c r="B20646"/>
    </row>
    <row r="20647" spans="1:2" x14ac:dyDescent="0.25">
      <c r="A20647"/>
      <c r="B20647"/>
    </row>
    <row r="20648" spans="1:2" x14ac:dyDescent="0.25">
      <c r="A20648"/>
      <c r="B20648"/>
    </row>
    <row r="20649" spans="1:2" x14ac:dyDescent="0.25">
      <c r="A20649"/>
      <c r="B20649"/>
    </row>
    <row r="20650" spans="1:2" x14ac:dyDescent="0.25">
      <c r="A20650"/>
      <c r="B20650"/>
    </row>
    <row r="20651" spans="1:2" x14ac:dyDescent="0.25">
      <c r="A20651"/>
      <c r="B20651"/>
    </row>
    <row r="20652" spans="1:2" x14ac:dyDescent="0.25">
      <c r="A20652"/>
      <c r="B20652"/>
    </row>
    <row r="20653" spans="1:2" x14ac:dyDescent="0.25">
      <c r="A20653"/>
      <c r="B20653"/>
    </row>
    <row r="20654" spans="1:2" x14ac:dyDescent="0.25">
      <c r="A20654"/>
      <c r="B20654"/>
    </row>
    <row r="20655" spans="1:2" x14ac:dyDescent="0.25">
      <c r="A20655"/>
      <c r="B20655"/>
    </row>
    <row r="20656" spans="1:2" x14ac:dyDescent="0.25">
      <c r="A20656"/>
      <c r="B20656"/>
    </row>
    <row r="20657" spans="1:2" x14ac:dyDescent="0.25">
      <c r="A20657"/>
      <c r="B20657"/>
    </row>
    <row r="20658" spans="1:2" x14ac:dyDescent="0.25">
      <c r="A20658"/>
      <c r="B20658"/>
    </row>
    <row r="20659" spans="1:2" x14ac:dyDescent="0.25">
      <c r="A20659"/>
      <c r="B20659"/>
    </row>
    <row r="20660" spans="1:2" x14ac:dyDescent="0.25">
      <c r="A20660"/>
      <c r="B20660"/>
    </row>
    <row r="20661" spans="1:2" x14ac:dyDescent="0.25">
      <c r="A20661"/>
      <c r="B20661"/>
    </row>
    <row r="20662" spans="1:2" x14ac:dyDescent="0.25">
      <c r="A20662"/>
      <c r="B20662"/>
    </row>
    <row r="20663" spans="1:2" x14ac:dyDescent="0.25">
      <c r="A20663"/>
      <c r="B20663"/>
    </row>
    <row r="20664" spans="1:2" x14ac:dyDescent="0.25">
      <c r="A20664"/>
      <c r="B20664"/>
    </row>
    <row r="20665" spans="1:2" x14ac:dyDescent="0.25">
      <c r="A20665"/>
      <c r="B20665"/>
    </row>
    <row r="20666" spans="1:2" x14ac:dyDescent="0.25">
      <c r="A20666"/>
      <c r="B20666"/>
    </row>
    <row r="20667" spans="1:2" x14ac:dyDescent="0.25">
      <c r="A20667"/>
      <c r="B20667"/>
    </row>
    <row r="20668" spans="1:2" x14ac:dyDescent="0.25">
      <c r="A20668"/>
      <c r="B20668"/>
    </row>
    <row r="20669" spans="1:2" x14ac:dyDescent="0.25">
      <c r="A20669"/>
      <c r="B20669"/>
    </row>
    <row r="20670" spans="1:2" x14ac:dyDescent="0.25">
      <c r="A20670"/>
      <c r="B20670"/>
    </row>
    <row r="20671" spans="1:2" x14ac:dyDescent="0.25">
      <c r="A20671"/>
      <c r="B20671"/>
    </row>
    <row r="20672" spans="1:2" x14ac:dyDescent="0.25">
      <c r="A20672"/>
      <c r="B20672"/>
    </row>
    <row r="20673" spans="1:2" x14ac:dyDescent="0.25">
      <c r="A20673"/>
      <c r="B20673"/>
    </row>
    <row r="20674" spans="1:2" x14ac:dyDescent="0.25">
      <c r="A20674"/>
      <c r="B20674"/>
    </row>
    <row r="20675" spans="1:2" x14ac:dyDescent="0.25">
      <c r="A20675"/>
      <c r="B20675"/>
    </row>
    <row r="20676" spans="1:2" x14ac:dyDescent="0.25">
      <c r="A20676"/>
      <c r="B20676"/>
    </row>
    <row r="20677" spans="1:2" x14ac:dyDescent="0.25">
      <c r="A20677"/>
      <c r="B20677"/>
    </row>
    <row r="20678" spans="1:2" x14ac:dyDescent="0.25">
      <c r="A20678"/>
      <c r="B20678"/>
    </row>
    <row r="20679" spans="1:2" x14ac:dyDescent="0.25">
      <c r="A20679"/>
      <c r="B20679"/>
    </row>
    <row r="20680" spans="1:2" x14ac:dyDescent="0.25">
      <c r="A20680"/>
      <c r="B20680"/>
    </row>
    <row r="20681" spans="1:2" x14ac:dyDescent="0.25">
      <c r="A20681"/>
      <c r="B20681"/>
    </row>
    <row r="20682" spans="1:2" x14ac:dyDescent="0.25">
      <c r="A20682"/>
      <c r="B20682"/>
    </row>
    <row r="20683" spans="1:2" x14ac:dyDescent="0.25">
      <c r="A20683"/>
      <c r="B20683"/>
    </row>
    <row r="20684" spans="1:2" x14ac:dyDescent="0.25">
      <c r="A20684"/>
      <c r="B20684"/>
    </row>
    <row r="20685" spans="1:2" x14ac:dyDescent="0.25">
      <c r="A20685"/>
      <c r="B20685"/>
    </row>
    <row r="20686" spans="1:2" x14ac:dyDescent="0.25">
      <c r="A20686"/>
      <c r="B20686"/>
    </row>
    <row r="20687" spans="1:2" x14ac:dyDescent="0.25">
      <c r="A20687"/>
      <c r="B20687"/>
    </row>
    <row r="20688" spans="1:2" x14ac:dyDescent="0.25">
      <c r="A20688"/>
      <c r="B20688"/>
    </row>
    <row r="20689" spans="1:2" x14ac:dyDescent="0.25">
      <c r="A20689"/>
      <c r="B20689"/>
    </row>
    <row r="20690" spans="1:2" x14ac:dyDescent="0.25">
      <c r="A20690"/>
      <c r="B20690"/>
    </row>
    <row r="20691" spans="1:2" x14ac:dyDescent="0.25">
      <c r="A20691"/>
      <c r="B20691"/>
    </row>
    <row r="20692" spans="1:2" x14ac:dyDescent="0.25">
      <c r="A20692"/>
      <c r="B20692"/>
    </row>
    <row r="20693" spans="1:2" x14ac:dyDescent="0.25">
      <c r="A20693"/>
      <c r="B20693"/>
    </row>
    <row r="20694" spans="1:2" x14ac:dyDescent="0.25">
      <c r="A20694"/>
      <c r="B20694"/>
    </row>
    <row r="20695" spans="1:2" x14ac:dyDescent="0.25">
      <c r="A20695"/>
      <c r="B20695"/>
    </row>
    <row r="20696" spans="1:2" x14ac:dyDescent="0.25">
      <c r="A20696"/>
      <c r="B20696"/>
    </row>
    <row r="20697" spans="1:2" x14ac:dyDescent="0.25">
      <c r="A20697"/>
      <c r="B20697"/>
    </row>
    <row r="20698" spans="1:2" x14ac:dyDescent="0.25">
      <c r="A20698"/>
      <c r="B20698"/>
    </row>
    <row r="20699" spans="1:2" x14ac:dyDescent="0.25">
      <c r="A20699"/>
      <c r="B20699"/>
    </row>
    <row r="20700" spans="1:2" x14ac:dyDescent="0.25">
      <c r="A20700"/>
      <c r="B20700"/>
    </row>
    <row r="20701" spans="1:2" x14ac:dyDescent="0.25">
      <c r="A20701"/>
      <c r="B20701"/>
    </row>
    <row r="20702" spans="1:2" x14ac:dyDescent="0.25">
      <c r="A20702"/>
      <c r="B20702"/>
    </row>
    <row r="20703" spans="1:2" x14ac:dyDescent="0.25">
      <c r="A20703"/>
      <c r="B20703"/>
    </row>
    <row r="20704" spans="1:2" x14ac:dyDescent="0.25">
      <c r="A20704"/>
      <c r="B20704"/>
    </row>
    <row r="20705" spans="1:2" x14ac:dyDescent="0.25">
      <c r="A20705"/>
      <c r="B20705"/>
    </row>
    <row r="20706" spans="1:2" x14ac:dyDescent="0.25">
      <c r="A20706"/>
      <c r="B20706"/>
    </row>
    <row r="20707" spans="1:2" x14ac:dyDescent="0.25">
      <c r="A20707"/>
      <c r="B20707"/>
    </row>
    <row r="20708" spans="1:2" x14ac:dyDescent="0.25">
      <c r="A20708"/>
      <c r="B20708"/>
    </row>
    <row r="20709" spans="1:2" x14ac:dyDescent="0.25">
      <c r="A20709"/>
      <c r="B20709"/>
    </row>
    <row r="20710" spans="1:2" x14ac:dyDescent="0.25">
      <c r="A20710"/>
      <c r="B20710"/>
    </row>
    <row r="20711" spans="1:2" x14ac:dyDescent="0.25">
      <c r="A20711"/>
      <c r="B20711"/>
    </row>
    <row r="20712" spans="1:2" x14ac:dyDescent="0.25">
      <c r="A20712"/>
      <c r="B20712"/>
    </row>
    <row r="20713" spans="1:2" x14ac:dyDescent="0.25">
      <c r="A20713"/>
      <c r="B20713"/>
    </row>
    <row r="20714" spans="1:2" x14ac:dyDescent="0.25">
      <c r="A20714"/>
      <c r="B20714"/>
    </row>
    <row r="20715" spans="1:2" x14ac:dyDescent="0.25">
      <c r="A20715"/>
      <c r="B20715"/>
    </row>
    <row r="20716" spans="1:2" x14ac:dyDescent="0.25">
      <c r="A20716"/>
      <c r="B20716"/>
    </row>
    <row r="20717" spans="1:2" x14ac:dyDescent="0.25">
      <c r="A20717"/>
      <c r="B20717"/>
    </row>
    <row r="20718" spans="1:2" x14ac:dyDescent="0.25">
      <c r="A20718"/>
      <c r="B20718"/>
    </row>
    <row r="20719" spans="1:2" x14ac:dyDescent="0.25">
      <c r="A20719"/>
      <c r="B20719"/>
    </row>
    <row r="20720" spans="1:2" x14ac:dyDescent="0.25">
      <c r="A20720"/>
      <c r="B20720"/>
    </row>
    <row r="20721" spans="1:2" x14ac:dyDescent="0.25">
      <c r="A20721"/>
      <c r="B20721"/>
    </row>
    <row r="20722" spans="1:2" x14ac:dyDescent="0.25">
      <c r="A20722"/>
      <c r="B20722"/>
    </row>
    <row r="20723" spans="1:2" x14ac:dyDescent="0.25">
      <c r="A20723"/>
      <c r="B20723"/>
    </row>
    <row r="20724" spans="1:2" x14ac:dyDescent="0.25">
      <c r="A20724"/>
      <c r="B20724"/>
    </row>
    <row r="20725" spans="1:2" x14ac:dyDescent="0.25">
      <c r="A20725"/>
      <c r="B20725"/>
    </row>
    <row r="20726" spans="1:2" x14ac:dyDescent="0.25">
      <c r="A20726"/>
      <c r="B20726"/>
    </row>
    <row r="20727" spans="1:2" x14ac:dyDescent="0.25">
      <c r="A20727"/>
      <c r="B20727"/>
    </row>
    <row r="20728" spans="1:2" x14ac:dyDescent="0.25">
      <c r="A20728"/>
      <c r="B20728"/>
    </row>
    <row r="20729" spans="1:2" x14ac:dyDescent="0.25">
      <c r="A20729"/>
      <c r="B20729"/>
    </row>
    <row r="20730" spans="1:2" x14ac:dyDescent="0.25">
      <c r="A20730"/>
      <c r="B20730"/>
    </row>
    <row r="20731" spans="1:2" x14ac:dyDescent="0.25">
      <c r="A20731"/>
      <c r="B20731"/>
    </row>
    <row r="20732" spans="1:2" x14ac:dyDescent="0.25">
      <c r="A20732"/>
      <c r="B20732"/>
    </row>
    <row r="20733" spans="1:2" x14ac:dyDescent="0.25">
      <c r="A20733"/>
      <c r="B20733"/>
    </row>
    <row r="20734" spans="1:2" x14ac:dyDescent="0.25">
      <c r="A20734"/>
      <c r="B20734"/>
    </row>
    <row r="20735" spans="1:2" x14ac:dyDescent="0.25">
      <c r="A20735"/>
      <c r="B20735"/>
    </row>
    <row r="20736" spans="1:2" x14ac:dyDescent="0.25">
      <c r="A20736"/>
      <c r="B20736"/>
    </row>
    <row r="20737" spans="1:2" x14ac:dyDescent="0.25">
      <c r="A20737"/>
      <c r="B20737"/>
    </row>
    <row r="20738" spans="1:2" x14ac:dyDescent="0.25">
      <c r="A20738"/>
      <c r="B20738"/>
    </row>
    <row r="20739" spans="1:2" x14ac:dyDescent="0.25">
      <c r="A20739"/>
      <c r="B20739"/>
    </row>
    <row r="20740" spans="1:2" x14ac:dyDescent="0.25">
      <c r="A20740"/>
      <c r="B20740"/>
    </row>
    <row r="20741" spans="1:2" x14ac:dyDescent="0.25">
      <c r="A20741"/>
      <c r="B20741"/>
    </row>
    <row r="20742" spans="1:2" x14ac:dyDescent="0.25">
      <c r="A20742"/>
      <c r="B20742"/>
    </row>
    <row r="20743" spans="1:2" x14ac:dyDescent="0.25">
      <c r="A20743"/>
      <c r="B20743"/>
    </row>
    <row r="20744" spans="1:2" x14ac:dyDescent="0.25">
      <c r="A20744"/>
      <c r="B20744"/>
    </row>
    <row r="20745" spans="1:2" x14ac:dyDescent="0.25">
      <c r="A20745"/>
      <c r="B20745"/>
    </row>
    <row r="20746" spans="1:2" x14ac:dyDescent="0.25">
      <c r="A20746"/>
      <c r="B20746"/>
    </row>
    <row r="20747" spans="1:2" x14ac:dyDescent="0.25">
      <c r="A20747"/>
      <c r="B20747"/>
    </row>
    <row r="20748" spans="1:2" x14ac:dyDescent="0.25">
      <c r="A20748"/>
      <c r="B20748"/>
    </row>
    <row r="20749" spans="1:2" x14ac:dyDescent="0.25">
      <c r="A20749"/>
      <c r="B20749"/>
    </row>
    <row r="20750" spans="1:2" x14ac:dyDescent="0.25">
      <c r="A20750"/>
      <c r="B20750"/>
    </row>
    <row r="20751" spans="1:2" x14ac:dyDescent="0.25">
      <c r="A20751"/>
      <c r="B20751"/>
    </row>
    <row r="20752" spans="1:2" x14ac:dyDescent="0.25">
      <c r="A20752"/>
      <c r="B20752"/>
    </row>
    <row r="20753" spans="1:2" x14ac:dyDescent="0.25">
      <c r="A20753"/>
      <c r="B20753"/>
    </row>
    <row r="20754" spans="1:2" x14ac:dyDescent="0.25">
      <c r="A20754"/>
      <c r="B20754"/>
    </row>
    <row r="20755" spans="1:2" x14ac:dyDescent="0.25">
      <c r="A20755"/>
      <c r="B20755"/>
    </row>
    <row r="20756" spans="1:2" x14ac:dyDescent="0.25">
      <c r="A20756"/>
      <c r="B20756"/>
    </row>
    <row r="20757" spans="1:2" x14ac:dyDescent="0.25">
      <c r="A20757"/>
      <c r="B20757"/>
    </row>
    <row r="20758" spans="1:2" x14ac:dyDescent="0.25">
      <c r="A20758"/>
      <c r="B20758"/>
    </row>
    <row r="20759" spans="1:2" x14ac:dyDescent="0.25">
      <c r="A20759"/>
      <c r="B20759"/>
    </row>
    <row r="20760" spans="1:2" x14ac:dyDescent="0.25">
      <c r="A20760"/>
      <c r="B20760"/>
    </row>
    <row r="20761" spans="1:2" x14ac:dyDescent="0.25">
      <c r="A20761"/>
      <c r="B20761"/>
    </row>
    <row r="20762" spans="1:2" x14ac:dyDescent="0.25">
      <c r="A20762"/>
      <c r="B20762"/>
    </row>
    <row r="20763" spans="1:2" x14ac:dyDescent="0.25">
      <c r="A20763"/>
      <c r="B20763"/>
    </row>
    <row r="20764" spans="1:2" x14ac:dyDescent="0.25">
      <c r="A20764"/>
      <c r="B20764"/>
    </row>
    <row r="20765" spans="1:2" x14ac:dyDescent="0.25">
      <c r="A20765"/>
      <c r="B20765"/>
    </row>
    <row r="20766" spans="1:2" x14ac:dyDescent="0.25">
      <c r="A20766"/>
      <c r="B20766"/>
    </row>
    <row r="20767" spans="1:2" x14ac:dyDescent="0.25">
      <c r="A20767"/>
      <c r="B20767"/>
    </row>
    <row r="20768" spans="1:2" x14ac:dyDescent="0.25">
      <c r="A20768"/>
      <c r="B20768"/>
    </row>
    <row r="20769" spans="1:2" x14ac:dyDescent="0.25">
      <c r="A20769"/>
      <c r="B20769"/>
    </row>
    <row r="20770" spans="1:2" x14ac:dyDescent="0.25">
      <c r="A20770"/>
      <c r="B20770"/>
    </row>
    <row r="20771" spans="1:2" x14ac:dyDescent="0.25">
      <c r="A20771"/>
      <c r="B20771"/>
    </row>
    <row r="20772" spans="1:2" x14ac:dyDescent="0.25">
      <c r="A20772"/>
      <c r="B20772"/>
    </row>
    <row r="20773" spans="1:2" x14ac:dyDescent="0.25">
      <c r="A20773"/>
      <c r="B20773"/>
    </row>
    <row r="20774" spans="1:2" x14ac:dyDescent="0.25">
      <c r="A20774"/>
      <c r="B20774"/>
    </row>
    <row r="20775" spans="1:2" x14ac:dyDescent="0.25">
      <c r="A20775"/>
      <c r="B20775"/>
    </row>
    <row r="20776" spans="1:2" x14ac:dyDescent="0.25">
      <c r="A20776"/>
      <c r="B20776"/>
    </row>
    <row r="20777" spans="1:2" x14ac:dyDescent="0.25">
      <c r="A20777"/>
      <c r="B20777"/>
    </row>
    <row r="20778" spans="1:2" x14ac:dyDescent="0.25">
      <c r="A20778"/>
      <c r="B20778"/>
    </row>
    <row r="20779" spans="1:2" x14ac:dyDescent="0.25">
      <c r="A20779"/>
      <c r="B20779"/>
    </row>
    <row r="20780" spans="1:2" x14ac:dyDescent="0.25">
      <c r="A20780"/>
      <c r="B20780"/>
    </row>
    <row r="20781" spans="1:2" x14ac:dyDescent="0.25">
      <c r="A20781"/>
      <c r="B20781"/>
    </row>
    <row r="20782" spans="1:2" x14ac:dyDescent="0.25">
      <c r="A20782"/>
      <c r="B20782"/>
    </row>
    <row r="20783" spans="1:2" x14ac:dyDescent="0.25">
      <c r="A20783"/>
      <c r="B20783"/>
    </row>
    <row r="20784" spans="1:2" x14ac:dyDescent="0.25">
      <c r="A20784"/>
      <c r="B20784"/>
    </row>
    <row r="20785" spans="1:2" x14ac:dyDescent="0.25">
      <c r="A20785"/>
      <c r="B20785"/>
    </row>
    <row r="20786" spans="1:2" x14ac:dyDescent="0.25">
      <c r="A20786"/>
      <c r="B20786"/>
    </row>
    <row r="20787" spans="1:2" x14ac:dyDescent="0.25">
      <c r="A20787"/>
      <c r="B20787"/>
    </row>
    <row r="20788" spans="1:2" x14ac:dyDescent="0.25">
      <c r="A20788"/>
      <c r="B20788"/>
    </row>
    <row r="20789" spans="1:2" x14ac:dyDescent="0.25">
      <c r="A20789"/>
      <c r="B20789"/>
    </row>
    <row r="20790" spans="1:2" x14ac:dyDescent="0.25">
      <c r="A20790"/>
      <c r="B20790"/>
    </row>
    <row r="20791" spans="1:2" x14ac:dyDescent="0.25">
      <c r="A20791"/>
      <c r="B20791"/>
    </row>
    <row r="20792" spans="1:2" x14ac:dyDescent="0.25">
      <c r="A20792"/>
      <c r="B20792"/>
    </row>
    <row r="20793" spans="1:2" x14ac:dyDescent="0.25">
      <c r="A20793"/>
      <c r="B20793"/>
    </row>
    <row r="20794" spans="1:2" x14ac:dyDescent="0.25">
      <c r="A20794"/>
      <c r="B20794"/>
    </row>
    <row r="20795" spans="1:2" x14ac:dyDescent="0.25">
      <c r="A20795"/>
      <c r="B20795"/>
    </row>
    <row r="20796" spans="1:2" x14ac:dyDescent="0.25">
      <c r="A20796"/>
      <c r="B20796"/>
    </row>
    <row r="20797" spans="1:2" x14ac:dyDescent="0.25">
      <c r="A20797"/>
      <c r="B20797"/>
    </row>
    <row r="20798" spans="1:2" x14ac:dyDescent="0.25">
      <c r="A20798"/>
      <c r="B20798"/>
    </row>
    <row r="20799" spans="1:2" x14ac:dyDescent="0.25">
      <c r="A20799"/>
      <c r="B20799"/>
    </row>
    <row r="20800" spans="1:2" x14ac:dyDescent="0.25">
      <c r="A20800"/>
      <c r="B20800"/>
    </row>
    <row r="20801" spans="1:2" x14ac:dyDescent="0.25">
      <c r="A20801"/>
      <c r="B20801"/>
    </row>
    <row r="20802" spans="1:2" x14ac:dyDescent="0.25">
      <c r="A20802"/>
      <c r="B20802"/>
    </row>
    <row r="20803" spans="1:2" x14ac:dyDescent="0.25">
      <c r="A20803"/>
      <c r="B20803"/>
    </row>
    <row r="20804" spans="1:2" x14ac:dyDescent="0.25">
      <c r="A20804"/>
      <c r="B20804"/>
    </row>
    <row r="20805" spans="1:2" x14ac:dyDescent="0.25">
      <c r="A20805"/>
      <c r="B20805"/>
    </row>
    <row r="20806" spans="1:2" x14ac:dyDescent="0.25">
      <c r="A20806"/>
      <c r="B20806"/>
    </row>
    <row r="20807" spans="1:2" x14ac:dyDescent="0.25">
      <c r="A20807"/>
      <c r="B20807"/>
    </row>
    <row r="20808" spans="1:2" x14ac:dyDescent="0.25">
      <c r="A20808"/>
      <c r="B20808"/>
    </row>
    <row r="20809" spans="1:2" x14ac:dyDescent="0.25">
      <c r="A20809"/>
      <c r="B20809"/>
    </row>
    <row r="20810" spans="1:2" x14ac:dyDescent="0.25">
      <c r="A20810"/>
      <c r="B20810"/>
    </row>
    <row r="20811" spans="1:2" x14ac:dyDescent="0.25">
      <c r="A20811"/>
      <c r="B20811"/>
    </row>
    <row r="20812" spans="1:2" x14ac:dyDescent="0.25">
      <c r="A20812"/>
      <c r="B20812"/>
    </row>
    <row r="20813" spans="1:2" x14ac:dyDescent="0.25">
      <c r="A20813"/>
      <c r="B20813"/>
    </row>
    <row r="20814" spans="1:2" x14ac:dyDescent="0.25">
      <c r="A20814"/>
      <c r="B20814"/>
    </row>
    <row r="20815" spans="1:2" x14ac:dyDescent="0.25">
      <c r="A20815"/>
      <c r="B20815"/>
    </row>
    <row r="20816" spans="1:2" x14ac:dyDescent="0.25">
      <c r="A20816"/>
      <c r="B20816"/>
    </row>
    <row r="20817" spans="1:2" x14ac:dyDescent="0.25">
      <c r="A20817"/>
      <c r="B20817"/>
    </row>
    <row r="20818" spans="1:2" x14ac:dyDescent="0.25">
      <c r="A20818"/>
      <c r="B20818"/>
    </row>
    <row r="20819" spans="1:2" x14ac:dyDescent="0.25">
      <c r="A20819"/>
      <c r="B20819"/>
    </row>
    <row r="20820" spans="1:2" x14ac:dyDescent="0.25">
      <c r="A20820"/>
      <c r="B20820"/>
    </row>
    <row r="20821" spans="1:2" x14ac:dyDescent="0.25">
      <c r="A20821"/>
      <c r="B20821"/>
    </row>
    <row r="20822" spans="1:2" x14ac:dyDescent="0.25">
      <c r="A20822"/>
      <c r="B20822"/>
    </row>
    <row r="20823" spans="1:2" x14ac:dyDescent="0.25">
      <c r="A20823"/>
      <c r="B20823"/>
    </row>
    <row r="20824" spans="1:2" x14ac:dyDescent="0.25">
      <c r="A20824"/>
      <c r="B20824"/>
    </row>
    <row r="20825" spans="1:2" x14ac:dyDescent="0.25">
      <c r="A20825"/>
      <c r="B20825"/>
    </row>
    <row r="20826" spans="1:2" x14ac:dyDescent="0.25">
      <c r="A20826"/>
      <c r="B20826"/>
    </row>
    <row r="20827" spans="1:2" x14ac:dyDescent="0.25">
      <c r="A20827"/>
      <c r="B20827"/>
    </row>
    <row r="20828" spans="1:2" x14ac:dyDescent="0.25">
      <c r="A20828"/>
      <c r="B20828"/>
    </row>
    <row r="20829" spans="1:2" x14ac:dyDescent="0.25">
      <c r="A20829"/>
      <c r="B20829"/>
    </row>
    <row r="20830" spans="1:2" x14ac:dyDescent="0.25">
      <c r="A20830"/>
      <c r="B20830"/>
    </row>
    <row r="20831" spans="1:2" x14ac:dyDescent="0.25">
      <c r="A20831"/>
      <c r="B20831"/>
    </row>
    <row r="20832" spans="1:2" x14ac:dyDescent="0.25">
      <c r="A20832"/>
      <c r="B20832"/>
    </row>
    <row r="20833" spans="1:2" x14ac:dyDescent="0.25">
      <c r="A20833"/>
      <c r="B20833"/>
    </row>
    <row r="20834" spans="1:2" x14ac:dyDescent="0.25">
      <c r="A20834"/>
      <c r="B20834"/>
    </row>
    <row r="20835" spans="1:2" x14ac:dyDescent="0.25">
      <c r="A20835"/>
      <c r="B20835"/>
    </row>
    <row r="20836" spans="1:2" x14ac:dyDescent="0.25">
      <c r="A20836"/>
      <c r="B20836"/>
    </row>
    <row r="20837" spans="1:2" x14ac:dyDescent="0.25">
      <c r="A20837"/>
      <c r="B20837"/>
    </row>
    <row r="20838" spans="1:2" x14ac:dyDescent="0.25">
      <c r="A20838"/>
      <c r="B20838"/>
    </row>
    <row r="20839" spans="1:2" x14ac:dyDescent="0.25">
      <c r="A20839"/>
      <c r="B20839"/>
    </row>
    <row r="20840" spans="1:2" x14ac:dyDescent="0.25">
      <c r="A20840"/>
      <c r="B20840"/>
    </row>
    <row r="20841" spans="1:2" x14ac:dyDescent="0.25">
      <c r="A20841"/>
      <c r="B20841"/>
    </row>
    <row r="20842" spans="1:2" x14ac:dyDescent="0.25">
      <c r="A20842"/>
      <c r="B20842"/>
    </row>
    <row r="20843" spans="1:2" x14ac:dyDescent="0.25">
      <c r="A20843"/>
      <c r="B20843"/>
    </row>
    <row r="20844" spans="1:2" x14ac:dyDescent="0.25">
      <c r="A20844"/>
      <c r="B20844"/>
    </row>
    <row r="20845" spans="1:2" x14ac:dyDescent="0.25">
      <c r="A20845"/>
      <c r="B20845"/>
    </row>
    <row r="20846" spans="1:2" x14ac:dyDescent="0.25">
      <c r="A20846"/>
      <c r="B20846"/>
    </row>
    <row r="20847" spans="1:2" x14ac:dyDescent="0.25">
      <c r="A20847"/>
      <c r="B20847"/>
    </row>
    <row r="20848" spans="1:2" x14ac:dyDescent="0.25">
      <c r="A20848"/>
      <c r="B20848"/>
    </row>
    <row r="20849" spans="1:2" x14ac:dyDescent="0.25">
      <c r="A20849"/>
      <c r="B20849"/>
    </row>
    <row r="20850" spans="1:2" x14ac:dyDescent="0.25">
      <c r="A20850"/>
      <c r="B20850"/>
    </row>
    <row r="20851" spans="1:2" x14ac:dyDescent="0.25">
      <c r="A20851"/>
      <c r="B20851"/>
    </row>
    <row r="20852" spans="1:2" x14ac:dyDescent="0.25">
      <c r="A20852"/>
      <c r="B20852"/>
    </row>
    <row r="20853" spans="1:2" x14ac:dyDescent="0.25">
      <c r="A20853"/>
      <c r="B20853"/>
    </row>
    <row r="20854" spans="1:2" x14ac:dyDescent="0.25">
      <c r="A20854"/>
      <c r="B20854"/>
    </row>
    <row r="20855" spans="1:2" x14ac:dyDescent="0.25">
      <c r="A20855"/>
      <c r="B20855"/>
    </row>
    <row r="20856" spans="1:2" x14ac:dyDescent="0.25">
      <c r="A20856"/>
      <c r="B20856"/>
    </row>
    <row r="20857" spans="1:2" x14ac:dyDescent="0.25">
      <c r="A20857"/>
      <c r="B20857"/>
    </row>
    <row r="20858" spans="1:2" x14ac:dyDescent="0.25">
      <c r="A20858"/>
      <c r="B20858"/>
    </row>
    <row r="20859" spans="1:2" x14ac:dyDescent="0.25">
      <c r="A20859"/>
      <c r="B20859"/>
    </row>
    <row r="20860" spans="1:2" x14ac:dyDescent="0.25">
      <c r="A20860"/>
      <c r="B20860"/>
    </row>
    <row r="20861" spans="1:2" x14ac:dyDescent="0.25">
      <c r="A20861"/>
      <c r="B20861"/>
    </row>
    <row r="20862" spans="1:2" x14ac:dyDescent="0.25">
      <c r="A20862"/>
      <c r="B20862"/>
    </row>
    <row r="20863" spans="1:2" x14ac:dyDescent="0.25">
      <c r="A20863"/>
      <c r="B20863"/>
    </row>
    <row r="20864" spans="1:2" x14ac:dyDescent="0.25">
      <c r="A20864"/>
      <c r="B20864"/>
    </row>
    <row r="20865" spans="1:2" x14ac:dyDescent="0.25">
      <c r="A20865"/>
      <c r="B20865"/>
    </row>
    <row r="20866" spans="1:2" x14ac:dyDescent="0.25">
      <c r="A20866"/>
      <c r="B20866"/>
    </row>
    <row r="20867" spans="1:2" x14ac:dyDescent="0.25">
      <c r="A20867"/>
      <c r="B20867"/>
    </row>
    <row r="20868" spans="1:2" x14ac:dyDescent="0.25">
      <c r="A20868"/>
      <c r="B20868"/>
    </row>
    <row r="20869" spans="1:2" x14ac:dyDescent="0.25">
      <c r="A20869"/>
      <c r="B20869"/>
    </row>
    <row r="20870" spans="1:2" x14ac:dyDescent="0.25">
      <c r="A20870"/>
      <c r="B20870"/>
    </row>
    <row r="20871" spans="1:2" x14ac:dyDescent="0.25">
      <c r="A20871"/>
      <c r="B20871"/>
    </row>
    <row r="20872" spans="1:2" x14ac:dyDescent="0.25">
      <c r="A20872"/>
      <c r="B20872"/>
    </row>
    <row r="20873" spans="1:2" x14ac:dyDescent="0.25">
      <c r="A20873"/>
      <c r="B20873"/>
    </row>
    <row r="20874" spans="1:2" x14ac:dyDescent="0.25">
      <c r="A20874"/>
      <c r="B20874"/>
    </row>
    <row r="20875" spans="1:2" x14ac:dyDescent="0.25">
      <c r="A20875"/>
      <c r="B20875"/>
    </row>
    <row r="20876" spans="1:2" x14ac:dyDescent="0.25">
      <c r="A20876"/>
      <c r="B20876"/>
    </row>
    <row r="20877" spans="1:2" x14ac:dyDescent="0.25">
      <c r="A20877"/>
      <c r="B20877"/>
    </row>
    <row r="20878" spans="1:2" x14ac:dyDescent="0.25">
      <c r="A20878"/>
      <c r="B20878"/>
    </row>
    <row r="20879" spans="1:2" x14ac:dyDescent="0.25">
      <c r="A20879"/>
      <c r="B20879"/>
    </row>
    <row r="20880" spans="1:2" x14ac:dyDescent="0.25">
      <c r="A20880"/>
      <c r="B20880"/>
    </row>
    <row r="20881" spans="1:2" x14ac:dyDescent="0.25">
      <c r="A20881"/>
      <c r="B20881"/>
    </row>
    <row r="20882" spans="1:2" x14ac:dyDescent="0.25">
      <c r="A20882"/>
      <c r="B20882"/>
    </row>
    <row r="20883" spans="1:2" x14ac:dyDescent="0.25">
      <c r="A20883"/>
      <c r="B20883"/>
    </row>
    <row r="20884" spans="1:2" x14ac:dyDescent="0.25">
      <c r="A20884"/>
      <c r="B20884"/>
    </row>
    <row r="20885" spans="1:2" x14ac:dyDescent="0.25">
      <c r="A20885"/>
      <c r="B20885"/>
    </row>
    <row r="20886" spans="1:2" x14ac:dyDescent="0.25">
      <c r="A20886"/>
      <c r="B20886"/>
    </row>
    <row r="20887" spans="1:2" x14ac:dyDescent="0.25">
      <c r="A20887"/>
      <c r="B20887"/>
    </row>
    <row r="20888" spans="1:2" x14ac:dyDescent="0.25">
      <c r="A20888"/>
      <c r="B20888"/>
    </row>
    <row r="20889" spans="1:2" x14ac:dyDescent="0.25">
      <c r="A20889"/>
      <c r="B20889"/>
    </row>
    <row r="20890" spans="1:2" x14ac:dyDescent="0.25">
      <c r="A20890"/>
      <c r="B20890"/>
    </row>
    <row r="20891" spans="1:2" x14ac:dyDescent="0.25">
      <c r="A20891"/>
      <c r="B20891"/>
    </row>
    <row r="20892" spans="1:2" x14ac:dyDescent="0.25">
      <c r="A20892"/>
      <c r="B20892"/>
    </row>
    <row r="20893" spans="1:2" x14ac:dyDescent="0.25">
      <c r="A20893"/>
      <c r="B20893"/>
    </row>
    <row r="20894" spans="1:2" x14ac:dyDescent="0.25">
      <c r="A20894"/>
      <c r="B20894"/>
    </row>
    <row r="20895" spans="1:2" x14ac:dyDescent="0.25">
      <c r="A20895"/>
      <c r="B20895"/>
    </row>
    <row r="20896" spans="1:2" x14ac:dyDescent="0.25">
      <c r="A20896"/>
      <c r="B20896"/>
    </row>
    <row r="20897" spans="1:2" x14ac:dyDescent="0.25">
      <c r="A20897"/>
      <c r="B20897"/>
    </row>
    <row r="20898" spans="1:2" x14ac:dyDescent="0.25">
      <c r="A20898"/>
      <c r="B20898"/>
    </row>
    <row r="20899" spans="1:2" x14ac:dyDescent="0.25">
      <c r="A20899"/>
      <c r="B20899"/>
    </row>
    <row r="20900" spans="1:2" x14ac:dyDescent="0.25">
      <c r="A20900"/>
      <c r="B20900"/>
    </row>
    <row r="20901" spans="1:2" x14ac:dyDescent="0.25">
      <c r="A20901"/>
      <c r="B20901"/>
    </row>
    <row r="20902" spans="1:2" x14ac:dyDescent="0.25">
      <c r="A20902"/>
      <c r="B20902"/>
    </row>
    <row r="20903" spans="1:2" x14ac:dyDescent="0.25">
      <c r="A20903"/>
      <c r="B20903"/>
    </row>
    <row r="20904" spans="1:2" x14ac:dyDescent="0.25">
      <c r="A20904"/>
      <c r="B20904"/>
    </row>
    <row r="20905" spans="1:2" x14ac:dyDescent="0.25">
      <c r="A20905"/>
      <c r="B20905"/>
    </row>
    <row r="20906" spans="1:2" x14ac:dyDescent="0.25">
      <c r="A20906"/>
      <c r="B20906"/>
    </row>
    <row r="20907" spans="1:2" x14ac:dyDescent="0.25">
      <c r="A20907"/>
      <c r="B20907"/>
    </row>
    <row r="20908" spans="1:2" x14ac:dyDescent="0.25">
      <c r="A20908"/>
      <c r="B20908"/>
    </row>
    <row r="20909" spans="1:2" x14ac:dyDescent="0.25">
      <c r="A20909"/>
      <c r="B20909"/>
    </row>
    <row r="20910" spans="1:2" x14ac:dyDescent="0.25">
      <c r="A20910"/>
      <c r="B20910"/>
    </row>
    <row r="20911" spans="1:2" x14ac:dyDescent="0.25">
      <c r="A20911"/>
      <c r="B20911"/>
    </row>
    <row r="20912" spans="1:2" x14ac:dyDescent="0.25">
      <c r="A20912"/>
      <c r="B20912"/>
    </row>
    <row r="20913" spans="1:2" x14ac:dyDescent="0.25">
      <c r="A20913"/>
      <c r="B20913"/>
    </row>
    <row r="20914" spans="1:2" x14ac:dyDescent="0.25">
      <c r="A20914"/>
      <c r="B20914"/>
    </row>
    <row r="20915" spans="1:2" x14ac:dyDescent="0.25">
      <c r="A20915"/>
      <c r="B20915"/>
    </row>
    <row r="20916" spans="1:2" x14ac:dyDescent="0.25">
      <c r="A20916"/>
      <c r="B20916"/>
    </row>
    <row r="20917" spans="1:2" x14ac:dyDescent="0.25">
      <c r="A20917"/>
      <c r="B20917"/>
    </row>
    <row r="20918" spans="1:2" x14ac:dyDescent="0.25">
      <c r="A20918"/>
      <c r="B20918"/>
    </row>
    <row r="20919" spans="1:2" x14ac:dyDescent="0.25">
      <c r="A20919"/>
      <c r="B20919"/>
    </row>
    <row r="20920" spans="1:2" x14ac:dyDescent="0.25">
      <c r="A20920"/>
      <c r="B20920"/>
    </row>
    <row r="20921" spans="1:2" x14ac:dyDescent="0.25">
      <c r="A20921"/>
      <c r="B20921"/>
    </row>
    <row r="20922" spans="1:2" x14ac:dyDescent="0.25">
      <c r="A20922"/>
      <c r="B20922"/>
    </row>
    <row r="20923" spans="1:2" x14ac:dyDescent="0.25">
      <c r="A20923"/>
      <c r="B20923"/>
    </row>
    <row r="20924" spans="1:2" x14ac:dyDescent="0.25">
      <c r="A20924"/>
      <c r="B20924"/>
    </row>
    <row r="20925" spans="1:2" x14ac:dyDescent="0.25">
      <c r="A20925"/>
      <c r="B20925"/>
    </row>
    <row r="20926" spans="1:2" x14ac:dyDescent="0.25">
      <c r="A20926"/>
      <c r="B20926"/>
    </row>
    <row r="20927" spans="1:2" x14ac:dyDescent="0.25">
      <c r="A20927"/>
      <c r="B20927"/>
    </row>
    <row r="20928" spans="1:2" x14ac:dyDescent="0.25">
      <c r="A20928"/>
      <c r="B20928"/>
    </row>
    <row r="20929" spans="1:2" x14ac:dyDescent="0.25">
      <c r="A20929"/>
      <c r="B20929"/>
    </row>
    <row r="20930" spans="1:2" x14ac:dyDescent="0.25">
      <c r="A20930"/>
      <c r="B20930"/>
    </row>
    <row r="20931" spans="1:2" x14ac:dyDescent="0.25">
      <c r="A20931"/>
      <c r="B20931"/>
    </row>
    <row r="20932" spans="1:2" x14ac:dyDescent="0.25">
      <c r="A20932"/>
      <c r="B20932"/>
    </row>
    <row r="20933" spans="1:2" x14ac:dyDescent="0.25">
      <c r="A20933"/>
      <c r="B20933"/>
    </row>
    <row r="20934" spans="1:2" x14ac:dyDescent="0.25">
      <c r="A20934"/>
      <c r="B20934"/>
    </row>
    <row r="20935" spans="1:2" x14ac:dyDescent="0.25">
      <c r="A20935"/>
      <c r="B20935"/>
    </row>
    <row r="20936" spans="1:2" x14ac:dyDescent="0.25">
      <c r="A20936"/>
      <c r="B20936"/>
    </row>
    <row r="20937" spans="1:2" x14ac:dyDescent="0.25">
      <c r="A20937"/>
      <c r="B20937"/>
    </row>
    <row r="20938" spans="1:2" x14ac:dyDescent="0.25">
      <c r="A20938"/>
      <c r="B20938"/>
    </row>
    <row r="20939" spans="1:2" x14ac:dyDescent="0.25">
      <c r="A20939"/>
      <c r="B20939"/>
    </row>
    <row r="20940" spans="1:2" x14ac:dyDescent="0.25">
      <c r="A20940"/>
      <c r="B20940"/>
    </row>
    <row r="20941" spans="1:2" x14ac:dyDescent="0.25">
      <c r="A20941"/>
      <c r="B20941"/>
    </row>
    <row r="20942" spans="1:2" x14ac:dyDescent="0.25">
      <c r="A20942"/>
      <c r="B20942"/>
    </row>
    <row r="20943" spans="1:2" x14ac:dyDescent="0.25">
      <c r="A20943"/>
      <c r="B20943"/>
    </row>
    <row r="20944" spans="1:2" x14ac:dyDescent="0.25">
      <c r="A20944"/>
      <c r="B20944"/>
    </row>
    <row r="20945" spans="1:2" x14ac:dyDescent="0.25">
      <c r="A20945"/>
      <c r="B20945"/>
    </row>
    <row r="20946" spans="1:2" x14ac:dyDescent="0.25">
      <c r="A20946"/>
      <c r="B20946"/>
    </row>
    <row r="20947" spans="1:2" x14ac:dyDescent="0.25">
      <c r="A20947"/>
      <c r="B20947"/>
    </row>
    <row r="20948" spans="1:2" x14ac:dyDescent="0.25">
      <c r="A20948"/>
      <c r="B20948"/>
    </row>
    <row r="20949" spans="1:2" x14ac:dyDescent="0.25">
      <c r="A20949"/>
      <c r="B20949"/>
    </row>
    <row r="20950" spans="1:2" x14ac:dyDescent="0.25">
      <c r="A20950"/>
      <c r="B20950"/>
    </row>
    <row r="20951" spans="1:2" x14ac:dyDescent="0.25">
      <c r="A20951"/>
      <c r="B20951"/>
    </row>
    <row r="20952" spans="1:2" x14ac:dyDescent="0.25">
      <c r="A20952"/>
      <c r="B20952"/>
    </row>
    <row r="20953" spans="1:2" x14ac:dyDescent="0.25">
      <c r="A20953"/>
      <c r="B20953"/>
    </row>
    <row r="20954" spans="1:2" x14ac:dyDescent="0.25">
      <c r="A20954"/>
      <c r="B20954"/>
    </row>
    <row r="20955" spans="1:2" x14ac:dyDescent="0.25">
      <c r="A20955"/>
      <c r="B20955"/>
    </row>
    <row r="20956" spans="1:2" x14ac:dyDescent="0.25">
      <c r="A20956"/>
      <c r="B20956"/>
    </row>
    <row r="20957" spans="1:2" x14ac:dyDescent="0.25">
      <c r="A20957"/>
      <c r="B20957"/>
    </row>
    <row r="20958" spans="1:2" x14ac:dyDescent="0.25">
      <c r="A20958"/>
      <c r="B20958"/>
    </row>
    <row r="20959" spans="1:2" x14ac:dyDescent="0.25">
      <c r="A20959"/>
      <c r="B20959"/>
    </row>
    <row r="20960" spans="1:2" x14ac:dyDescent="0.25">
      <c r="A20960"/>
      <c r="B20960"/>
    </row>
    <row r="20961" spans="1:2" x14ac:dyDescent="0.25">
      <c r="A20961"/>
      <c r="B20961"/>
    </row>
    <row r="20962" spans="1:2" x14ac:dyDescent="0.25">
      <c r="A20962"/>
      <c r="B20962"/>
    </row>
    <row r="20963" spans="1:2" x14ac:dyDescent="0.25">
      <c r="A20963"/>
      <c r="B20963"/>
    </row>
    <row r="20964" spans="1:2" x14ac:dyDescent="0.25">
      <c r="A20964"/>
      <c r="B20964"/>
    </row>
    <row r="20965" spans="1:2" x14ac:dyDescent="0.25">
      <c r="A20965"/>
      <c r="B20965"/>
    </row>
    <row r="20966" spans="1:2" x14ac:dyDescent="0.25">
      <c r="A20966"/>
      <c r="B20966"/>
    </row>
    <row r="20967" spans="1:2" x14ac:dyDescent="0.25">
      <c r="A20967"/>
      <c r="B20967"/>
    </row>
    <row r="20968" spans="1:2" x14ac:dyDescent="0.25">
      <c r="A20968"/>
      <c r="B20968"/>
    </row>
    <row r="20969" spans="1:2" x14ac:dyDescent="0.25">
      <c r="A20969"/>
      <c r="B20969"/>
    </row>
    <row r="20970" spans="1:2" x14ac:dyDescent="0.25">
      <c r="A20970"/>
      <c r="B20970"/>
    </row>
    <row r="20971" spans="1:2" x14ac:dyDescent="0.25">
      <c r="A20971"/>
      <c r="B20971"/>
    </row>
    <row r="20972" spans="1:2" x14ac:dyDescent="0.25">
      <c r="A20972"/>
      <c r="B20972"/>
    </row>
    <row r="20973" spans="1:2" x14ac:dyDescent="0.25">
      <c r="A20973"/>
      <c r="B20973"/>
    </row>
    <row r="20974" spans="1:2" x14ac:dyDescent="0.25">
      <c r="A20974"/>
      <c r="B20974"/>
    </row>
    <row r="20975" spans="1:2" x14ac:dyDescent="0.25">
      <c r="A20975"/>
      <c r="B20975"/>
    </row>
    <row r="20976" spans="1:2" x14ac:dyDescent="0.25">
      <c r="A20976"/>
      <c r="B20976"/>
    </row>
    <row r="20977" spans="1:2" x14ac:dyDescent="0.25">
      <c r="A20977"/>
      <c r="B20977"/>
    </row>
    <row r="20978" spans="1:2" x14ac:dyDescent="0.25">
      <c r="A20978"/>
      <c r="B20978"/>
    </row>
    <row r="20979" spans="1:2" x14ac:dyDescent="0.25">
      <c r="A20979"/>
      <c r="B20979"/>
    </row>
    <row r="20980" spans="1:2" x14ac:dyDescent="0.25">
      <c r="A20980"/>
      <c r="B20980"/>
    </row>
    <row r="20981" spans="1:2" x14ac:dyDescent="0.25">
      <c r="A20981"/>
      <c r="B20981"/>
    </row>
    <row r="20982" spans="1:2" x14ac:dyDescent="0.25">
      <c r="A20982"/>
      <c r="B20982"/>
    </row>
    <row r="20983" spans="1:2" x14ac:dyDescent="0.25">
      <c r="A20983"/>
      <c r="B20983"/>
    </row>
    <row r="20984" spans="1:2" x14ac:dyDescent="0.25">
      <c r="A20984"/>
      <c r="B20984"/>
    </row>
    <row r="20985" spans="1:2" x14ac:dyDescent="0.25">
      <c r="A20985"/>
      <c r="B20985"/>
    </row>
    <row r="20986" spans="1:2" x14ac:dyDescent="0.25">
      <c r="A20986"/>
      <c r="B20986"/>
    </row>
    <row r="20987" spans="1:2" x14ac:dyDescent="0.25">
      <c r="A20987"/>
      <c r="B20987"/>
    </row>
    <row r="20988" spans="1:2" x14ac:dyDescent="0.25">
      <c r="A20988"/>
      <c r="B20988"/>
    </row>
    <row r="20989" spans="1:2" x14ac:dyDescent="0.25">
      <c r="A20989"/>
      <c r="B20989"/>
    </row>
    <row r="20990" spans="1:2" x14ac:dyDescent="0.25">
      <c r="A20990"/>
      <c r="B20990"/>
    </row>
    <row r="20991" spans="1:2" x14ac:dyDescent="0.25">
      <c r="A20991"/>
      <c r="B20991"/>
    </row>
    <row r="20992" spans="1:2" x14ac:dyDescent="0.25">
      <c r="A20992"/>
      <c r="B20992"/>
    </row>
    <row r="20993" spans="1:2" x14ac:dyDescent="0.25">
      <c r="A20993"/>
      <c r="B20993"/>
    </row>
    <row r="20994" spans="1:2" x14ac:dyDescent="0.25">
      <c r="A20994"/>
      <c r="B20994"/>
    </row>
    <row r="20995" spans="1:2" x14ac:dyDescent="0.25">
      <c r="A20995"/>
      <c r="B20995"/>
    </row>
    <row r="20996" spans="1:2" x14ac:dyDescent="0.25">
      <c r="A20996"/>
      <c r="B20996"/>
    </row>
    <row r="20997" spans="1:2" x14ac:dyDescent="0.25">
      <c r="A20997"/>
      <c r="B20997"/>
    </row>
    <row r="20998" spans="1:2" x14ac:dyDescent="0.25">
      <c r="A20998"/>
      <c r="B20998"/>
    </row>
    <row r="20999" spans="1:2" x14ac:dyDescent="0.25">
      <c r="A20999"/>
      <c r="B20999"/>
    </row>
    <row r="21000" spans="1:2" x14ac:dyDescent="0.25">
      <c r="A21000"/>
      <c r="B21000"/>
    </row>
    <row r="21001" spans="1:2" x14ac:dyDescent="0.25">
      <c r="A21001"/>
      <c r="B21001"/>
    </row>
    <row r="21002" spans="1:2" x14ac:dyDescent="0.25">
      <c r="A21002"/>
      <c r="B21002"/>
    </row>
    <row r="21003" spans="1:2" x14ac:dyDescent="0.25">
      <c r="A21003"/>
      <c r="B21003"/>
    </row>
    <row r="21004" spans="1:2" x14ac:dyDescent="0.25">
      <c r="A21004"/>
      <c r="B21004"/>
    </row>
    <row r="21005" spans="1:2" x14ac:dyDescent="0.25">
      <c r="A21005"/>
      <c r="B21005"/>
    </row>
    <row r="21006" spans="1:2" x14ac:dyDescent="0.25">
      <c r="A21006"/>
      <c r="B21006"/>
    </row>
    <row r="21007" spans="1:2" x14ac:dyDescent="0.25">
      <c r="A21007"/>
      <c r="B21007"/>
    </row>
    <row r="21008" spans="1:2" x14ac:dyDescent="0.25">
      <c r="A21008"/>
      <c r="B21008"/>
    </row>
    <row r="21009" spans="1:2" x14ac:dyDescent="0.25">
      <c r="A21009"/>
      <c r="B21009"/>
    </row>
    <row r="21010" spans="1:2" x14ac:dyDescent="0.25">
      <c r="A21010"/>
      <c r="B21010"/>
    </row>
    <row r="21011" spans="1:2" x14ac:dyDescent="0.25">
      <c r="A21011"/>
      <c r="B21011"/>
    </row>
    <row r="21012" spans="1:2" x14ac:dyDescent="0.25">
      <c r="A21012"/>
      <c r="B21012"/>
    </row>
    <row r="21013" spans="1:2" x14ac:dyDescent="0.25">
      <c r="A21013"/>
      <c r="B21013"/>
    </row>
    <row r="21014" spans="1:2" x14ac:dyDescent="0.25">
      <c r="A21014"/>
      <c r="B21014"/>
    </row>
    <row r="21015" spans="1:2" x14ac:dyDescent="0.25">
      <c r="A21015"/>
      <c r="B21015"/>
    </row>
    <row r="21016" spans="1:2" x14ac:dyDescent="0.25">
      <c r="A21016"/>
      <c r="B21016"/>
    </row>
    <row r="21017" spans="1:2" x14ac:dyDescent="0.25">
      <c r="A21017"/>
      <c r="B21017"/>
    </row>
    <row r="21018" spans="1:2" x14ac:dyDescent="0.25">
      <c r="A21018"/>
      <c r="B21018"/>
    </row>
    <row r="21019" spans="1:2" x14ac:dyDescent="0.25">
      <c r="A21019"/>
      <c r="B21019"/>
    </row>
    <row r="21020" spans="1:2" x14ac:dyDescent="0.25">
      <c r="A21020"/>
      <c r="B21020"/>
    </row>
    <row r="21021" spans="1:2" x14ac:dyDescent="0.25">
      <c r="A21021"/>
      <c r="B21021"/>
    </row>
    <row r="21022" spans="1:2" x14ac:dyDescent="0.25">
      <c r="A21022"/>
      <c r="B21022"/>
    </row>
    <row r="21023" spans="1:2" x14ac:dyDescent="0.25">
      <c r="A21023"/>
      <c r="B21023"/>
    </row>
    <row r="21024" spans="1:2" x14ac:dyDescent="0.25">
      <c r="A21024"/>
      <c r="B21024"/>
    </row>
    <row r="21025" spans="1:2" x14ac:dyDescent="0.25">
      <c r="A21025"/>
      <c r="B21025"/>
    </row>
    <row r="21026" spans="1:2" x14ac:dyDescent="0.25">
      <c r="A21026"/>
      <c r="B21026"/>
    </row>
    <row r="21027" spans="1:2" x14ac:dyDescent="0.25">
      <c r="A21027"/>
      <c r="B21027"/>
    </row>
    <row r="21028" spans="1:2" x14ac:dyDescent="0.25">
      <c r="A21028"/>
      <c r="B21028"/>
    </row>
    <row r="21029" spans="1:2" x14ac:dyDescent="0.25">
      <c r="A21029"/>
      <c r="B21029"/>
    </row>
    <row r="21030" spans="1:2" x14ac:dyDescent="0.25">
      <c r="A21030"/>
      <c r="B21030"/>
    </row>
    <row r="21031" spans="1:2" x14ac:dyDescent="0.25">
      <c r="A21031"/>
      <c r="B21031"/>
    </row>
    <row r="21032" spans="1:2" x14ac:dyDescent="0.25">
      <c r="A21032"/>
      <c r="B21032"/>
    </row>
    <row r="21033" spans="1:2" x14ac:dyDescent="0.25">
      <c r="A21033"/>
      <c r="B21033"/>
    </row>
    <row r="21034" spans="1:2" x14ac:dyDescent="0.25">
      <c r="A21034"/>
      <c r="B21034"/>
    </row>
    <row r="21035" spans="1:2" x14ac:dyDescent="0.25">
      <c r="A21035"/>
      <c r="B21035"/>
    </row>
    <row r="21036" spans="1:2" x14ac:dyDescent="0.25">
      <c r="A21036"/>
      <c r="B21036"/>
    </row>
    <row r="21037" spans="1:2" x14ac:dyDescent="0.25">
      <c r="A21037"/>
      <c r="B21037"/>
    </row>
    <row r="21038" spans="1:2" x14ac:dyDescent="0.25">
      <c r="A21038"/>
      <c r="B21038"/>
    </row>
    <row r="21039" spans="1:2" x14ac:dyDescent="0.25">
      <c r="A21039"/>
      <c r="B21039"/>
    </row>
    <row r="21040" spans="1:2" x14ac:dyDescent="0.25">
      <c r="A21040"/>
      <c r="B21040"/>
    </row>
    <row r="21041" spans="1:2" x14ac:dyDescent="0.25">
      <c r="A21041"/>
      <c r="B21041"/>
    </row>
    <row r="21042" spans="1:2" x14ac:dyDescent="0.25">
      <c r="A21042"/>
      <c r="B21042"/>
    </row>
    <row r="21043" spans="1:2" x14ac:dyDescent="0.25">
      <c r="A21043"/>
      <c r="B21043"/>
    </row>
    <row r="21044" spans="1:2" x14ac:dyDescent="0.25">
      <c r="A21044"/>
      <c r="B21044"/>
    </row>
    <row r="21045" spans="1:2" x14ac:dyDescent="0.25">
      <c r="A21045"/>
      <c r="B21045"/>
    </row>
    <row r="21046" spans="1:2" x14ac:dyDescent="0.25">
      <c r="A21046"/>
      <c r="B21046"/>
    </row>
    <row r="21047" spans="1:2" x14ac:dyDescent="0.25">
      <c r="A21047"/>
      <c r="B21047"/>
    </row>
    <row r="21048" spans="1:2" x14ac:dyDescent="0.25">
      <c r="A21048"/>
      <c r="B21048"/>
    </row>
    <row r="21049" spans="1:2" x14ac:dyDescent="0.25">
      <c r="A21049"/>
      <c r="B21049"/>
    </row>
    <row r="21050" spans="1:2" x14ac:dyDescent="0.25">
      <c r="A21050"/>
      <c r="B21050"/>
    </row>
    <row r="21051" spans="1:2" x14ac:dyDescent="0.25">
      <c r="A21051"/>
      <c r="B21051"/>
    </row>
    <row r="21052" spans="1:2" x14ac:dyDescent="0.25">
      <c r="A21052"/>
      <c r="B21052"/>
    </row>
    <row r="21053" spans="1:2" x14ac:dyDescent="0.25">
      <c r="A21053"/>
      <c r="B21053"/>
    </row>
    <row r="21054" spans="1:2" x14ac:dyDescent="0.25">
      <c r="A21054"/>
      <c r="B21054"/>
    </row>
    <row r="21055" spans="1:2" x14ac:dyDescent="0.25">
      <c r="A21055"/>
      <c r="B21055"/>
    </row>
    <row r="21056" spans="1:2" x14ac:dyDescent="0.25">
      <c r="A21056"/>
      <c r="B21056"/>
    </row>
    <row r="21057" spans="1:2" x14ac:dyDescent="0.25">
      <c r="A21057"/>
      <c r="B21057"/>
    </row>
    <row r="21058" spans="1:2" x14ac:dyDescent="0.25">
      <c r="A21058"/>
      <c r="B21058"/>
    </row>
    <row r="21059" spans="1:2" x14ac:dyDescent="0.25">
      <c r="A21059"/>
      <c r="B21059"/>
    </row>
    <row r="21060" spans="1:2" x14ac:dyDescent="0.25">
      <c r="A21060"/>
      <c r="B21060"/>
    </row>
    <row r="21061" spans="1:2" x14ac:dyDescent="0.25">
      <c r="A21061"/>
      <c r="B21061"/>
    </row>
    <row r="21062" spans="1:2" x14ac:dyDescent="0.25">
      <c r="A21062"/>
      <c r="B21062"/>
    </row>
    <row r="21063" spans="1:2" x14ac:dyDescent="0.25">
      <c r="A21063"/>
      <c r="B21063"/>
    </row>
    <row r="21064" spans="1:2" x14ac:dyDescent="0.25">
      <c r="A21064"/>
      <c r="B21064"/>
    </row>
    <row r="21065" spans="1:2" x14ac:dyDescent="0.25">
      <c r="A21065"/>
      <c r="B21065"/>
    </row>
    <row r="21066" spans="1:2" x14ac:dyDescent="0.25">
      <c r="A21066"/>
      <c r="B21066"/>
    </row>
    <row r="21067" spans="1:2" x14ac:dyDescent="0.25">
      <c r="A21067"/>
      <c r="B21067"/>
    </row>
    <row r="21068" spans="1:2" x14ac:dyDescent="0.25">
      <c r="A21068"/>
      <c r="B21068"/>
    </row>
    <row r="21069" spans="1:2" x14ac:dyDescent="0.25">
      <c r="A21069"/>
      <c r="B21069"/>
    </row>
    <row r="21070" spans="1:2" x14ac:dyDescent="0.25">
      <c r="A21070"/>
      <c r="B21070"/>
    </row>
    <row r="21071" spans="1:2" x14ac:dyDescent="0.25">
      <c r="A21071"/>
      <c r="B21071"/>
    </row>
    <row r="21072" spans="1:2" x14ac:dyDescent="0.25">
      <c r="A21072"/>
      <c r="B21072"/>
    </row>
    <row r="21073" spans="1:2" x14ac:dyDescent="0.25">
      <c r="A21073"/>
      <c r="B21073"/>
    </row>
    <row r="21074" spans="1:2" x14ac:dyDescent="0.25">
      <c r="A21074"/>
      <c r="B21074"/>
    </row>
    <row r="21075" spans="1:2" x14ac:dyDescent="0.25">
      <c r="A21075"/>
      <c r="B21075"/>
    </row>
    <row r="21076" spans="1:2" x14ac:dyDescent="0.25">
      <c r="A21076"/>
      <c r="B21076"/>
    </row>
    <row r="21077" spans="1:2" x14ac:dyDescent="0.25">
      <c r="A21077"/>
      <c r="B21077"/>
    </row>
    <row r="21078" spans="1:2" x14ac:dyDescent="0.25">
      <c r="A21078"/>
      <c r="B21078"/>
    </row>
    <row r="21079" spans="1:2" x14ac:dyDescent="0.25">
      <c r="A21079"/>
      <c r="B21079"/>
    </row>
    <row r="21080" spans="1:2" x14ac:dyDescent="0.25">
      <c r="A21080"/>
      <c r="B21080"/>
    </row>
    <row r="21081" spans="1:2" x14ac:dyDescent="0.25">
      <c r="A21081"/>
      <c r="B21081"/>
    </row>
    <row r="21082" spans="1:2" x14ac:dyDescent="0.25">
      <c r="A21082"/>
      <c r="B21082"/>
    </row>
    <row r="21083" spans="1:2" x14ac:dyDescent="0.25">
      <c r="A21083"/>
      <c r="B21083"/>
    </row>
    <row r="21084" spans="1:2" x14ac:dyDescent="0.25">
      <c r="A21084"/>
      <c r="B21084"/>
    </row>
    <row r="21085" spans="1:2" x14ac:dyDescent="0.25">
      <c r="A21085"/>
      <c r="B21085"/>
    </row>
    <row r="21086" spans="1:2" x14ac:dyDescent="0.25">
      <c r="A21086"/>
      <c r="B21086"/>
    </row>
    <row r="21087" spans="1:2" x14ac:dyDescent="0.25">
      <c r="A21087"/>
      <c r="B21087"/>
    </row>
    <row r="21088" spans="1:2" x14ac:dyDescent="0.25">
      <c r="A21088"/>
      <c r="B21088"/>
    </row>
    <row r="21089" spans="1:2" x14ac:dyDescent="0.25">
      <c r="A21089"/>
      <c r="B21089"/>
    </row>
    <row r="21090" spans="1:2" x14ac:dyDescent="0.25">
      <c r="A21090"/>
      <c r="B21090"/>
    </row>
    <row r="21091" spans="1:2" x14ac:dyDescent="0.25">
      <c r="A21091"/>
      <c r="B21091"/>
    </row>
    <row r="21092" spans="1:2" x14ac:dyDescent="0.25">
      <c r="A21092"/>
      <c r="B21092"/>
    </row>
    <row r="21093" spans="1:2" x14ac:dyDescent="0.25">
      <c r="A21093"/>
      <c r="B21093"/>
    </row>
    <row r="21094" spans="1:2" x14ac:dyDescent="0.25">
      <c r="A21094"/>
      <c r="B21094"/>
    </row>
    <row r="21095" spans="1:2" x14ac:dyDescent="0.25">
      <c r="A21095"/>
      <c r="B21095"/>
    </row>
    <row r="21096" spans="1:2" x14ac:dyDescent="0.25">
      <c r="A21096"/>
      <c r="B21096"/>
    </row>
    <row r="21097" spans="1:2" x14ac:dyDescent="0.25">
      <c r="A21097"/>
      <c r="B21097"/>
    </row>
    <row r="21098" spans="1:2" x14ac:dyDescent="0.25">
      <c r="A21098"/>
      <c r="B21098"/>
    </row>
    <row r="21099" spans="1:2" x14ac:dyDescent="0.25">
      <c r="A21099"/>
      <c r="B21099"/>
    </row>
    <row r="21100" spans="1:2" x14ac:dyDescent="0.25">
      <c r="A21100"/>
      <c r="B21100"/>
    </row>
    <row r="21101" spans="1:2" x14ac:dyDescent="0.25">
      <c r="A21101"/>
      <c r="B21101"/>
    </row>
    <row r="21102" spans="1:2" x14ac:dyDescent="0.25">
      <c r="A21102"/>
      <c r="B21102"/>
    </row>
    <row r="21103" spans="1:2" x14ac:dyDescent="0.25">
      <c r="A21103"/>
      <c r="B21103"/>
    </row>
    <row r="21104" spans="1:2" x14ac:dyDescent="0.25">
      <c r="A21104"/>
      <c r="B21104"/>
    </row>
    <row r="21105" spans="1:2" x14ac:dyDescent="0.25">
      <c r="A21105"/>
      <c r="B21105"/>
    </row>
    <row r="21106" spans="1:2" x14ac:dyDescent="0.25">
      <c r="A21106"/>
      <c r="B21106"/>
    </row>
    <row r="21107" spans="1:2" x14ac:dyDescent="0.25">
      <c r="A21107"/>
      <c r="B21107"/>
    </row>
    <row r="21108" spans="1:2" x14ac:dyDescent="0.25">
      <c r="A21108"/>
      <c r="B21108"/>
    </row>
    <row r="21109" spans="1:2" x14ac:dyDescent="0.25">
      <c r="A21109"/>
      <c r="B21109"/>
    </row>
    <row r="21110" spans="1:2" x14ac:dyDescent="0.25">
      <c r="A21110"/>
      <c r="B21110"/>
    </row>
    <row r="21111" spans="1:2" x14ac:dyDescent="0.25">
      <c r="A21111"/>
      <c r="B21111"/>
    </row>
    <row r="21112" spans="1:2" x14ac:dyDescent="0.25">
      <c r="A21112"/>
      <c r="B21112"/>
    </row>
    <row r="21113" spans="1:2" x14ac:dyDescent="0.25">
      <c r="A21113"/>
      <c r="B21113"/>
    </row>
    <row r="21114" spans="1:2" x14ac:dyDescent="0.25">
      <c r="A21114"/>
      <c r="B21114"/>
    </row>
    <row r="21115" spans="1:2" x14ac:dyDescent="0.25">
      <c r="A21115"/>
      <c r="B21115"/>
    </row>
    <row r="21116" spans="1:2" x14ac:dyDescent="0.25">
      <c r="A21116"/>
      <c r="B21116"/>
    </row>
    <row r="21117" spans="1:2" x14ac:dyDescent="0.25">
      <c r="A21117"/>
      <c r="B21117"/>
    </row>
    <row r="21118" spans="1:2" x14ac:dyDescent="0.25">
      <c r="A21118"/>
      <c r="B21118"/>
    </row>
    <row r="21119" spans="1:2" x14ac:dyDescent="0.25">
      <c r="A21119"/>
      <c r="B21119"/>
    </row>
    <row r="21120" spans="1:2" x14ac:dyDescent="0.25">
      <c r="A21120"/>
      <c r="B21120"/>
    </row>
    <row r="21121" spans="1:2" x14ac:dyDescent="0.25">
      <c r="A21121"/>
      <c r="B21121"/>
    </row>
    <row r="21122" spans="1:2" x14ac:dyDescent="0.25">
      <c r="A21122"/>
      <c r="B21122"/>
    </row>
    <row r="21123" spans="1:2" x14ac:dyDescent="0.25">
      <c r="A21123"/>
      <c r="B21123"/>
    </row>
    <row r="21124" spans="1:2" x14ac:dyDescent="0.25">
      <c r="A21124"/>
      <c r="B21124"/>
    </row>
    <row r="21125" spans="1:2" x14ac:dyDescent="0.25">
      <c r="A21125"/>
      <c r="B21125"/>
    </row>
    <row r="21126" spans="1:2" x14ac:dyDescent="0.25">
      <c r="A21126"/>
      <c r="B21126"/>
    </row>
    <row r="21127" spans="1:2" x14ac:dyDescent="0.25">
      <c r="A21127"/>
      <c r="B21127"/>
    </row>
    <row r="21128" spans="1:2" x14ac:dyDescent="0.25">
      <c r="A21128"/>
      <c r="B21128"/>
    </row>
    <row r="21129" spans="1:2" x14ac:dyDescent="0.25">
      <c r="A21129"/>
      <c r="B21129"/>
    </row>
    <row r="21130" spans="1:2" x14ac:dyDescent="0.25">
      <c r="A21130"/>
      <c r="B21130"/>
    </row>
    <row r="21131" spans="1:2" x14ac:dyDescent="0.25">
      <c r="A21131"/>
      <c r="B21131"/>
    </row>
    <row r="21132" spans="1:2" x14ac:dyDescent="0.25">
      <c r="A21132"/>
      <c r="B21132"/>
    </row>
    <row r="21133" spans="1:2" x14ac:dyDescent="0.25">
      <c r="A21133"/>
      <c r="B21133"/>
    </row>
    <row r="21134" spans="1:2" x14ac:dyDescent="0.25">
      <c r="A21134"/>
      <c r="B21134"/>
    </row>
    <row r="21135" spans="1:2" x14ac:dyDescent="0.25">
      <c r="A21135"/>
      <c r="B21135"/>
    </row>
    <row r="21136" spans="1:2" x14ac:dyDescent="0.25">
      <c r="A21136"/>
      <c r="B21136"/>
    </row>
    <row r="21137" spans="1:2" x14ac:dyDescent="0.25">
      <c r="A21137"/>
      <c r="B21137"/>
    </row>
    <row r="21138" spans="1:2" x14ac:dyDescent="0.25">
      <c r="A21138"/>
      <c r="B21138"/>
    </row>
    <row r="21139" spans="1:2" x14ac:dyDescent="0.25">
      <c r="A21139"/>
      <c r="B21139"/>
    </row>
    <row r="21140" spans="1:2" x14ac:dyDescent="0.25">
      <c r="A21140"/>
      <c r="B21140"/>
    </row>
    <row r="21141" spans="1:2" x14ac:dyDescent="0.25">
      <c r="A21141"/>
      <c r="B21141"/>
    </row>
    <row r="21142" spans="1:2" x14ac:dyDescent="0.25">
      <c r="A21142"/>
      <c r="B21142"/>
    </row>
    <row r="21143" spans="1:2" x14ac:dyDescent="0.25">
      <c r="A21143"/>
      <c r="B21143"/>
    </row>
    <row r="21144" spans="1:2" x14ac:dyDescent="0.25">
      <c r="A21144"/>
      <c r="B21144"/>
    </row>
    <row r="21145" spans="1:2" x14ac:dyDescent="0.25">
      <c r="A21145"/>
      <c r="B21145"/>
    </row>
    <row r="21146" spans="1:2" x14ac:dyDescent="0.25">
      <c r="A21146"/>
      <c r="B21146"/>
    </row>
    <row r="21147" spans="1:2" x14ac:dyDescent="0.25">
      <c r="A21147"/>
      <c r="B21147"/>
    </row>
    <row r="21148" spans="1:2" x14ac:dyDescent="0.25">
      <c r="A21148"/>
      <c r="B21148"/>
    </row>
    <row r="21149" spans="1:2" x14ac:dyDescent="0.25">
      <c r="A21149"/>
      <c r="B21149"/>
    </row>
    <row r="21150" spans="1:2" x14ac:dyDescent="0.25">
      <c r="A21150"/>
      <c r="B21150"/>
    </row>
    <row r="21151" spans="1:2" x14ac:dyDescent="0.25">
      <c r="A21151"/>
      <c r="B21151"/>
    </row>
    <row r="21152" spans="1:2" x14ac:dyDescent="0.25">
      <c r="A21152"/>
      <c r="B21152"/>
    </row>
    <row r="21153" spans="1:2" x14ac:dyDescent="0.25">
      <c r="A21153"/>
      <c r="B21153"/>
    </row>
    <row r="21154" spans="1:2" x14ac:dyDescent="0.25">
      <c r="A21154"/>
      <c r="B21154"/>
    </row>
    <row r="21155" spans="1:2" x14ac:dyDescent="0.25">
      <c r="A21155"/>
      <c r="B21155"/>
    </row>
    <row r="21156" spans="1:2" x14ac:dyDescent="0.25">
      <c r="A21156"/>
      <c r="B21156"/>
    </row>
    <row r="21157" spans="1:2" x14ac:dyDescent="0.25">
      <c r="A21157"/>
      <c r="B21157"/>
    </row>
    <row r="21158" spans="1:2" x14ac:dyDescent="0.25">
      <c r="A21158"/>
      <c r="B21158"/>
    </row>
    <row r="21159" spans="1:2" x14ac:dyDescent="0.25">
      <c r="A21159"/>
      <c r="B21159"/>
    </row>
    <row r="21160" spans="1:2" x14ac:dyDescent="0.25">
      <c r="A21160"/>
      <c r="B21160"/>
    </row>
    <row r="21161" spans="1:2" x14ac:dyDescent="0.25">
      <c r="A21161"/>
      <c r="B21161"/>
    </row>
    <row r="21162" spans="1:2" x14ac:dyDescent="0.25">
      <c r="A21162"/>
      <c r="B21162"/>
    </row>
    <row r="21163" spans="1:2" x14ac:dyDescent="0.25">
      <c r="A21163"/>
      <c r="B21163"/>
    </row>
    <row r="21164" spans="1:2" x14ac:dyDescent="0.25">
      <c r="A21164"/>
      <c r="B21164"/>
    </row>
    <row r="21165" spans="1:2" x14ac:dyDescent="0.25">
      <c r="A21165"/>
      <c r="B21165"/>
    </row>
    <row r="21166" spans="1:2" x14ac:dyDescent="0.25">
      <c r="A21166"/>
      <c r="B21166"/>
    </row>
    <row r="21167" spans="1:2" x14ac:dyDescent="0.25">
      <c r="A21167"/>
      <c r="B21167"/>
    </row>
    <row r="21168" spans="1:2" x14ac:dyDescent="0.25">
      <c r="A21168"/>
      <c r="B21168"/>
    </row>
    <row r="21169" spans="1:2" x14ac:dyDescent="0.25">
      <c r="A21169"/>
      <c r="B21169"/>
    </row>
    <row r="21170" spans="1:2" x14ac:dyDescent="0.25">
      <c r="A21170"/>
      <c r="B21170"/>
    </row>
    <row r="21171" spans="1:2" x14ac:dyDescent="0.25">
      <c r="A21171"/>
      <c r="B21171"/>
    </row>
    <row r="21172" spans="1:2" x14ac:dyDescent="0.25">
      <c r="A21172"/>
      <c r="B21172"/>
    </row>
    <row r="21173" spans="1:2" x14ac:dyDescent="0.25">
      <c r="A21173"/>
      <c r="B21173"/>
    </row>
    <row r="21174" spans="1:2" x14ac:dyDescent="0.25">
      <c r="A21174"/>
      <c r="B21174"/>
    </row>
    <row r="21175" spans="1:2" x14ac:dyDescent="0.25">
      <c r="A21175"/>
      <c r="B21175"/>
    </row>
    <row r="21176" spans="1:2" x14ac:dyDescent="0.25">
      <c r="A21176"/>
      <c r="B21176"/>
    </row>
    <row r="21177" spans="1:2" x14ac:dyDescent="0.25">
      <c r="A21177"/>
      <c r="B21177"/>
    </row>
    <row r="21178" spans="1:2" x14ac:dyDescent="0.25">
      <c r="A21178"/>
      <c r="B21178"/>
    </row>
    <row r="21179" spans="1:2" x14ac:dyDescent="0.25">
      <c r="A21179"/>
      <c r="B21179"/>
    </row>
    <row r="21180" spans="1:2" x14ac:dyDescent="0.25">
      <c r="A21180"/>
      <c r="B21180"/>
    </row>
    <row r="21181" spans="1:2" x14ac:dyDescent="0.25">
      <c r="A21181"/>
      <c r="B21181"/>
    </row>
    <row r="21182" spans="1:2" x14ac:dyDescent="0.25">
      <c r="A21182"/>
      <c r="B21182"/>
    </row>
    <row r="21183" spans="1:2" x14ac:dyDescent="0.25">
      <c r="A21183"/>
      <c r="B21183"/>
    </row>
    <row r="21184" spans="1:2" x14ac:dyDescent="0.25">
      <c r="A21184"/>
      <c r="B21184"/>
    </row>
    <row r="21185" spans="1:2" x14ac:dyDescent="0.25">
      <c r="A21185"/>
      <c r="B21185"/>
    </row>
    <row r="21186" spans="1:2" x14ac:dyDescent="0.25">
      <c r="A21186"/>
      <c r="B21186"/>
    </row>
    <row r="21187" spans="1:2" x14ac:dyDescent="0.25">
      <c r="A21187"/>
      <c r="B21187"/>
    </row>
    <row r="21188" spans="1:2" x14ac:dyDescent="0.25">
      <c r="A21188"/>
      <c r="B21188"/>
    </row>
    <row r="21189" spans="1:2" x14ac:dyDescent="0.25">
      <c r="A21189"/>
      <c r="B21189"/>
    </row>
    <row r="21190" spans="1:2" x14ac:dyDescent="0.25">
      <c r="A21190"/>
      <c r="B21190"/>
    </row>
    <row r="21191" spans="1:2" x14ac:dyDescent="0.25">
      <c r="A21191"/>
      <c r="B21191"/>
    </row>
    <row r="21192" spans="1:2" x14ac:dyDescent="0.25">
      <c r="A21192"/>
      <c r="B21192"/>
    </row>
    <row r="21193" spans="1:2" x14ac:dyDescent="0.25">
      <c r="A21193"/>
      <c r="B21193"/>
    </row>
    <row r="21194" spans="1:2" x14ac:dyDescent="0.25">
      <c r="A21194"/>
      <c r="B21194"/>
    </row>
    <row r="21195" spans="1:2" x14ac:dyDescent="0.25">
      <c r="A21195"/>
      <c r="B21195"/>
    </row>
    <row r="21196" spans="1:2" x14ac:dyDescent="0.25">
      <c r="A21196"/>
      <c r="B21196"/>
    </row>
    <row r="21197" spans="1:2" x14ac:dyDescent="0.25">
      <c r="A21197"/>
      <c r="B21197"/>
    </row>
    <row r="21198" spans="1:2" x14ac:dyDescent="0.25">
      <c r="A21198"/>
      <c r="B21198"/>
    </row>
    <row r="21199" spans="1:2" x14ac:dyDescent="0.25">
      <c r="A21199"/>
      <c r="B21199"/>
    </row>
    <row r="21200" spans="1:2" x14ac:dyDescent="0.25">
      <c r="A21200"/>
      <c r="B21200"/>
    </row>
    <row r="21201" spans="1:2" x14ac:dyDescent="0.25">
      <c r="A21201"/>
      <c r="B21201"/>
    </row>
    <row r="21202" spans="1:2" x14ac:dyDescent="0.25">
      <c r="A21202"/>
      <c r="B21202"/>
    </row>
    <row r="21203" spans="1:2" x14ac:dyDescent="0.25">
      <c r="A21203"/>
      <c r="B21203"/>
    </row>
    <row r="21204" spans="1:2" x14ac:dyDescent="0.25">
      <c r="A21204"/>
      <c r="B21204"/>
    </row>
    <row r="21205" spans="1:2" x14ac:dyDescent="0.25">
      <c r="A21205"/>
      <c r="B21205"/>
    </row>
    <row r="21206" spans="1:2" x14ac:dyDescent="0.25">
      <c r="A21206"/>
      <c r="B21206"/>
    </row>
    <row r="21207" spans="1:2" x14ac:dyDescent="0.25">
      <c r="A21207"/>
      <c r="B21207"/>
    </row>
    <row r="21208" spans="1:2" x14ac:dyDescent="0.25">
      <c r="A21208"/>
      <c r="B21208"/>
    </row>
    <row r="21209" spans="1:2" x14ac:dyDescent="0.25">
      <c r="A21209"/>
      <c r="B21209"/>
    </row>
    <row r="21210" spans="1:2" x14ac:dyDescent="0.25">
      <c r="A21210"/>
      <c r="B21210"/>
    </row>
    <row r="21211" spans="1:2" x14ac:dyDescent="0.25">
      <c r="A21211"/>
      <c r="B21211"/>
    </row>
    <row r="21212" spans="1:2" x14ac:dyDescent="0.25">
      <c r="A21212"/>
      <c r="B21212"/>
    </row>
    <row r="21213" spans="1:2" x14ac:dyDescent="0.25">
      <c r="A21213"/>
      <c r="B21213"/>
    </row>
    <row r="21214" spans="1:2" x14ac:dyDescent="0.25">
      <c r="A21214"/>
      <c r="B21214"/>
    </row>
    <row r="21215" spans="1:2" x14ac:dyDescent="0.25">
      <c r="A21215"/>
      <c r="B21215"/>
    </row>
    <row r="21216" spans="1:2" x14ac:dyDescent="0.25">
      <c r="A21216"/>
      <c r="B21216"/>
    </row>
    <row r="21217" spans="1:2" x14ac:dyDescent="0.25">
      <c r="A21217"/>
      <c r="B21217"/>
    </row>
    <row r="21218" spans="1:2" x14ac:dyDescent="0.25">
      <c r="A21218"/>
      <c r="B21218"/>
    </row>
    <row r="21219" spans="1:2" x14ac:dyDescent="0.25">
      <c r="A21219"/>
      <c r="B21219"/>
    </row>
    <row r="21220" spans="1:2" x14ac:dyDescent="0.25">
      <c r="A21220"/>
      <c r="B21220"/>
    </row>
    <row r="21221" spans="1:2" x14ac:dyDescent="0.25">
      <c r="A21221"/>
      <c r="B21221"/>
    </row>
    <row r="21222" spans="1:2" x14ac:dyDescent="0.25">
      <c r="A21222"/>
      <c r="B21222"/>
    </row>
    <row r="21223" spans="1:2" x14ac:dyDescent="0.25">
      <c r="A21223"/>
      <c r="B21223"/>
    </row>
    <row r="21224" spans="1:2" x14ac:dyDescent="0.25">
      <c r="A21224"/>
      <c r="B21224"/>
    </row>
    <row r="21225" spans="1:2" x14ac:dyDescent="0.25">
      <c r="A21225"/>
      <c r="B21225"/>
    </row>
    <row r="21226" spans="1:2" x14ac:dyDescent="0.25">
      <c r="A21226"/>
      <c r="B21226"/>
    </row>
    <row r="21227" spans="1:2" x14ac:dyDescent="0.25">
      <c r="A21227"/>
      <c r="B21227"/>
    </row>
    <row r="21228" spans="1:2" x14ac:dyDescent="0.25">
      <c r="A21228"/>
      <c r="B21228"/>
    </row>
    <row r="21229" spans="1:2" x14ac:dyDescent="0.25">
      <c r="A21229"/>
      <c r="B21229"/>
    </row>
    <row r="21230" spans="1:2" x14ac:dyDescent="0.25">
      <c r="A21230"/>
      <c r="B21230"/>
    </row>
    <row r="21231" spans="1:2" x14ac:dyDescent="0.25">
      <c r="A21231"/>
      <c r="B21231"/>
    </row>
    <row r="21232" spans="1:2" x14ac:dyDescent="0.25">
      <c r="A21232"/>
      <c r="B21232"/>
    </row>
    <row r="21233" spans="1:2" x14ac:dyDescent="0.25">
      <c r="A21233"/>
      <c r="B21233"/>
    </row>
    <row r="21234" spans="1:2" x14ac:dyDescent="0.25">
      <c r="A21234"/>
      <c r="B21234"/>
    </row>
    <row r="21235" spans="1:2" x14ac:dyDescent="0.25">
      <c r="A21235"/>
      <c r="B21235"/>
    </row>
    <row r="21236" spans="1:2" x14ac:dyDescent="0.25">
      <c r="A21236"/>
      <c r="B21236"/>
    </row>
    <row r="21237" spans="1:2" x14ac:dyDescent="0.25">
      <c r="A21237"/>
      <c r="B21237"/>
    </row>
    <row r="21238" spans="1:2" x14ac:dyDescent="0.25">
      <c r="A21238"/>
      <c r="B21238"/>
    </row>
    <row r="21239" spans="1:2" x14ac:dyDescent="0.25">
      <c r="A21239"/>
      <c r="B21239"/>
    </row>
    <row r="21240" spans="1:2" x14ac:dyDescent="0.25">
      <c r="A21240"/>
      <c r="B21240"/>
    </row>
    <row r="21241" spans="1:2" x14ac:dyDescent="0.25">
      <c r="A21241"/>
      <c r="B21241"/>
    </row>
    <row r="21242" spans="1:2" x14ac:dyDescent="0.25">
      <c r="A21242"/>
      <c r="B21242"/>
    </row>
    <row r="21243" spans="1:2" x14ac:dyDescent="0.25">
      <c r="A21243"/>
      <c r="B21243"/>
    </row>
    <row r="21244" spans="1:2" x14ac:dyDescent="0.25">
      <c r="A21244"/>
      <c r="B21244"/>
    </row>
    <row r="21245" spans="1:2" x14ac:dyDescent="0.25">
      <c r="A21245"/>
      <c r="B21245"/>
    </row>
    <row r="21246" spans="1:2" x14ac:dyDescent="0.25">
      <c r="A21246"/>
      <c r="B21246"/>
    </row>
    <row r="21247" spans="1:2" x14ac:dyDescent="0.25">
      <c r="A21247"/>
      <c r="B21247"/>
    </row>
    <row r="21248" spans="1:2" x14ac:dyDescent="0.25">
      <c r="A21248"/>
      <c r="B21248"/>
    </row>
    <row r="21249" spans="1:2" x14ac:dyDescent="0.25">
      <c r="A21249"/>
      <c r="B21249"/>
    </row>
    <row r="21250" spans="1:2" x14ac:dyDescent="0.25">
      <c r="A21250"/>
      <c r="B21250"/>
    </row>
    <row r="21251" spans="1:2" x14ac:dyDescent="0.25">
      <c r="A21251"/>
      <c r="B21251"/>
    </row>
    <row r="21252" spans="1:2" x14ac:dyDescent="0.25">
      <c r="A21252"/>
      <c r="B21252"/>
    </row>
    <row r="21253" spans="1:2" x14ac:dyDescent="0.25">
      <c r="A21253"/>
      <c r="B21253"/>
    </row>
    <row r="21254" spans="1:2" x14ac:dyDescent="0.25">
      <c r="A21254"/>
      <c r="B21254"/>
    </row>
    <row r="21255" spans="1:2" x14ac:dyDescent="0.25">
      <c r="A21255"/>
      <c r="B21255"/>
    </row>
    <row r="21256" spans="1:2" x14ac:dyDescent="0.25">
      <c r="A21256"/>
      <c r="B21256"/>
    </row>
    <row r="21257" spans="1:2" x14ac:dyDescent="0.25">
      <c r="A21257"/>
      <c r="B21257"/>
    </row>
    <row r="21258" spans="1:2" x14ac:dyDescent="0.25">
      <c r="A21258"/>
      <c r="B21258"/>
    </row>
    <row r="21259" spans="1:2" x14ac:dyDescent="0.25">
      <c r="A21259"/>
      <c r="B21259"/>
    </row>
    <row r="21260" spans="1:2" x14ac:dyDescent="0.25">
      <c r="A21260"/>
      <c r="B21260"/>
    </row>
    <row r="21261" spans="1:2" x14ac:dyDescent="0.25">
      <c r="A21261"/>
      <c r="B21261"/>
    </row>
    <row r="21262" spans="1:2" x14ac:dyDescent="0.25">
      <c r="A21262"/>
      <c r="B21262"/>
    </row>
    <row r="21263" spans="1:2" x14ac:dyDescent="0.25">
      <c r="A21263"/>
      <c r="B21263"/>
    </row>
    <row r="21264" spans="1:2" x14ac:dyDescent="0.25">
      <c r="A21264"/>
      <c r="B21264"/>
    </row>
    <row r="21265" spans="1:2" x14ac:dyDescent="0.25">
      <c r="A21265"/>
      <c r="B21265"/>
    </row>
    <row r="21266" spans="1:2" x14ac:dyDescent="0.25">
      <c r="A21266"/>
      <c r="B21266"/>
    </row>
    <row r="21267" spans="1:2" x14ac:dyDescent="0.25">
      <c r="A21267"/>
      <c r="B21267"/>
    </row>
    <row r="21268" spans="1:2" x14ac:dyDescent="0.25">
      <c r="A21268"/>
      <c r="B21268"/>
    </row>
    <row r="21269" spans="1:2" x14ac:dyDescent="0.25">
      <c r="A21269"/>
      <c r="B21269"/>
    </row>
    <row r="21270" spans="1:2" x14ac:dyDescent="0.25">
      <c r="A21270"/>
      <c r="B21270"/>
    </row>
    <row r="21271" spans="1:2" x14ac:dyDescent="0.25">
      <c r="A21271"/>
      <c r="B21271"/>
    </row>
    <row r="21272" spans="1:2" x14ac:dyDescent="0.25">
      <c r="A21272"/>
      <c r="B21272"/>
    </row>
    <row r="21273" spans="1:2" x14ac:dyDescent="0.25">
      <c r="A21273"/>
      <c r="B21273"/>
    </row>
    <row r="21274" spans="1:2" x14ac:dyDescent="0.25">
      <c r="A21274"/>
      <c r="B21274"/>
    </row>
    <row r="21275" spans="1:2" x14ac:dyDescent="0.25">
      <c r="A21275"/>
      <c r="B21275"/>
    </row>
    <row r="21276" spans="1:2" x14ac:dyDescent="0.25">
      <c r="A21276"/>
      <c r="B21276"/>
    </row>
    <row r="21277" spans="1:2" x14ac:dyDescent="0.25">
      <c r="A21277"/>
      <c r="B21277"/>
    </row>
    <row r="21278" spans="1:2" x14ac:dyDescent="0.25">
      <c r="A21278"/>
      <c r="B21278"/>
    </row>
    <row r="21279" spans="1:2" x14ac:dyDescent="0.25">
      <c r="A21279"/>
      <c r="B21279"/>
    </row>
    <row r="21280" spans="1:2" x14ac:dyDescent="0.25">
      <c r="A21280"/>
      <c r="B21280"/>
    </row>
    <row r="21281" spans="1:2" x14ac:dyDescent="0.25">
      <c r="A21281"/>
      <c r="B21281"/>
    </row>
    <row r="21282" spans="1:2" x14ac:dyDescent="0.25">
      <c r="A21282"/>
      <c r="B21282"/>
    </row>
    <row r="21283" spans="1:2" x14ac:dyDescent="0.25">
      <c r="A21283"/>
      <c r="B21283"/>
    </row>
    <row r="21284" spans="1:2" x14ac:dyDescent="0.25">
      <c r="A21284"/>
      <c r="B21284"/>
    </row>
    <row r="21285" spans="1:2" x14ac:dyDescent="0.25">
      <c r="A21285"/>
      <c r="B21285"/>
    </row>
    <row r="21286" spans="1:2" x14ac:dyDescent="0.25">
      <c r="A21286"/>
      <c r="B21286"/>
    </row>
    <row r="21287" spans="1:2" x14ac:dyDescent="0.25">
      <c r="A21287"/>
      <c r="B21287"/>
    </row>
    <row r="21288" spans="1:2" x14ac:dyDescent="0.25">
      <c r="A21288"/>
      <c r="B21288"/>
    </row>
    <row r="21289" spans="1:2" x14ac:dyDescent="0.25">
      <c r="A21289"/>
      <c r="B21289"/>
    </row>
    <row r="21290" spans="1:2" x14ac:dyDescent="0.25">
      <c r="A21290"/>
      <c r="B21290"/>
    </row>
    <row r="21291" spans="1:2" x14ac:dyDescent="0.25">
      <c r="A21291"/>
      <c r="B21291"/>
    </row>
    <row r="21292" spans="1:2" x14ac:dyDescent="0.25">
      <c r="A21292"/>
      <c r="B21292"/>
    </row>
    <row r="21293" spans="1:2" x14ac:dyDescent="0.25">
      <c r="A21293"/>
      <c r="B21293"/>
    </row>
    <row r="21294" spans="1:2" x14ac:dyDescent="0.25">
      <c r="A21294"/>
      <c r="B21294"/>
    </row>
    <row r="21295" spans="1:2" x14ac:dyDescent="0.25">
      <c r="A21295"/>
      <c r="B21295"/>
    </row>
    <row r="21296" spans="1:2" x14ac:dyDescent="0.25">
      <c r="A21296"/>
      <c r="B21296"/>
    </row>
    <row r="21297" spans="1:2" x14ac:dyDescent="0.25">
      <c r="A21297"/>
      <c r="B21297"/>
    </row>
    <row r="21298" spans="1:2" x14ac:dyDescent="0.25">
      <c r="A21298"/>
      <c r="B21298"/>
    </row>
    <row r="21299" spans="1:2" x14ac:dyDescent="0.25">
      <c r="A21299"/>
      <c r="B21299"/>
    </row>
    <row r="21300" spans="1:2" x14ac:dyDescent="0.25">
      <c r="A21300"/>
      <c r="B21300"/>
    </row>
    <row r="21301" spans="1:2" x14ac:dyDescent="0.25">
      <c r="A21301"/>
      <c r="B21301"/>
    </row>
    <row r="21302" spans="1:2" x14ac:dyDescent="0.25">
      <c r="A21302"/>
      <c r="B21302"/>
    </row>
    <row r="21303" spans="1:2" x14ac:dyDescent="0.25">
      <c r="A21303"/>
      <c r="B21303"/>
    </row>
    <row r="21304" spans="1:2" x14ac:dyDescent="0.25">
      <c r="A21304"/>
      <c r="B21304"/>
    </row>
    <row r="21305" spans="1:2" x14ac:dyDescent="0.25">
      <c r="A21305"/>
      <c r="B21305"/>
    </row>
    <row r="21306" spans="1:2" x14ac:dyDescent="0.25">
      <c r="A21306"/>
      <c r="B21306"/>
    </row>
    <row r="21307" spans="1:2" x14ac:dyDescent="0.25">
      <c r="A21307"/>
      <c r="B21307"/>
    </row>
    <row r="21308" spans="1:2" x14ac:dyDescent="0.25">
      <c r="A21308"/>
      <c r="B21308"/>
    </row>
    <row r="21309" spans="1:2" x14ac:dyDescent="0.25">
      <c r="A21309"/>
      <c r="B21309"/>
    </row>
    <row r="21310" spans="1:2" x14ac:dyDescent="0.25">
      <c r="A21310"/>
      <c r="B21310"/>
    </row>
    <row r="21311" spans="1:2" x14ac:dyDescent="0.25">
      <c r="A21311"/>
      <c r="B21311"/>
    </row>
    <row r="21312" spans="1:2" x14ac:dyDescent="0.25">
      <c r="A21312"/>
      <c r="B21312"/>
    </row>
    <row r="21313" spans="1:2" x14ac:dyDescent="0.25">
      <c r="A21313"/>
      <c r="B21313"/>
    </row>
    <row r="21314" spans="1:2" x14ac:dyDescent="0.25">
      <c r="A21314"/>
      <c r="B21314"/>
    </row>
    <row r="21315" spans="1:2" x14ac:dyDescent="0.25">
      <c r="A21315"/>
      <c r="B21315"/>
    </row>
    <row r="21316" spans="1:2" x14ac:dyDescent="0.25">
      <c r="A21316"/>
      <c r="B21316"/>
    </row>
    <row r="21317" spans="1:2" x14ac:dyDescent="0.25">
      <c r="A21317"/>
      <c r="B21317"/>
    </row>
    <row r="21318" spans="1:2" x14ac:dyDescent="0.25">
      <c r="A21318"/>
      <c r="B21318"/>
    </row>
    <row r="21319" spans="1:2" x14ac:dyDescent="0.25">
      <c r="A21319"/>
      <c r="B21319"/>
    </row>
    <row r="21320" spans="1:2" x14ac:dyDescent="0.25">
      <c r="A21320"/>
      <c r="B21320"/>
    </row>
    <row r="21321" spans="1:2" x14ac:dyDescent="0.25">
      <c r="A21321"/>
      <c r="B21321"/>
    </row>
    <row r="21322" spans="1:2" x14ac:dyDescent="0.25">
      <c r="A21322"/>
      <c r="B21322"/>
    </row>
    <row r="21323" spans="1:2" x14ac:dyDescent="0.25">
      <c r="A21323"/>
      <c r="B21323"/>
    </row>
    <row r="21324" spans="1:2" x14ac:dyDescent="0.25">
      <c r="A21324"/>
      <c r="B21324"/>
    </row>
    <row r="21325" spans="1:2" x14ac:dyDescent="0.25">
      <c r="A21325"/>
      <c r="B21325"/>
    </row>
    <row r="21326" spans="1:2" x14ac:dyDescent="0.25">
      <c r="A21326"/>
      <c r="B21326"/>
    </row>
    <row r="21327" spans="1:2" x14ac:dyDescent="0.25">
      <c r="A21327"/>
      <c r="B21327"/>
    </row>
    <row r="21328" spans="1:2" x14ac:dyDescent="0.25">
      <c r="A21328"/>
      <c r="B21328"/>
    </row>
    <row r="21329" spans="1:2" x14ac:dyDescent="0.25">
      <c r="A21329"/>
      <c r="B21329"/>
    </row>
    <row r="21330" spans="1:2" x14ac:dyDescent="0.25">
      <c r="A21330"/>
      <c r="B21330"/>
    </row>
    <row r="21331" spans="1:2" x14ac:dyDescent="0.25">
      <c r="A21331"/>
      <c r="B21331"/>
    </row>
    <row r="21332" spans="1:2" x14ac:dyDescent="0.25">
      <c r="A21332"/>
      <c r="B21332"/>
    </row>
    <row r="21333" spans="1:2" x14ac:dyDescent="0.25">
      <c r="A21333"/>
      <c r="B21333"/>
    </row>
    <row r="21334" spans="1:2" x14ac:dyDescent="0.25">
      <c r="A21334"/>
      <c r="B21334"/>
    </row>
    <row r="21335" spans="1:2" x14ac:dyDescent="0.25">
      <c r="A21335"/>
      <c r="B21335"/>
    </row>
    <row r="21336" spans="1:2" x14ac:dyDescent="0.25">
      <c r="A21336"/>
      <c r="B21336"/>
    </row>
    <row r="21337" spans="1:2" x14ac:dyDescent="0.25">
      <c r="A21337"/>
      <c r="B21337"/>
    </row>
    <row r="21338" spans="1:2" x14ac:dyDescent="0.25">
      <c r="A21338"/>
      <c r="B21338"/>
    </row>
    <row r="21339" spans="1:2" x14ac:dyDescent="0.25">
      <c r="A21339"/>
      <c r="B21339"/>
    </row>
    <row r="21340" spans="1:2" x14ac:dyDescent="0.25">
      <c r="A21340"/>
      <c r="B21340"/>
    </row>
    <row r="21341" spans="1:2" x14ac:dyDescent="0.25">
      <c r="A21341"/>
      <c r="B21341"/>
    </row>
    <row r="21342" spans="1:2" x14ac:dyDescent="0.25">
      <c r="A21342"/>
      <c r="B21342"/>
    </row>
    <row r="21343" spans="1:2" x14ac:dyDescent="0.25">
      <c r="A21343"/>
      <c r="B21343"/>
    </row>
    <row r="21344" spans="1:2" x14ac:dyDescent="0.25">
      <c r="A21344"/>
      <c r="B21344"/>
    </row>
    <row r="21345" spans="1:2" x14ac:dyDescent="0.25">
      <c r="A21345"/>
      <c r="B21345"/>
    </row>
    <row r="21346" spans="1:2" x14ac:dyDescent="0.25">
      <c r="A21346"/>
      <c r="B21346"/>
    </row>
    <row r="21347" spans="1:2" x14ac:dyDescent="0.25">
      <c r="A21347"/>
      <c r="B21347"/>
    </row>
    <row r="21348" spans="1:2" x14ac:dyDescent="0.25">
      <c r="A21348"/>
      <c r="B21348"/>
    </row>
    <row r="21349" spans="1:2" x14ac:dyDescent="0.25">
      <c r="A21349"/>
      <c r="B21349"/>
    </row>
    <row r="21350" spans="1:2" x14ac:dyDescent="0.25">
      <c r="A21350"/>
      <c r="B21350"/>
    </row>
    <row r="21351" spans="1:2" x14ac:dyDescent="0.25">
      <c r="A21351"/>
      <c r="B21351"/>
    </row>
    <row r="21352" spans="1:2" x14ac:dyDescent="0.25">
      <c r="A21352"/>
      <c r="B21352"/>
    </row>
    <row r="21353" spans="1:2" x14ac:dyDescent="0.25">
      <c r="A21353"/>
      <c r="B21353"/>
    </row>
    <row r="21354" spans="1:2" x14ac:dyDescent="0.25">
      <c r="A21354"/>
      <c r="B21354"/>
    </row>
    <row r="21355" spans="1:2" x14ac:dyDescent="0.25">
      <c r="A21355"/>
      <c r="B21355"/>
    </row>
    <row r="21356" spans="1:2" x14ac:dyDescent="0.25">
      <c r="A21356"/>
      <c r="B21356"/>
    </row>
    <row r="21357" spans="1:2" x14ac:dyDescent="0.25">
      <c r="A21357"/>
      <c r="B21357"/>
    </row>
    <row r="21358" spans="1:2" x14ac:dyDescent="0.25">
      <c r="A21358"/>
      <c r="B21358"/>
    </row>
    <row r="21359" spans="1:2" x14ac:dyDescent="0.25">
      <c r="A21359"/>
      <c r="B21359"/>
    </row>
    <row r="21360" spans="1:2" x14ac:dyDescent="0.25">
      <c r="A21360"/>
      <c r="B21360"/>
    </row>
    <row r="21361" spans="1:2" x14ac:dyDescent="0.25">
      <c r="A21361"/>
      <c r="B21361"/>
    </row>
    <row r="21362" spans="1:2" x14ac:dyDescent="0.25">
      <c r="A21362"/>
      <c r="B21362"/>
    </row>
    <row r="21363" spans="1:2" x14ac:dyDescent="0.25">
      <c r="A21363"/>
      <c r="B21363"/>
    </row>
    <row r="21364" spans="1:2" x14ac:dyDescent="0.25">
      <c r="A21364"/>
      <c r="B21364"/>
    </row>
    <row r="21365" spans="1:2" x14ac:dyDescent="0.25">
      <c r="A21365"/>
      <c r="B21365"/>
    </row>
    <row r="21366" spans="1:2" x14ac:dyDescent="0.25">
      <c r="A21366"/>
      <c r="B21366"/>
    </row>
    <row r="21367" spans="1:2" x14ac:dyDescent="0.25">
      <c r="A21367"/>
      <c r="B21367"/>
    </row>
    <row r="21368" spans="1:2" x14ac:dyDescent="0.25">
      <c r="A21368"/>
      <c r="B21368"/>
    </row>
    <row r="21369" spans="1:2" x14ac:dyDescent="0.25">
      <c r="A21369"/>
      <c r="B21369"/>
    </row>
    <row r="21370" spans="1:2" x14ac:dyDescent="0.25">
      <c r="A21370"/>
      <c r="B21370"/>
    </row>
    <row r="21371" spans="1:2" x14ac:dyDescent="0.25">
      <c r="A21371"/>
      <c r="B21371"/>
    </row>
    <row r="21372" spans="1:2" x14ac:dyDescent="0.25">
      <c r="A21372"/>
      <c r="B21372"/>
    </row>
    <row r="21373" spans="1:2" x14ac:dyDescent="0.25">
      <c r="A21373"/>
      <c r="B21373"/>
    </row>
    <row r="21374" spans="1:2" x14ac:dyDescent="0.25">
      <c r="A21374"/>
      <c r="B21374"/>
    </row>
    <row r="21375" spans="1:2" x14ac:dyDescent="0.25">
      <c r="A21375"/>
      <c r="B21375"/>
    </row>
    <row r="21376" spans="1:2" x14ac:dyDescent="0.25">
      <c r="A21376"/>
      <c r="B21376"/>
    </row>
    <row r="21377" spans="1:2" x14ac:dyDescent="0.25">
      <c r="A21377"/>
      <c r="B21377"/>
    </row>
    <row r="21378" spans="1:2" x14ac:dyDescent="0.25">
      <c r="A21378"/>
      <c r="B21378"/>
    </row>
    <row r="21379" spans="1:2" x14ac:dyDescent="0.25">
      <c r="A21379"/>
      <c r="B21379"/>
    </row>
    <row r="21380" spans="1:2" x14ac:dyDescent="0.25">
      <c r="A21380"/>
      <c r="B21380"/>
    </row>
    <row r="21381" spans="1:2" x14ac:dyDescent="0.25">
      <c r="A21381"/>
      <c r="B21381"/>
    </row>
    <row r="21382" spans="1:2" x14ac:dyDescent="0.25">
      <c r="A21382"/>
      <c r="B21382"/>
    </row>
    <row r="21383" spans="1:2" x14ac:dyDescent="0.25">
      <c r="A21383"/>
      <c r="B21383"/>
    </row>
    <row r="21384" spans="1:2" x14ac:dyDescent="0.25">
      <c r="A21384"/>
      <c r="B21384"/>
    </row>
    <row r="21385" spans="1:2" x14ac:dyDescent="0.25">
      <c r="A21385"/>
      <c r="B21385"/>
    </row>
    <row r="21386" spans="1:2" x14ac:dyDescent="0.25">
      <c r="A21386"/>
      <c r="B21386"/>
    </row>
    <row r="21387" spans="1:2" x14ac:dyDescent="0.25">
      <c r="A21387"/>
      <c r="B21387"/>
    </row>
    <row r="21388" spans="1:2" x14ac:dyDescent="0.25">
      <c r="A21388"/>
      <c r="B21388"/>
    </row>
    <row r="21389" spans="1:2" x14ac:dyDescent="0.25">
      <c r="A21389"/>
      <c r="B21389"/>
    </row>
    <row r="21390" spans="1:2" x14ac:dyDescent="0.25">
      <c r="A21390"/>
      <c r="B21390"/>
    </row>
    <row r="21391" spans="1:2" x14ac:dyDescent="0.25">
      <c r="A21391"/>
      <c r="B21391"/>
    </row>
    <row r="21392" spans="1:2" x14ac:dyDescent="0.25">
      <c r="A21392"/>
      <c r="B21392"/>
    </row>
    <row r="21393" spans="1:2" x14ac:dyDescent="0.25">
      <c r="A21393"/>
      <c r="B21393"/>
    </row>
    <row r="21394" spans="1:2" x14ac:dyDescent="0.25">
      <c r="A21394"/>
      <c r="B21394"/>
    </row>
    <row r="21395" spans="1:2" x14ac:dyDescent="0.25">
      <c r="A21395"/>
      <c r="B21395"/>
    </row>
    <row r="21396" spans="1:2" x14ac:dyDescent="0.25">
      <c r="A21396"/>
      <c r="B21396"/>
    </row>
    <row r="21397" spans="1:2" x14ac:dyDescent="0.25">
      <c r="A21397"/>
      <c r="B21397"/>
    </row>
    <row r="21398" spans="1:2" x14ac:dyDescent="0.25">
      <c r="A21398"/>
      <c r="B21398"/>
    </row>
    <row r="21399" spans="1:2" x14ac:dyDescent="0.25">
      <c r="A21399"/>
      <c r="B21399"/>
    </row>
    <row r="21400" spans="1:2" x14ac:dyDescent="0.25">
      <c r="A21400"/>
      <c r="B21400"/>
    </row>
    <row r="21401" spans="1:2" x14ac:dyDescent="0.25">
      <c r="A21401"/>
      <c r="B21401"/>
    </row>
    <row r="21402" spans="1:2" x14ac:dyDescent="0.25">
      <c r="A21402"/>
      <c r="B21402"/>
    </row>
    <row r="21403" spans="1:2" x14ac:dyDescent="0.25">
      <c r="A21403"/>
      <c r="B21403"/>
    </row>
    <row r="21404" spans="1:2" x14ac:dyDescent="0.25">
      <c r="A21404"/>
      <c r="B21404"/>
    </row>
    <row r="21405" spans="1:2" x14ac:dyDescent="0.25">
      <c r="A21405"/>
      <c r="B21405"/>
    </row>
    <row r="21406" spans="1:2" x14ac:dyDescent="0.25">
      <c r="A21406"/>
      <c r="B21406"/>
    </row>
    <row r="21407" spans="1:2" x14ac:dyDescent="0.25">
      <c r="A21407"/>
      <c r="B21407"/>
    </row>
    <row r="21408" spans="1:2" x14ac:dyDescent="0.25">
      <c r="A21408"/>
      <c r="B21408"/>
    </row>
    <row r="21409" spans="1:2" x14ac:dyDescent="0.25">
      <c r="A21409"/>
      <c r="B21409"/>
    </row>
    <row r="21410" spans="1:2" x14ac:dyDescent="0.25">
      <c r="A21410"/>
      <c r="B21410"/>
    </row>
    <row r="21411" spans="1:2" x14ac:dyDescent="0.25">
      <c r="A21411"/>
      <c r="B21411"/>
    </row>
    <row r="21412" spans="1:2" x14ac:dyDescent="0.25">
      <c r="A21412"/>
      <c r="B21412"/>
    </row>
    <row r="21413" spans="1:2" x14ac:dyDescent="0.25">
      <c r="A21413"/>
      <c r="B21413"/>
    </row>
    <row r="21414" spans="1:2" x14ac:dyDescent="0.25">
      <c r="A21414"/>
      <c r="B21414"/>
    </row>
    <row r="21415" spans="1:2" x14ac:dyDescent="0.25">
      <c r="A21415"/>
      <c r="B21415"/>
    </row>
    <row r="21416" spans="1:2" x14ac:dyDescent="0.25">
      <c r="A21416"/>
      <c r="B21416"/>
    </row>
    <row r="21417" spans="1:2" x14ac:dyDescent="0.25">
      <c r="A21417"/>
      <c r="B21417"/>
    </row>
    <row r="21418" spans="1:2" x14ac:dyDescent="0.25">
      <c r="A21418"/>
      <c r="B21418"/>
    </row>
    <row r="21419" spans="1:2" x14ac:dyDescent="0.25">
      <c r="A21419"/>
      <c r="B21419"/>
    </row>
    <row r="21420" spans="1:2" x14ac:dyDescent="0.25">
      <c r="A21420"/>
      <c r="B21420"/>
    </row>
    <row r="21421" spans="1:2" x14ac:dyDescent="0.25">
      <c r="A21421"/>
      <c r="B21421"/>
    </row>
    <row r="21422" spans="1:2" x14ac:dyDescent="0.25">
      <c r="A21422"/>
      <c r="B21422"/>
    </row>
    <row r="21423" spans="1:2" x14ac:dyDescent="0.25">
      <c r="A21423"/>
      <c r="B21423"/>
    </row>
    <row r="21424" spans="1:2" x14ac:dyDescent="0.25">
      <c r="A21424"/>
      <c r="B21424"/>
    </row>
    <row r="21425" spans="1:2" x14ac:dyDescent="0.25">
      <c r="A21425"/>
      <c r="B21425"/>
    </row>
    <row r="21426" spans="1:2" x14ac:dyDescent="0.25">
      <c r="A21426"/>
      <c r="B21426"/>
    </row>
    <row r="21427" spans="1:2" x14ac:dyDescent="0.25">
      <c r="A21427"/>
      <c r="B21427"/>
    </row>
    <row r="21428" spans="1:2" x14ac:dyDescent="0.25">
      <c r="A21428"/>
      <c r="B21428"/>
    </row>
    <row r="21429" spans="1:2" x14ac:dyDescent="0.25">
      <c r="A21429"/>
      <c r="B21429"/>
    </row>
    <row r="21430" spans="1:2" x14ac:dyDescent="0.25">
      <c r="A21430"/>
      <c r="B21430"/>
    </row>
    <row r="21431" spans="1:2" x14ac:dyDescent="0.25">
      <c r="A21431"/>
      <c r="B21431"/>
    </row>
    <row r="21432" spans="1:2" x14ac:dyDescent="0.25">
      <c r="A21432"/>
      <c r="B21432"/>
    </row>
    <row r="21433" spans="1:2" x14ac:dyDescent="0.25">
      <c r="A21433"/>
      <c r="B21433"/>
    </row>
    <row r="21434" spans="1:2" x14ac:dyDescent="0.25">
      <c r="A21434"/>
      <c r="B21434"/>
    </row>
    <row r="21435" spans="1:2" x14ac:dyDescent="0.25">
      <c r="A21435"/>
      <c r="B21435"/>
    </row>
    <row r="21436" spans="1:2" x14ac:dyDescent="0.25">
      <c r="A21436"/>
      <c r="B21436"/>
    </row>
    <row r="21437" spans="1:2" x14ac:dyDescent="0.25">
      <c r="A21437"/>
      <c r="B21437"/>
    </row>
    <row r="21438" spans="1:2" x14ac:dyDescent="0.25">
      <c r="A21438"/>
      <c r="B21438"/>
    </row>
    <row r="21439" spans="1:2" x14ac:dyDescent="0.25">
      <c r="A21439"/>
      <c r="B21439"/>
    </row>
    <row r="21440" spans="1:2" x14ac:dyDescent="0.25">
      <c r="A21440"/>
      <c r="B21440"/>
    </row>
    <row r="21441" spans="1:2" x14ac:dyDescent="0.25">
      <c r="A21441"/>
      <c r="B21441"/>
    </row>
    <row r="21442" spans="1:2" x14ac:dyDescent="0.25">
      <c r="A21442"/>
      <c r="B21442"/>
    </row>
    <row r="21443" spans="1:2" x14ac:dyDescent="0.25">
      <c r="A21443"/>
      <c r="B21443"/>
    </row>
    <row r="21444" spans="1:2" x14ac:dyDescent="0.25">
      <c r="A21444"/>
      <c r="B21444"/>
    </row>
    <row r="21445" spans="1:2" x14ac:dyDescent="0.25">
      <c r="A21445"/>
      <c r="B21445"/>
    </row>
    <row r="21446" spans="1:2" x14ac:dyDescent="0.25">
      <c r="A21446"/>
      <c r="B21446"/>
    </row>
    <row r="21447" spans="1:2" x14ac:dyDescent="0.25">
      <c r="A21447"/>
      <c r="B21447"/>
    </row>
    <row r="21448" spans="1:2" x14ac:dyDescent="0.25">
      <c r="A21448"/>
      <c r="B21448"/>
    </row>
    <row r="21449" spans="1:2" x14ac:dyDescent="0.25">
      <c r="A21449"/>
      <c r="B21449"/>
    </row>
    <row r="21450" spans="1:2" x14ac:dyDescent="0.25">
      <c r="A21450"/>
      <c r="B21450"/>
    </row>
    <row r="21451" spans="1:2" x14ac:dyDescent="0.25">
      <c r="A21451"/>
      <c r="B21451"/>
    </row>
    <row r="21452" spans="1:2" x14ac:dyDescent="0.25">
      <c r="A21452"/>
      <c r="B21452"/>
    </row>
    <row r="21453" spans="1:2" x14ac:dyDescent="0.25">
      <c r="A21453"/>
      <c r="B21453"/>
    </row>
    <row r="21454" spans="1:2" x14ac:dyDescent="0.25">
      <c r="A21454"/>
      <c r="B21454"/>
    </row>
    <row r="21455" spans="1:2" x14ac:dyDescent="0.25">
      <c r="A21455"/>
      <c r="B21455"/>
    </row>
    <row r="21456" spans="1:2" x14ac:dyDescent="0.25">
      <c r="A21456"/>
      <c r="B21456"/>
    </row>
    <row r="21457" spans="1:2" x14ac:dyDescent="0.25">
      <c r="A21457"/>
      <c r="B21457"/>
    </row>
    <row r="21458" spans="1:2" x14ac:dyDescent="0.25">
      <c r="A21458"/>
      <c r="B21458"/>
    </row>
    <row r="21459" spans="1:2" x14ac:dyDescent="0.25">
      <c r="A21459"/>
      <c r="B21459"/>
    </row>
    <row r="21460" spans="1:2" x14ac:dyDescent="0.25">
      <c r="A21460"/>
      <c r="B21460"/>
    </row>
    <row r="21461" spans="1:2" x14ac:dyDescent="0.25">
      <c r="A21461"/>
      <c r="B21461"/>
    </row>
    <row r="21462" spans="1:2" x14ac:dyDescent="0.25">
      <c r="A21462"/>
      <c r="B21462"/>
    </row>
    <row r="21463" spans="1:2" x14ac:dyDescent="0.25">
      <c r="A21463"/>
      <c r="B21463"/>
    </row>
    <row r="21464" spans="1:2" x14ac:dyDescent="0.25">
      <c r="A21464"/>
      <c r="B21464"/>
    </row>
    <row r="21465" spans="1:2" x14ac:dyDescent="0.25">
      <c r="A21465"/>
      <c r="B21465"/>
    </row>
    <row r="21466" spans="1:2" x14ac:dyDescent="0.25">
      <c r="A21466"/>
      <c r="B21466"/>
    </row>
    <row r="21467" spans="1:2" x14ac:dyDescent="0.25">
      <c r="A21467"/>
      <c r="B21467"/>
    </row>
    <row r="21468" spans="1:2" x14ac:dyDescent="0.25">
      <c r="A21468"/>
      <c r="B21468"/>
    </row>
    <row r="21469" spans="1:2" x14ac:dyDescent="0.25">
      <c r="A21469"/>
      <c r="B21469"/>
    </row>
    <row r="21470" spans="1:2" x14ac:dyDescent="0.25">
      <c r="A21470"/>
      <c r="B21470"/>
    </row>
    <row r="21471" spans="1:2" x14ac:dyDescent="0.25">
      <c r="A21471"/>
      <c r="B21471"/>
    </row>
    <row r="21472" spans="1:2" x14ac:dyDescent="0.25">
      <c r="A21472"/>
      <c r="B21472"/>
    </row>
    <row r="21473" spans="1:2" x14ac:dyDescent="0.25">
      <c r="A21473"/>
      <c r="B21473"/>
    </row>
    <row r="21474" spans="1:2" x14ac:dyDescent="0.25">
      <c r="A21474"/>
      <c r="B21474"/>
    </row>
    <row r="21475" spans="1:2" x14ac:dyDescent="0.25">
      <c r="A21475"/>
      <c r="B21475"/>
    </row>
    <row r="21476" spans="1:2" x14ac:dyDescent="0.25">
      <c r="A21476"/>
      <c r="B21476"/>
    </row>
    <row r="21477" spans="1:2" x14ac:dyDescent="0.25">
      <c r="A21477"/>
      <c r="B21477"/>
    </row>
    <row r="21478" spans="1:2" x14ac:dyDescent="0.25">
      <c r="A21478"/>
      <c r="B21478"/>
    </row>
    <row r="21479" spans="1:2" x14ac:dyDescent="0.25">
      <c r="A21479"/>
      <c r="B21479"/>
    </row>
    <row r="21480" spans="1:2" x14ac:dyDescent="0.25">
      <c r="A21480"/>
      <c r="B21480"/>
    </row>
    <row r="21481" spans="1:2" x14ac:dyDescent="0.25">
      <c r="A21481"/>
      <c r="B21481"/>
    </row>
    <row r="21482" spans="1:2" x14ac:dyDescent="0.25">
      <c r="A21482"/>
      <c r="B21482"/>
    </row>
    <row r="21483" spans="1:2" x14ac:dyDescent="0.25">
      <c r="A21483"/>
      <c r="B21483"/>
    </row>
    <row r="21484" spans="1:2" x14ac:dyDescent="0.25">
      <c r="A21484"/>
      <c r="B21484"/>
    </row>
    <row r="21485" spans="1:2" x14ac:dyDescent="0.25">
      <c r="A21485"/>
      <c r="B21485"/>
    </row>
    <row r="21486" spans="1:2" x14ac:dyDescent="0.25">
      <c r="A21486"/>
      <c r="B21486"/>
    </row>
    <row r="21487" spans="1:2" x14ac:dyDescent="0.25">
      <c r="A21487"/>
      <c r="B21487"/>
    </row>
    <row r="21488" spans="1:2" x14ac:dyDescent="0.25">
      <c r="A21488"/>
      <c r="B21488"/>
    </row>
    <row r="21489" spans="1:2" x14ac:dyDescent="0.25">
      <c r="A21489"/>
      <c r="B21489"/>
    </row>
    <row r="21490" spans="1:2" x14ac:dyDescent="0.25">
      <c r="A21490"/>
      <c r="B21490"/>
    </row>
    <row r="21491" spans="1:2" x14ac:dyDescent="0.25">
      <c r="A21491"/>
      <c r="B21491"/>
    </row>
    <row r="21492" spans="1:2" x14ac:dyDescent="0.25">
      <c r="A21492"/>
      <c r="B21492"/>
    </row>
    <row r="21493" spans="1:2" x14ac:dyDescent="0.25">
      <c r="A21493"/>
      <c r="B21493"/>
    </row>
    <row r="21494" spans="1:2" x14ac:dyDescent="0.25">
      <c r="A21494"/>
      <c r="B21494"/>
    </row>
    <row r="21495" spans="1:2" x14ac:dyDescent="0.25">
      <c r="A21495"/>
      <c r="B21495"/>
    </row>
    <row r="21496" spans="1:2" x14ac:dyDescent="0.25">
      <c r="A21496"/>
      <c r="B21496"/>
    </row>
    <row r="21497" spans="1:2" x14ac:dyDescent="0.25">
      <c r="A21497"/>
      <c r="B21497"/>
    </row>
    <row r="21498" spans="1:2" x14ac:dyDescent="0.25">
      <c r="A21498"/>
      <c r="B21498"/>
    </row>
    <row r="21499" spans="1:2" x14ac:dyDescent="0.25">
      <c r="A21499"/>
      <c r="B21499"/>
    </row>
    <row r="21500" spans="1:2" x14ac:dyDescent="0.25">
      <c r="A21500"/>
      <c r="B21500"/>
    </row>
    <row r="21501" spans="1:2" x14ac:dyDescent="0.25">
      <c r="A21501"/>
      <c r="B21501"/>
    </row>
    <row r="21502" spans="1:2" x14ac:dyDescent="0.25">
      <c r="A21502"/>
      <c r="B21502"/>
    </row>
    <row r="21503" spans="1:2" x14ac:dyDescent="0.25">
      <c r="A21503"/>
      <c r="B21503"/>
    </row>
    <row r="21504" spans="1:2" x14ac:dyDescent="0.25">
      <c r="A21504"/>
      <c r="B21504"/>
    </row>
    <row r="21505" spans="1:2" x14ac:dyDescent="0.25">
      <c r="A21505"/>
      <c r="B21505"/>
    </row>
    <row r="21506" spans="1:2" x14ac:dyDescent="0.25">
      <c r="A21506"/>
      <c r="B21506"/>
    </row>
    <row r="21507" spans="1:2" x14ac:dyDescent="0.25">
      <c r="A21507"/>
      <c r="B21507"/>
    </row>
    <row r="21508" spans="1:2" x14ac:dyDescent="0.25">
      <c r="A21508"/>
      <c r="B21508"/>
    </row>
    <row r="21509" spans="1:2" x14ac:dyDescent="0.25">
      <c r="A21509"/>
      <c r="B21509"/>
    </row>
    <row r="21510" spans="1:2" x14ac:dyDescent="0.25">
      <c r="A21510"/>
      <c r="B21510"/>
    </row>
    <row r="21511" spans="1:2" x14ac:dyDescent="0.25">
      <c r="A21511"/>
      <c r="B21511"/>
    </row>
    <row r="21512" spans="1:2" x14ac:dyDescent="0.25">
      <c r="A21512"/>
      <c r="B21512"/>
    </row>
    <row r="21513" spans="1:2" x14ac:dyDescent="0.25">
      <c r="A21513"/>
      <c r="B21513"/>
    </row>
    <row r="21514" spans="1:2" x14ac:dyDescent="0.25">
      <c r="A21514"/>
      <c r="B21514"/>
    </row>
    <row r="21515" spans="1:2" x14ac:dyDescent="0.25">
      <c r="A21515"/>
      <c r="B21515"/>
    </row>
    <row r="21516" spans="1:2" x14ac:dyDescent="0.25">
      <c r="A21516"/>
      <c r="B21516"/>
    </row>
    <row r="21517" spans="1:2" x14ac:dyDescent="0.25">
      <c r="A21517"/>
      <c r="B21517"/>
    </row>
    <row r="21518" spans="1:2" x14ac:dyDescent="0.25">
      <c r="A21518"/>
      <c r="B21518"/>
    </row>
    <row r="21519" spans="1:2" x14ac:dyDescent="0.25">
      <c r="A21519"/>
      <c r="B21519"/>
    </row>
    <row r="21520" spans="1:2" x14ac:dyDescent="0.25">
      <c r="A21520"/>
      <c r="B21520"/>
    </row>
    <row r="21521" spans="1:2" x14ac:dyDescent="0.25">
      <c r="A21521"/>
      <c r="B21521"/>
    </row>
    <row r="21522" spans="1:2" x14ac:dyDescent="0.25">
      <c r="A21522"/>
      <c r="B21522"/>
    </row>
    <row r="21523" spans="1:2" x14ac:dyDescent="0.25">
      <c r="A21523"/>
      <c r="B21523"/>
    </row>
    <row r="21524" spans="1:2" x14ac:dyDescent="0.25">
      <c r="A21524"/>
      <c r="B21524"/>
    </row>
    <row r="21525" spans="1:2" x14ac:dyDescent="0.25">
      <c r="A21525"/>
      <c r="B21525"/>
    </row>
    <row r="21526" spans="1:2" x14ac:dyDescent="0.25">
      <c r="A21526"/>
      <c r="B21526"/>
    </row>
    <row r="21527" spans="1:2" x14ac:dyDescent="0.25">
      <c r="A21527"/>
      <c r="B21527"/>
    </row>
    <row r="21528" spans="1:2" x14ac:dyDescent="0.25">
      <c r="A21528"/>
      <c r="B21528"/>
    </row>
    <row r="21529" spans="1:2" x14ac:dyDescent="0.25">
      <c r="A21529"/>
      <c r="B21529"/>
    </row>
    <row r="21530" spans="1:2" x14ac:dyDescent="0.25">
      <c r="A21530"/>
      <c r="B21530"/>
    </row>
    <row r="21531" spans="1:2" x14ac:dyDescent="0.25">
      <c r="A21531"/>
      <c r="B21531"/>
    </row>
    <row r="21532" spans="1:2" x14ac:dyDescent="0.25">
      <c r="A21532"/>
      <c r="B21532"/>
    </row>
    <row r="21533" spans="1:2" x14ac:dyDescent="0.25">
      <c r="A21533"/>
      <c r="B21533"/>
    </row>
    <row r="21534" spans="1:2" x14ac:dyDescent="0.25">
      <c r="A21534"/>
      <c r="B21534"/>
    </row>
    <row r="21535" spans="1:2" x14ac:dyDescent="0.25">
      <c r="A21535"/>
      <c r="B21535"/>
    </row>
    <row r="21536" spans="1:2" x14ac:dyDescent="0.25">
      <c r="A21536"/>
      <c r="B21536"/>
    </row>
    <row r="21537" spans="1:2" x14ac:dyDescent="0.25">
      <c r="A21537"/>
      <c r="B21537"/>
    </row>
    <row r="21538" spans="1:2" x14ac:dyDescent="0.25">
      <c r="A21538"/>
      <c r="B21538"/>
    </row>
    <row r="21539" spans="1:2" x14ac:dyDescent="0.25">
      <c r="A21539"/>
      <c r="B21539"/>
    </row>
    <row r="21540" spans="1:2" x14ac:dyDescent="0.25">
      <c r="A21540"/>
      <c r="B21540"/>
    </row>
    <row r="21541" spans="1:2" x14ac:dyDescent="0.25">
      <c r="A21541"/>
      <c r="B21541"/>
    </row>
    <row r="21542" spans="1:2" x14ac:dyDescent="0.25">
      <c r="A21542"/>
      <c r="B21542"/>
    </row>
    <row r="21543" spans="1:2" x14ac:dyDescent="0.25">
      <c r="A21543"/>
      <c r="B21543"/>
    </row>
    <row r="21544" spans="1:2" x14ac:dyDescent="0.25">
      <c r="A21544"/>
      <c r="B21544"/>
    </row>
    <row r="21545" spans="1:2" x14ac:dyDescent="0.25">
      <c r="A21545"/>
      <c r="B21545"/>
    </row>
    <row r="21546" spans="1:2" x14ac:dyDescent="0.25">
      <c r="A21546"/>
      <c r="B21546"/>
    </row>
    <row r="21547" spans="1:2" x14ac:dyDescent="0.25">
      <c r="A21547"/>
      <c r="B21547"/>
    </row>
    <row r="21548" spans="1:2" x14ac:dyDescent="0.25">
      <c r="A21548"/>
      <c r="B21548"/>
    </row>
    <row r="21549" spans="1:2" x14ac:dyDescent="0.25">
      <c r="A21549"/>
      <c r="B21549"/>
    </row>
    <row r="21550" spans="1:2" x14ac:dyDescent="0.25">
      <c r="A21550"/>
      <c r="B21550"/>
    </row>
    <row r="21551" spans="1:2" x14ac:dyDescent="0.25">
      <c r="A21551"/>
      <c r="B21551"/>
    </row>
    <row r="21552" spans="1:2" x14ac:dyDescent="0.25">
      <c r="A21552"/>
      <c r="B21552"/>
    </row>
    <row r="21553" spans="1:2" x14ac:dyDescent="0.25">
      <c r="A21553"/>
      <c r="B21553"/>
    </row>
    <row r="21554" spans="1:2" x14ac:dyDescent="0.25">
      <c r="A21554"/>
      <c r="B21554"/>
    </row>
    <row r="21555" spans="1:2" x14ac:dyDescent="0.25">
      <c r="A21555"/>
      <c r="B21555"/>
    </row>
    <row r="21556" spans="1:2" x14ac:dyDescent="0.25">
      <c r="A21556"/>
      <c r="B21556"/>
    </row>
    <row r="21557" spans="1:2" x14ac:dyDescent="0.25">
      <c r="A21557"/>
      <c r="B21557"/>
    </row>
    <row r="21558" spans="1:2" x14ac:dyDescent="0.25">
      <c r="A21558"/>
      <c r="B21558"/>
    </row>
    <row r="21559" spans="1:2" x14ac:dyDescent="0.25">
      <c r="A21559"/>
      <c r="B21559"/>
    </row>
    <row r="21560" spans="1:2" x14ac:dyDescent="0.25">
      <c r="A21560"/>
      <c r="B21560"/>
    </row>
    <row r="21561" spans="1:2" x14ac:dyDescent="0.25">
      <c r="A21561"/>
      <c r="B21561"/>
    </row>
    <row r="21562" spans="1:2" x14ac:dyDescent="0.25">
      <c r="A21562"/>
      <c r="B21562"/>
    </row>
    <row r="21563" spans="1:2" x14ac:dyDescent="0.25">
      <c r="A21563"/>
      <c r="B21563"/>
    </row>
    <row r="21564" spans="1:2" x14ac:dyDescent="0.25">
      <c r="A21564"/>
      <c r="B21564"/>
    </row>
    <row r="21565" spans="1:2" x14ac:dyDescent="0.25">
      <c r="A21565"/>
      <c r="B21565"/>
    </row>
    <row r="21566" spans="1:2" x14ac:dyDescent="0.25">
      <c r="A21566"/>
      <c r="B21566"/>
    </row>
    <row r="21567" spans="1:2" x14ac:dyDescent="0.25">
      <c r="A21567"/>
      <c r="B21567"/>
    </row>
    <row r="21568" spans="1:2" x14ac:dyDescent="0.25">
      <c r="A21568"/>
      <c r="B21568"/>
    </row>
    <row r="21569" spans="1:2" x14ac:dyDescent="0.25">
      <c r="A21569"/>
      <c r="B21569"/>
    </row>
    <row r="21570" spans="1:2" x14ac:dyDescent="0.25">
      <c r="A21570"/>
      <c r="B21570"/>
    </row>
    <row r="21571" spans="1:2" x14ac:dyDescent="0.25">
      <c r="A21571"/>
      <c r="B21571"/>
    </row>
    <row r="21572" spans="1:2" x14ac:dyDescent="0.25">
      <c r="A21572"/>
      <c r="B21572"/>
    </row>
    <row r="21573" spans="1:2" x14ac:dyDescent="0.25">
      <c r="A21573"/>
      <c r="B21573"/>
    </row>
    <row r="21574" spans="1:2" x14ac:dyDescent="0.25">
      <c r="A21574"/>
      <c r="B21574"/>
    </row>
    <row r="21575" spans="1:2" x14ac:dyDescent="0.25">
      <c r="A21575"/>
      <c r="B21575"/>
    </row>
    <row r="21576" spans="1:2" x14ac:dyDescent="0.25">
      <c r="A21576"/>
      <c r="B21576"/>
    </row>
    <row r="21577" spans="1:2" x14ac:dyDescent="0.25">
      <c r="A21577"/>
      <c r="B21577"/>
    </row>
    <row r="21578" spans="1:2" x14ac:dyDescent="0.25">
      <c r="A21578"/>
      <c r="B21578"/>
    </row>
    <row r="21579" spans="1:2" x14ac:dyDescent="0.25">
      <c r="A21579"/>
      <c r="B21579"/>
    </row>
    <row r="21580" spans="1:2" x14ac:dyDescent="0.25">
      <c r="A21580"/>
      <c r="B21580"/>
    </row>
    <row r="21581" spans="1:2" x14ac:dyDescent="0.25">
      <c r="A21581"/>
      <c r="B21581"/>
    </row>
    <row r="21582" spans="1:2" x14ac:dyDescent="0.25">
      <c r="A21582"/>
      <c r="B21582"/>
    </row>
    <row r="21583" spans="1:2" x14ac:dyDescent="0.25">
      <c r="A21583"/>
      <c r="B21583"/>
    </row>
    <row r="21584" spans="1:2" x14ac:dyDescent="0.25">
      <c r="A21584"/>
      <c r="B21584"/>
    </row>
    <row r="21585" spans="1:2" x14ac:dyDescent="0.25">
      <c r="A21585"/>
      <c r="B21585"/>
    </row>
    <row r="21586" spans="1:2" x14ac:dyDescent="0.25">
      <c r="A21586"/>
      <c r="B21586"/>
    </row>
    <row r="21587" spans="1:2" x14ac:dyDescent="0.25">
      <c r="A21587"/>
      <c r="B21587"/>
    </row>
    <row r="21588" spans="1:2" x14ac:dyDescent="0.25">
      <c r="A21588"/>
      <c r="B21588"/>
    </row>
    <row r="21589" spans="1:2" x14ac:dyDescent="0.25">
      <c r="A21589"/>
      <c r="B21589"/>
    </row>
    <row r="21590" spans="1:2" x14ac:dyDescent="0.25">
      <c r="A21590"/>
      <c r="B21590"/>
    </row>
    <row r="21591" spans="1:2" x14ac:dyDescent="0.25">
      <c r="A21591"/>
      <c r="B21591"/>
    </row>
    <row r="21592" spans="1:2" x14ac:dyDescent="0.25">
      <c r="A21592"/>
      <c r="B21592"/>
    </row>
    <row r="21593" spans="1:2" x14ac:dyDescent="0.25">
      <c r="A21593"/>
      <c r="B21593"/>
    </row>
    <row r="21594" spans="1:2" x14ac:dyDescent="0.25">
      <c r="A21594"/>
      <c r="B21594"/>
    </row>
    <row r="21595" spans="1:2" x14ac:dyDescent="0.25">
      <c r="A21595"/>
      <c r="B21595"/>
    </row>
    <row r="21596" spans="1:2" x14ac:dyDescent="0.25">
      <c r="A21596"/>
      <c r="B21596"/>
    </row>
    <row r="21597" spans="1:2" x14ac:dyDescent="0.25">
      <c r="A21597"/>
      <c r="B21597"/>
    </row>
    <row r="21598" spans="1:2" x14ac:dyDescent="0.25">
      <c r="A21598"/>
      <c r="B21598"/>
    </row>
    <row r="21599" spans="1:2" x14ac:dyDescent="0.25">
      <c r="A21599"/>
      <c r="B21599"/>
    </row>
    <row r="21600" spans="1:2" x14ac:dyDescent="0.25">
      <c r="A21600"/>
      <c r="B21600"/>
    </row>
    <row r="21601" spans="1:2" x14ac:dyDescent="0.25">
      <c r="A21601"/>
      <c r="B21601"/>
    </row>
    <row r="21602" spans="1:2" x14ac:dyDescent="0.25">
      <c r="A21602"/>
      <c r="B21602"/>
    </row>
    <row r="21603" spans="1:2" x14ac:dyDescent="0.25">
      <c r="A21603"/>
      <c r="B21603"/>
    </row>
    <row r="21604" spans="1:2" x14ac:dyDescent="0.25">
      <c r="A21604"/>
      <c r="B21604"/>
    </row>
    <row r="21605" spans="1:2" x14ac:dyDescent="0.25">
      <c r="A21605"/>
      <c r="B21605"/>
    </row>
    <row r="21606" spans="1:2" x14ac:dyDescent="0.25">
      <c r="A21606"/>
      <c r="B21606"/>
    </row>
    <row r="21607" spans="1:2" x14ac:dyDescent="0.25">
      <c r="A21607"/>
      <c r="B21607"/>
    </row>
    <row r="21608" spans="1:2" x14ac:dyDescent="0.25">
      <c r="A21608"/>
      <c r="B21608"/>
    </row>
    <row r="21609" spans="1:2" x14ac:dyDescent="0.25">
      <c r="A21609"/>
      <c r="B21609"/>
    </row>
    <row r="21610" spans="1:2" x14ac:dyDescent="0.25">
      <c r="A21610"/>
      <c r="B21610"/>
    </row>
    <row r="21611" spans="1:2" x14ac:dyDescent="0.25">
      <c r="A21611"/>
      <c r="B21611"/>
    </row>
    <row r="21612" spans="1:2" x14ac:dyDescent="0.25">
      <c r="A21612"/>
      <c r="B21612"/>
    </row>
    <row r="21613" spans="1:2" x14ac:dyDescent="0.25">
      <c r="A21613"/>
      <c r="B21613"/>
    </row>
    <row r="21614" spans="1:2" x14ac:dyDescent="0.25">
      <c r="A21614"/>
      <c r="B21614"/>
    </row>
    <row r="21615" spans="1:2" x14ac:dyDescent="0.25">
      <c r="A21615"/>
      <c r="B21615"/>
    </row>
    <row r="21616" spans="1:2" x14ac:dyDescent="0.25">
      <c r="A21616"/>
      <c r="B21616"/>
    </row>
    <row r="21617" spans="1:2" x14ac:dyDescent="0.25">
      <c r="A21617"/>
      <c r="B21617"/>
    </row>
    <row r="21618" spans="1:2" x14ac:dyDescent="0.25">
      <c r="A21618"/>
      <c r="B21618"/>
    </row>
    <row r="21619" spans="1:2" x14ac:dyDescent="0.25">
      <c r="A21619"/>
      <c r="B21619"/>
    </row>
    <row r="21620" spans="1:2" x14ac:dyDescent="0.25">
      <c r="A21620"/>
      <c r="B21620"/>
    </row>
    <row r="21621" spans="1:2" x14ac:dyDescent="0.25">
      <c r="A21621"/>
      <c r="B21621"/>
    </row>
    <row r="21622" spans="1:2" x14ac:dyDescent="0.25">
      <c r="A21622"/>
      <c r="B21622"/>
    </row>
    <row r="21623" spans="1:2" x14ac:dyDescent="0.25">
      <c r="A21623"/>
      <c r="B21623"/>
    </row>
    <row r="21624" spans="1:2" x14ac:dyDescent="0.25">
      <c r="A21624"/>
      <c r="B21624"/>
    </row>
    <row r="21625" spans="1:2" x14ac:dyDescent="0.25">
      <c r="A21625"/>
      <c r="B21625"/>
    </row>
    <row r="21626" spans="1:2" x14ac:dyDescent="0.25">
      <c r="A21626"/>
      <c r="B21626"/>
    </row>
    <row r="21627" spans="1:2" x14ac:dyDescent="0.25">
      <c r="A21627"/>
      <c r="B21627"/>
    </row>
    <row r="21628" spans="1:2" x14ac:dyDescent="0.25">
      <c r="A21628"/>
      <c r="B21628"/>
    </row>
    <row r="21629" spans="1:2" x14ac:dyDescent="0.25">
      <c r="A21629"/>
      <c r="B21629"/>
    </row>
    <row r="21630" spans="1:2" x14ac:dyDescent="0.25">
      <c r="A21630"/>
      <c r="B21630"/>
    </row>
    <row r="21631" spans="1:2" x14ac:dyDescent="0.25">
      <c r="A21631"/>
      <c r="B21631"/>
    </row>
    <row r="21632" spans="1:2" x14ac:dyDescent="0.25">
      <c r="A21632"/>
      <c r="B21632"/>
    </row>
    <row r="21633" spans="1:2" x14ac:dyDescent="0.25">
      <c r="A21633"/>
      <c r="B21633"/>
    </row>
    <row r="21634" spans="1:2" x14ac:dyDescent="0.25">
      <c r="A21634"/>
      <c r="B21634"/>
    </row>
    <row r="21635" spans="1:2" x14ac:dyDescent="0.25">
      <c r="A21635"/>
      <c r="B21635"/>
    </row>
    <row r="21636" spans="1:2" x14ac:dyDescent="0.25">
      <c r="A21636"/>
      <c r="B21636"/>
    </row>
    <row r="21637" spans="1:2" x14ac:dyDescent="0.25">
      <c r="A21637"/>
      <c r="B21637"/>
    </row>
    <row r="21638" spans="1:2" x14ac:dyDescent="0.25">
      <c r="A21638"/>
      <c r="B21638"/>
    </row>
    <row r="21639" spans="1:2" x14ac:dyDescent="0.25">
      <c r="A21639"/>
      <c r="B21639"/>
    </row>
    <row r="21640" spans="1:2" x14ac:dyDescent="0.25">
      <c r="A21640"/>
      <c r="B21640"/>
    </row>
    <row r="21641" spans="1:2" x14ac:dyDescent="0.25">
      <c r="A21641"/>
      <c r="B21641"/>
    </row>
    <row r="21642" spans="1:2" x14ac:dyDescent="0.25">
      <c r="A21642"/>
      <c r="B21642"/>
    </row>
    <row r="21643" spans="1:2" x14ac:dyDescent="0.25">
      <c r="A21643"/>
      <c r="B21643"/>
    </row>
    <row r="21644" spans="1:2" x14ac:dyDescent="0.25">
      <c r="A21644"/>
      <c r="B21644"/>
    </row>
    <row r="21645" spans="1:2" x14ac:dyDescent="0.25">
      <c r="A21645"/>
      <c r="B21645"/>
    </row>
    <row r="21646" spans="1:2" x14ac:dyDescent="0.25">
      <c r="A21646"/>
      <c r="B21646"/>
    </row>
    <row r="21647" spans="1:2" x14ac:dyDescent="0.25">
      <c r="A21647"/>
      <c r="B21647"/>
    </row>
    <row r="21648" spans="1:2" x14ac:dyDescent="0.25">
      <c r="A21648"/>
      <c r="B21648"/>
    </row>
    <row r="21649" spans="1:2" x14ac:dyDescent="0.25">
      <c r="A21649"/>
      <c r="B21649"/>
    </row>
    <row r="21650" spans="1:2" x14ac:dyDescent="0.25">
      <c r="A21650"/>
      <c r="B21650"/>
    </row>
    <row r="21651" spans="1:2" x14ac:dyDescent="0.25">
      <c r="A21651"/>
      <c r="B21651"/>
    </row>
    <row r="21652" spans="1:2" x14ac:dyDescent="0.25">
      <c r="A21652"/>
      <c r="B21652"/>
    </row>
    <row r="21653" spans="1:2" x14ac:dyDescent="0.25">
      <c r="A21653"/>
      <c r="B21653"/>
    </row>
    <row r="21654" spans="1:2" x14ac:dyDescent="0.25">
      <c r="A21654"/>
      <c r="B21654"/>
    </row>
    <row r="21655" spans="1:2" x14ac:dyDescent="0.25">
      <c r="A21655"/>
      <c r="B21655"/>
    </row>
    <row r="21656" spans="1:2" x14ac:dyDescent="0.25">
      <c r="A21656"/>
      <c r="B21656"/>
    </row>
    <row r="21657" spans="1:2" x14ac:dyDescent="0.25">
      <c r="A21657"/>
      <c r="B21657"/>
    </row>
    <row r="21658" spans="1:2" x14ac:dyDescent="0.25">
      <c r="A21658"/>
      <c r="B21658"/>
    </row>
    <row r="21659" spans="1:2" x14ac:dyDescent="0.25">
      <c r="A21659"/>
      <c r="B21659"/>
    </row>
    <row r="21660" spans="1:2" x14ac:dyDescent="0.25">
      <c r="A21660"/>
      <c r="B21660"/>
    </row>
    <row r="21661" spans="1:2" x14ac:dyDescent="0.25">
      <c r="A21661"/>
      <c r="B21661"/>
    </row>
    <row r="21662" spans="1:2" x14ac:dyDescent="0.25">
      <c r="A21662"/>
      <c r="B21662"/>
    </row>
    <row r="21663" spans="1:2" x14ac:dyDescent="0.25">
      <c r="A21663"/>
      <c r="B21663"/>
    </row>
    <row r="21664" spans="1:2" x14ac:dyDescent="0.25">
      <c r="A21664"/>
      <c r="B21664"/>
    </row>
    <row r="21665" spans="1:2" x14ac:dyDescent="0.25">
      <c r="A21665"/>
      <c r="B21665"/>
    </row>
    <row r="21666" spans="1:2" x14ac:dyDescent="0.25">
      <c r="A21666"/>
      <c r="B21666"/>
    </row>
    <row r="21667" spans="1:2" x14ac:dyDescent="0.25">
      <c r="A21667"/>
      <c r="B21667"/>
    </row>
    <row r="21668" spans="1:2" x14ac:dyDescent="0.25">
      <c r="A21668"/>
      <c r="B21668"/>
    </row>
    <row r="21669" spans="1:2" x14ac:dyDescent="0.25">
      <c r="A21669"/>
      <c r="B21669"/>
    </row>
    <row r="21670" spans="1:2" x14ac:dyDescent="0.25">
      <c r="A21670"/>
      <c r="B21670"/>
    </row>
    <row r="21671" spans="1:2" x14ac:dyDescent="0.25">
      <c r="A21671"/>
      <c r="B21671"/>
    </row>
    <row r="21672" spans="1:2" x14ac:dyDescent="0.25">
      <c r="A21672"/>
      <c r="B21672"/>
    </row>
    <row r="21673" spans="1:2" x14ac:dyDescent="0.25">
      <c r="A21673"/>
      <c r="B21673"/>
    </row>
    <row r="21674" spans="1:2" x14ac:dyDescent="0.25">
      <c r="A21674"/>
      <c r="B21674"/>
    </row>
    <row r="21675" spans="1:2" x14ac:dyDescent="0.25">
      <c r="A21675"/>
      <c r="B21675"/>
    </row>
    <row r="21676" spans="1:2" x14ac:dyDescent="0.25">
      <c r="A21676"/>
      <c r="B21676"/>
    </row>
    <row r="21677" spans="1:2" x14ac:dyDescent="0.25">
      <c r="A21677"/>
      <c r="B21677"/>
    </row>
    <row r="21678" spans="1:2" x14ac:dyDescent="0.25">
      <c r="A21678"/>
      <c r="B21678"/>
    </row>
    <row r="21679" spans="1:2" x14ac:dyDescent="0.25">
      <c r="A21679"/>
      <c r="B21679"/>
    </row>
    <row r="21680" spans="1:2" x14ac:dyDescent="0.25">
      <c r="A21680"/>
      <c r="B21680"/>
    </row>
    <row r="21681" spans="1:2" x14ac:dyDescent="0.25">
      <c r="A21681"/>
      <c r="B21681"/>
    </row>
    <row r="21682" spans="1:2" x14ac:dyDescent="0.25">
      <c r="A21682"/>
      <c r="B21682"/>
    </row>
    <row r="21683" spans="1:2" x14ac:dyDescent="0.25">
      <c r="A21683"/>
      <c r="B21683"/>
    </row>
    <row r="21684" spans="1:2" x14ac:dyDescent="0.25">
      <c r="A21684"/>
      <c r="B21684"/>
    </row>
    <row r="21685" spans="1:2" x14ac:dyDescent="0.25">
      <c r="A21685"/>
      <c r="B21685"/>
    </row>
    <row r="21686" spans="1:2" x14ac:dyDescent="0.25">
      <c r="A21686"/>
      <c r="B21686"/>
    </row>
    <row r="21687" spans="1:2" x14ac:dyDescent="0.25">
      <c r="A21687"/>
      <c r="B21687"/>
    </row>
    <row r="21688" spans="1:2" x14ac:dyDescent="0.25">
      <c r="A21688"/>
      <c r="B21688"/>
    </row>
    <row r="21689" spans="1:2" x14ac:dyDescent="0.25">
      <c r="A21689"/>
      <c r="B21689"/>
    </row>
    <row r="21690" spans="1:2" x14ac:dyDescent="0.25">
      <c r="A21690"/>
      <c r="B21690"/>
    </row>
    <row r="21691" spans="1:2" x14ac:dyDescent="0.25">
      <c r="A21691"/>
      <c r="B21691"/>
    </row>
    <row r="21692" spans="1:2" x14ac:dyDescent="0.25">
      <c r="A21692"/>
      <c r="B21692"/>
    </row>
    <row r="21693" spans="1:2" x14ac:dyDescent="0.25">
      <c r="A21693"/>
      <c r="B21693"/>
    </row>
    <row r="21694" spans="1:2" x14ac:dyDescent="0.25">
      <c r="A21694"/>
      <c r="B21694"/>
    </row>
    <row r="21695" spans="1:2" x14ac:dyDescent="0.25">
      <c r="A21695"/>
      <c r="B21695"/>
    </row>
    <row r="21696" spans="1:2" x14ac:dyDescent="0.25">
      <c r="A21696"/>
      <c r="B21696"/>
    </row>
    <row r="21697" spans="1:2" x14ac:dyDescent="0.25">
      <c r="A21697"/>
      <c r="B21697"/>
    </row>
    <row r="21698" spans="1:2" x14ac:dyDescent="0.25">
      <c r="A21698"/>
      <c r="B21698"/>
    </row>
    <row r="21699" spans="1:2" x14ac:dyDescent="0.25">
      <c r="A21699"/>
      <c r="B21699"/>
    </row>
    <row r="21700" spans="1:2" x14ac:dyDescent="0.25">
      <c r="A21700"/>
      <c r="B21700"/>
    </row>
    <row r="21701" spans="1:2" x14ac:dyDescent="0.25">
      <c r="A21701"/>
      <c r="B21701"/>
    </row>
    <row r="21702" spans="1:2" x14ac:dyDescent="0.25">
      <c r="A21702"/>
      <c r="B21702"/>
    </row>
    <row r="21703" spans="1:2" x14ac:dyDescent="0.25">
      <c r="A21703"/>
      <c r="B21703"/>
    </row>
    <row r="21704" spans="1:2" x14ac:dyDescent="0.25">
      <c r="A21704"/>
      <c r="B21704"/>
    </row>
    <row r="21705" spans="1:2" x14ac:dyDescent="0.25">
      <c r="A21705"/>
      <c r="B21705"/>
    </row>
    <row r="21706" spans="1:2" x14ac:dyDescent="0.25">
      <c r="A21706"/>
      <c r="B21706"/>
    </row>
    <row r="21707" spans="1:2" x14ac:dyDescent="0.25">
      <c r="A21707"/>
      <c r="B21707"/>
    </row>
    <row r="21708" spans="1:2" x14ac:dyDescent="0.25">
      <c r="A21708"/>
      <c r="B21708"/>
    </row>
    <row r="21709" spans="1:2" x14ac:dyDescent="0.25">
      <c r="A21709"/>
      <c r="B21709"/>
    </row>
    <row r="21710" spans="1:2" x14ac:dyDescent="0.25">
      <c r="A21710"/>
      <c r="B21710"/>
    </row>
    <row r="21711" spans="1:2" x14ac:dyDescent="0.25">
      <c r="A21711"/>
      <c r="B21711"/>
    </row>
    <row r="21712" spans="1:2" x14ac:dyDescent="0.25">
      <c r="A21712"/>
      <c r="B21712"/>
    </row>
    <row r="21713" spans="1:2" x14ac:dyDescent="0.25">
      <c r="A21713"/>
      <c r="B21713"/>
    </row>
    <row r="21714" spans="1:2" x14ac:dyDescent="0.25">
      <c r="A21714"/>
      <c r="B21714"/>
    </row>
    <row r="21715" spans="1:2" x14ac:dyDescent="0.25">
      <c r="A21715"/>
      <c r="B21715"/>
    </row>
    <row r="21716" spans="1:2" x14ac:dyDescent="0.25">
      <c r="A21716"/>
      <c r="B21716"/>
    </row>
    <row r="21717" spans="1:2" x14ac:dyDescent="0.25">
      <c r="A21717"/>
      <c r="B21717"/>
    </row>
    <row r="21718" spans="1:2" x14ac:dyDescent="0.25">
      <c r="A21718"/>
      <c r="B21718"/>
    </row>
    <row r="21719" spans="1:2" x14ac:dyDescent="0.25">
      <c r="A21719"/>
      <c r="B21719"/>
    </row>
    <row r="21720" spans="1:2" x14ac:dyDescent="0.25">
      <c r="A21720"/>
      <c r="B21720"/>
    </row>
    <row r="21721" spans="1:2" x14ac:dyDescent="0.25">
      <c r="A21721"/>
      <c r="B21721"/>
    </row>
    <row r="21722" spans="1:2" x14ac:dyDescent="0.25">
      <c r="A21722"/>
      <c r="B21722"/>
    </row>
    <row r="21723" spans="1:2" x14ac:dyDescent="0.25">
      <c r="A21723"/>
      <c r="B21723"/>
    </row>
    <row r="21724" spans="1:2" x14ac:dyDescent="0.25">
      <c r="A21724"/>
      <c r="B21724"/>
    </row>
    <row r="21725" spans="1:2" x14ac:dyDescent="0.25">
      <c r="A21725"/>
      <c r="B21725"/>
    </row>
    <row r="21726" spans="1:2" x14ac:dyDescent="0.25">
      <c r="A21726"/>
      <c r="B21726"/>
    </row>
    <row r="21727" spans="1:2" x14ac:dyDescent="0.25">
      <c r="A21727"/>
      <c r="B21727"/>
    </row>
    <row r="21728" spans="1:2" x14ac:dyDescent="0.25">
      <c r="A21728"/>
      <c r="B21728"/>
    </row>
    <row r="21729" spans="1:2" x14ac:dyDescent="0.25">
      <c r="A21729"/>
      <c r="B21729"/>
    </row>
    <row r="21730" spans="1:2" x14ac:dyDescent="0.25">
      <c r="A21730"/>
      <c r="B21730"/>
    </row>
    <row r="21731" spans="1:2" x14ac:dyDescent="0.25">
      <c r="A21731"/>
      <c r="B21731"/>
    </row>
    <row r="21732" spans="1:2" x14ac:dyDescent="0.25">
      <c r="A21732"/>
      <c r="B21732"/>
    </row>
    <row r="21733" spans="1:2" x14ac:dyDescent="0.25">
      <c r="A21733"/>
      <c r="B21733"/>
    </row>
    <row r="21734" spans="1:2" x14ac:dyDescent="0.25">
      <c r="A21734"/>
      <c r="B21734"/>
    </row>
    <row r="21735" spans="1:2" x14ac:dyDescent="0.25">
      <c r="A21735"/>
      <c r="B21735"/>
    </row>
    <row r="21736" spans="1:2" x14ac:dyDescent="0.25">
      <c r="A21736"/>
      <c r="B21736"/>
    </row>
    <row r="21737" spans="1:2" x14ac:dyDescent="0.25">
      <c r="A21737"/>
      <c r="B21737"/>
    </row>
    <row r="21738" spans="1:2" x14ac:dyDescent="0.25">
      <c r="A21738"/>
      <c r="B21738"/>
    </row>
    <row r="21739" spans="1:2" x14ac:dyDescent="0.25">
      <c r="A21739"/>
      <c r="B21739"/>
    </row>
    <row r="21740" spans="1:2" x14ac:dyDescent="0.25">
      <c r="A21740"/>
      <c r="B21740"/>
    </row>
    <row r="21741" spans="1:2" x14ac:dyDescent="0.25">
      <c r="A21741"/>
      <c r="B21741"/>
    </row>
    <row r="21742" spans="1:2" x14ac:dyDescent="0.25">
      <c r="A21742"/>
      <c r="B21742"/>
    </row>
    <row r="21743" spans="1:2" x14ac:dyDescent="0.25">
      <c r="A21743"/>
      <c r="B21743"/>
    </row>
    <row r="21744" spans="1:2" x14ac:dyDescent="0.25">
      <c r="A21744"/>
      <c r="B21744"/>
    </row>
    <row r="21745" spans="1:2" x14ac:dyDescent="0.25">
      <c r="A21745"/>
      <c r="B21745"/>
    </row>
    <row r="21746" spans="1:2" x14ac:dyDescent="0.25">
      <c r="A21746"/>
      <c r="B21746"/>
    </row>
    <row r="21747" spans="1:2" x14ac:dyDescent="0.25">
      <c r="A21747"/>
      <c r="B21747"/>
    </row>
    <row r="21748" spans="1:2" x14ac:dyDescent="0.25">
      <c r="A21748"/>
      <c r="B21748"/>
    </row>
    <row r="21749" spans="1:2" x14ac:dyDescent="0.25">
      <c r="A21749"/>
      <c r="B21749"/>
    </row>
    <row r="21750" spans="1:2" x14ac:dyDescent="0.25">
      <c r="A21750"/>
      <c r="B21750"/>
    </row>
    <row r="21751" spans="1:2" x14ac:dyDescent="0.25">
      <c r="A21751"/>
      <c r="B21751"/>
    </row>
    <row r="21752" spans="1:2" x14ac:dyDescent="0.25">
      <c r="A21752"/>
      <c r="B21752"/>
    </row>
    <row r="21753" spans="1:2" x14ac:dyDescent="0.25">
      <c r="A21753"/>
      <c r="B21753"/>
    </row>
    <row r="21754" spans="1:2" x14ac:dyDescent="0.25">
      <c r="A21754"/>
      <c r="B21754"/>
    </row>
    <row r="21755" spans="1:2" x14ac:dyDescent="0.25">
      <c r="A21755"/>
      <c r="B21755"/>
    </row>
    <row r="21756" spans="1:2" x14ac:dyDescent="0.25">
      <c r="A21756"/>
      <c r="B21756"/>
    </row>
    <row r="21757" spans="1:2" x14ac:dyDescent="0.25">
      <c r="A21757"/>
      <c r="B21757"/>
    </row>
    <row r="21758" spans="1:2" x14ac:dyDescent="0.25">
      <c r="A21758"/>
      <c r="B21758"/>
    </row>
    <row r="21759" spans="1:2" x14ac:dyDescent="0.25">
      <c r="A21759"/>
      <c r="B21759"/>
    </row>
    <row r="21760" spans="1:2" x14ac:dyDescent="0.25">
      <c r="A21760"/>
      <c r="B21760"/>
    </row>
    <row r="21761" spans="1:2" x14ac:dyDescent="0.25">
      <c r="A21761"/>
      <c r="B21761"/>
    </row>
    <row r="21762" spans="1:2" x14ac:dyDescent="0.25">
      <c r="A21762"/>
      <c r="B21762"/>
    </row>
    <row r="21763" spans="1:2" x14ac:dyDescent="0.25">
      <c r="A21763"/>
      <c r="B21763"/>
    </row>
    <row r="21764" spans="1:2" x14ac:dyDescent="0.25">
      <c r="A21764"/>
      <c r="B21764"/>
    </row>
    <row r="21765" spans="1:2" x14ac:dyDescent="0.25">
      <c r="A21765"/>
      <c r="B21765"/>
    </row>
    <row r="21766" spans="1:2" x14ac:dyDescent="0.25">
      <c r="A21766"/>
      <c r="B21766"/>
    </row>
    <row r="21767" spans="1:2" x14ac:dyDescent="0.25">
      <c r="A21767"/>
      <c r="B21767"/>
    </row>
    <row r="21768" spans="1:2" x14ac:dyDescent="0.25">
      <c r="A21768"/>
      <c r="B21768"/>
    </row>
    <row r="21769" spans="1:2" x14ac:dyDescent="0.25">
      <c r="A21769"/>
      <c r="B21769"/>
    </row>
    <row r="21770" spans="1:2" x14ac:dyDescent="0.25">
      <c r="A21770"/>
      <c r="B21770"/>
    </row>
    <row r="21771" spans="1:2" x14ac:dyDescent="0.25">
      <c r="A21771"/>
      <c r="B21771"/>
    </row>
    <row r="21772" spans="1:2" x14ac:dyDescent="0.25">
      <c r="A21772"/>
      <c r="B21772"/>
    </row>
    <row r="21773" spans="1:2" x14ac:dyDescent="0.25">
      <c r="A21773"/>
      <c r="B21773"/>
    </row>
    <row r="21774" spans="1:2" x14ac:dyDescent="0.25">
      <c r="A21774"/>
      <c r="B21774"/>
    </row>
    <row r="21775" spans="1:2" x14ac:dyDescent="0.25">
      <c r="A21775"/>
      <c r="B21775"/>
    </row>
    <row r="21776" spans="1:2" x14ac:dyDescent="0.25">
      <c r="A21776"/>
      <c r="B21776"/>
    </row>
    <row r="21777" spans="1:2" x14ac:dyDescent="0.25">
      <c r="A21777"/>
      <c r="B21777"/>
    </row>
    <row r="21778" spans="1:2" x14ac:dyDescent="0.25">
      <c r="A21778"/>
      <c r="B21778"/>
    </row>
    <row r="21779" spans="1:2" x14ac:dyDescent="0.25">
      <c r="A21779"/>
      <c r="B21779"/>
    </row>
    <row r="21780" spans="1:2" x14ac:dyDescent="0.25">
      <c r="A21780"/>
      <c r="B21780"/>
    </row>
    <row r="21781" spans="1:2" x14ac:dyDescent="0.25">
      <c r="A21781"/>
      <c r="B21781"/>
    </row>
    <row r="21782" spans="1:2" x14ac:dyDescent="0.25">
      <c r="A21782"/>
      <c r="B21782"/>
    </row>
    <row r="21783" spans="1:2" x14ac:dyDescent="0.25">
      <c r="A21783"/>
      <c r="B21783"/>
    </row>
    <row r="21784" spans="1:2" x14ac:dyDescent="0.25">
      <c r="A21784"/>
      <c r="B21784"/>
    </row>
    <row r="21785" spans="1:2" x14ac:dyDescent="0.25">
      <c r="A21785"/>
      <c r="B21785"/>
    </row>
    <row r="21786" spans="1:2" x14ac:dyDescent="0.25">
      <c r="A21786"/>
      <c r="B21786"/>
    </row>
    <row r="21787" spans="1:2" x14ac:dyDescent="0.25">
      <c r="A21787"/>
      <c r="B21787"/>
    </row>
    <row r="21788" spans="1:2" x14ac:dyDescent="0.25">
      <c r="A21788"/>
      <c r="B21788"/>
    </row>
    <row r="21789" spans="1:2" x14ac:dyDescent="0.25">
      <c r="A21789"/>
      <c r="B21789"/>
    </row>
    <row r="21790" spans="1:2" x14ac:dyDescent="0.25">
      <c r="A21790"/>
      <c r="B21790"/>
    </row>
    <row r="21791" spans="1:2" x14ac:dyDescent="0.25">
      <c r="A21791"/>
      <c r="B21791"/>
    </row>
    <row r="21792" spans="1:2" x14ac:dyDescent="0.25">
      <c r="A21792"/>
      <c r="B21792"/>
    </row>
    <row r="21793" spans="1:2" x14ac:dyDescent="0.25">
      <c r="A21793"/>
      <c r="B21793"/>
    </row>
    <row r="21794" spans="1:2" x14ac:dyDescent="0.25">
      <c r="A21794"/>
      <c r="B21794"/>
    </row>
    <row r="21795" spans="1:2" x14ac:dyDescent="0.25">
      <c r="A21795"/>
      <c r="B21795"/>
    </row>
    <row r="21796" spans="1:2" x14ac:dyDescent="0.25">
      <c r="A21796"/>
      <c r="B21796"/>
    </row>
    <row r="21797" spans="1:2" x14ac:dyDescent="0.25">
      <c r="A21797"/>
      <c r="B21797"/>
    </row>
    <row r="21798" spans="1:2" x14ac:dyDescent="0.25">
      <c r="A21798"/>
      <c r="B21798"/>
    </row>
    <row r="21799" spans="1:2" x14ac:dyDescent="0.25">
      <c r="A21799"/>
      <c r="B21799"/>
    </row>
    <row r="21800" spans="1:2" x14ac:dyDescent="0.25">
      <c r="A21800"/>
      <c r="B21800"/>
    </row>
    <row r="21801" spans="1:2" x14ac:dyDescent="0.25">
      <c r="A21801"/>
      <c r="B21801"/>
    </row>
    <row r="21802" spans="1:2" x14ac:dyDescent="0.25">
      <c r="A21802"/>
      <c r="B21802"/>
    </row>
    <row r="21803" spans="1:2" x14ac:dyDescent="0.25">
      <c r="A21803"/>
      <c r="B21803"/>
    </row>
    <row r="21804" spans="1:2" x14ac:dyDescent="0.25">
      <c r="A21804"/>
      <c r="B21804"/>
    </row>
    <row r="21805" spans="1:2" x14ac:dyDescent="0.25">
      <c r="A21805"/>
      <c r="B21805"/>
    </row>
    <row r="21806" spans="1:2" x14ac:dyDescent="0.25">
      <c r="A21806"/>
      <c r="B21806"/>
    </row>
    <row r="21807" spans="1:2" x14ac:dyDescent="0.25">
      <c r="A21807"/>
      <c r="B21807"/>
    </row>
    <row r="21808" spans="1:2" x14ac:dyDescent="0.25">
      <c r="A21808"/>
      <c r="B21808"/>
    </row>
    <row r="21809" spans="1:2" x14ac:dyDescent="0.25">
      <c r="A21809"/>
      <c r="B21809"/>
    </row>
    <row r="21810" spans="1:2" x14ac:dyDescent="0.25">
      <c r="A21810"/>
      <c r="B21810"/>
    </row>
    <row r="21811" spans="1:2" x14ac:dyDescent="0.25">
      <c r="A21811"/>
      <c r="B21811"/>
    </row>
    <row r="21812" spans="1:2" x14ac:dyDescent="0.25">
      <c r="A21812"/>
      <c r="B21812"/>
    </row>
    <row r="21813" spans="1:2" x14ac:dyDescent="0.25">
      <c r="A21813"/>
      <c r="B21813"/>
    </row>
    <row r="21814" spans="1:2" x14ac:dyDescent="0.25">
      <c r="A21814"/>
      <c r="B21814"/>
    </row>
    <row r="21815" spans="1:2" x14ac:dyDescent="0.25">
      <c r="A21815"/>
      <c r="B21815"/>
    </row>
    <row r="21816" spans="1:2" x14ac:dyDescent="0.25">
      <c r="A21816"/>
      <c r="B21816"/>
    </row>
    <row r="21817" spans="1:2" x14ac:dyDescent="0.25">
      <c r="A21817"/>
      <c r="B21817"/>
    </row>
    <row r="21818" spans="1:2" x14ac:dyDescent="0.25">
      <c r="A21818"/>
      <c r="B21818"/>
    </row>
    <row r="21819" spans="1:2" x14ac:dyDescent="0.25">
      <c r="A21819"/>
      <c r="B21819"/>
    </row>
    <row r="21820" spans="1:2" x14ac:dyDescent="0.25">
      <c r="A21820"/>
      <c r="B21820"/>
    </row>
    <row r="21821" spans="1:2" x14ac:dyDescent="0.25">
      <c r="A21821"/>
      <c r="B21821"/>
    </row>
    <row r="21822" spans="1:2" x14ac:dyDescent="0.25">
      <c r="A21822"/>
      <c r="B21822"/>
    </row>
    <row r="21823" spans="1:2" x14ac:dyDescent="0.25">
      <c r="A21823"/>
      <c r="B21823"/>
    </row>
    <row r="21824" spans="1:2" x14ac:dyDescent="0.25">
      <c r="A21824"/>
      <c r="B21824"/>
    </row>
    <row r="21825" spans="1:2" x14ac:dyDescent="0.25">
      <c r="A21825"/>
      <c r="B21825"/>
    </row>
    <row r="21826" spans="1:2" x14ac:dyDescent="0.25">
      <c r="A21826"/>
      <c r="B21826"/>
    </row>
    <row r="21827" spans="1:2" x14ac:dyDescent="0.25">
      <c r="A21827"/>
      <c r="B21827"/>
    </row>
    <row r="21828" spans="1:2" x14ac:dyDescent="0.25">
      <c r="A21828"/>
      <c r="B21828"/>
    </row>
    <row r="21829" spans="1:2" x14ac:dyDescent="0.25">
      <c r="A21829"/>
      <c r="B21829"/>
    </row>
    <row r="21830" spans="1:2" x14ac:dyDescent="0.25">
      <c r="A21830"/>
      <c r="B21830"/>
    </row>
    <row r="21831" spans="1:2" x14ac:dyDescent="0.25">
      <c r="A21831"/>
      <c r="B21831"/>
    </row>
    <row r="21832" spans="1:2" x14ac:dyDescent="0.25">
      <c r="A21832"/>
      <c r="B21832"/>
    </row>
    <row r="21833" spans="1:2" x14ac:dyDescent="0.25">
      <c r="A21833"/>
      <c r="B21833"/>
    </row>
    <row r="21834" spans="1:2" x14ac:dyDescent="0.25">
      <c r="A21834"/>
      <c r="B21834"/>
    </row>
    <row r="21835" spans="1:2" x14ac:dyDescent="0.25">
      <c r="A21835"/>
      <c r="B21835"/>
    </row>
    <row r="21836" spans="1:2" x14ac:dyDescent="0.25">
      <c r="A21836"/>
      <c r="B21836"/>
    </row>
    <row r="21837" spans="1:2" x14ac:dyDescent="0.25">
      <c r="A21837"/>
      <c r="B21837"/>
    </row>
    <row r="21838" spans="1:2" x14ac:dyDescent="0.25">
      <c r="A21838"/>
      <c r="B21838"/>
    </row>
    <row r="21839" spans="1:2" x14ac:dyDescent="0.25">
      <c r="A21839"/>
      <c r="B21839"/>
    </row>
    <row r="21840" spans="1:2" x14ac:dyDescent="0.25">
      <c r="A21840"/>
      <c r="B21840"/>
    </row>
    <row r="21841" spans="1:2" x14ac:dyDescent="0.25">
      <c r="A21841"/>
      <c r="B21841"/>
    </row>
    <row r="21842" spans="1:2" x14ac:dyDescent="0.25">
      <c r="A21842"/>
      <c r="B21842"/>
    </row>
    <row r="21843" spans="1:2" x14ac:dyDescent="0.25">
      <c r="A21843"/>
      <c r="B21843"/>
    </row>
    <row r="21844" spans="1:2" x14ac:dyDescent="0.25">
      <c r="A21844"/>
      <c r="B21844"/>
    </row>
    <row r="21845" spans="1:2" x14ac:dyDescent="0.25">
      <c r="A21845"/>
      <c r="B21845"/>
    </row>
    <row r="21846" spans="1:2" x14ac:dyDescent="0.25">
      <c r="A21846"/>
      <c r="B21846"/>
    </row>
    <row r="21847" spans="1:2" x14ac:dyDescent="0.25">
      <c r="A21847"/>
      <c r="B21847"/>
    </row>
    <row r="21848" spans="1:2" x14ac:dyDescent="0.25">
      <c r="A21848"/>
      <c r="B21848"/>
    </row>
    <row r="21849" spans="1:2" x14ac:dyDescent="0.25">
      <c r="A21849"/>
      <c r="B21849"/>
    </row>
    <row r="21850" spans="1:2" x14ac:dyDescent="0.25">
      <c r="A21850"/>
      <c r="B21850"/>
    </row>
    <row r="21851" spans="1:2" x14ac:dyDescent="0.25">
      <c r="A21851"/>
      <c r="B21851"/>
    </row>
    <row r="21852" spans="1:2" x14ac:dyDescent="0.25">
      <c r="A21852"/>
      <c r="B21852"/>
    </row>
    <row r="21853" spans="1:2" x14ac:dyDescent="0.25">
      <c r="A21853"/>
      <c r="B21853"/>
    </row>
    <row r="21854" spans="1:2" x14ac:dyDescent="0.25">
      <c r="A21854"/>
      <c r="B21854"/>
    </row>
    <row r="21855" spans="1:2" x14ac:dyDescent="0.25">
      <c r="A21855"/>
      <c r="B21855"/>
    </row>
    <row r="21856" spans="1:2" x14ac:dyDescent="0.25">
      <c r="A21856"/>
      <c r="B21856"/>
    </row>
    <row r="21857" spans="1:2" x14ac:dyDescent="0.25">
      <c r="A21857"/>
      <c r="B21857"/>
    </row>
    <row r="21858" spans="1:2" x14ac:dyDescent="0.25">
      <c r="A21858"/>
      <c r="B21858"/>
    </row>
    <row r="21859" spans="1:2" x14ac:dyDescent="0.25">
      <c r="A21859"/>
      <c r="B21859"/>
    </row>
    <row r="21860" spans="1:2" x14ac:dyDescent="0.25">
      <c r="A21860"/>
      <c r="B21860"/>
    </row>
    <row r="21861" spans="1:2" x14ac:dyDescent="0.25">
      <c r="A21861"/>
      <c r="B21861"/>
    </row>
    <row r="21862" spans="1:2" x14ac:dyDescent="0.25">
      <c r="A21862"/>
      <c r="B21862"/>
    </row>
    <row r="21863" spans="1:2" x14ac:dyDescent="0.25">
      <c r="A21863"/>
      <c r="B21863"/>
    </row>
    <row r="21864" spans="1:2" x14ac:dyDescent="0.25">
      <c r="A21864"/>
      <c r="B21864"/>
    </row>
    <row r="21865" spans="1:2" x14ac:dyDescent="0.25">
      <c r="A21865"/>
      <c r="B21865"/>
    </row>
    <row r="21866" spans="1:2" x14ac:dyDescent="0.25">
      <c r="A21866"/>
      <c r="B21866"/>
    </row>
    <row r="21867" spans="1:2" x14ac:dyDescent="0.25">
      <c r="A21867"/>
      <c r="B21867"/>
    </row>
    <row r="21868" spans="1:2" x14ac:dyDescent="0.25">
      <c r="A21868"/>
      <c r="B21868"/>
    </row>
    <row r="21869" spans="1:2" x14ac:dyDescent="0.25">
      <c r="A21869"/>
      <c r="B21869"/>
    </row>
    <row r="21870" spans="1:2" x14ac:dyDescent="0.25">
      <c r="A21870"/>
      <c r="B21870"/>
    </row>
    <row r="21871" spans="1:2" x14ac:dyDescent="0.25">
      <c r="A21871"/>
      <c r="B21871"/>
    </row>
    <row r="21872" spans="1:2" x14ac:dyDescent="0.25">
      <c r="A21872"/>
      <c r="B21872"/>
    </row>
    <row r="21873" spans="1:2" x14ac:dyDescent="0.25">
      <c r="A21873"/>
      <c r="B21873"/>
    </row>
    <row r="21874" spans="1:2" x14ac:dyDescent="0.25">
      <c r="A21874"/>
      <c r="B21874"/>
    </row>
    <row r="21875" spans="1:2" x14ac:dyDescent="0.25">
      <c r="A21875"/>
      <c r="B21875"/>
    </row>
    <row r="21876" spans="1:2" x14ac:dyDescent="0.25">
      <c r="A21876"/>
      <c r="B21876"/>
    </row>
    <row r="21877" spans="1:2" x14ac:dyDescent="0.25">
      <c r="A21877"/>
      <c r="B21877"/>
    </row>
    <row r="21878" spans="1:2" x14ac:dyDescent="0.25">
      <c r="A21878"/>
      <c r="B21878"/>
    </row>
    <row r="21879" spans="1:2" x14ac:dyDescent="0.25">
      <c r="A21879"/>
      <c r="B21879"/>
    </row>
    <row r="21880" spans="1:2" x14ac:dyDescent="0.25">
      <c r="A21880"/>
      <c r="B21880"/>
    </row>
    <row r="21881" spans="1:2" x14ac:dyDescent="0.25">
      <c r="A21881"/>
      <c r="B21881"/>
    </row>
    <row r="21882" spans="1:2" x14ac:dyDescent="0.25">
      <c r="A21882"/>
      <c r="B21882"/>
    </row>
    <row r="21883" spans="1:2" x14ac:dyDescent="0.25">
      <c r="A21883"/>
      <c r="B21883"/>
    </row>
    <row r="21884" spans="1:2" x14ac:dyDescent="0.25">
      <c r="A21884"/>
      <c r="B21884"/>
    </row>
    <row r="21885" spans="1:2" x14ac:dyDescent="0.25">
      <c r="A21885"/>
      <c r="B21885"/>
    </row>
    <row r="21886" spans="1:2" x14ac:dyDescent="0.25">
      <c r="A21886"/>
      <c r="B21886"/>
    </row>
    <row r="21887" spans="1:2" x14ac:dyDescent="0.25">
      <c r="A21887"/>
      <c r="B21887"/>
    </row>
    <row r="21888" spans="1:2" x14ac:dyDescent="0.25">
      <c r="A21888"/>
      <c r="B21888"/>
    </row>
    <row r="21889" spans="1:2" x14ac:dyDescent="0.25">
      <c r="A21889"/>
      <c r="B21889"/>
    </row>
    <row r="21890" spans="1:2" x14ac:dyDescent="0.25">
      <c r="A21890"/>
      <c r="B21890"/>
    </row>
    <row r="21891" spans="1:2" x14ac:dyDescent="0.25">
      <c r="A21891"/>
      <c r="B21891"/>
    </row>
    <row r="21892" spans="1:2" x14ac:dyDescent="0.25">
      <c r="A21892"/>
      <c r="B21892"/>
    </row>
    <row r="21893" spans="1:2" x14ac:dyDescent="0.25">
      <c r="A21893"/>
      <c r="B21893"/>
    </row>
    <row r="21894" spans="1:2" x14ac:dyDescent="0.25">
      <c r="A21894"/>
      <c r="B21894"/>
    </row>
    <row r="21895" spans="1:2" x14ac:dyDescent="0.25">
      <c r="A21895"/>
      <c r="B21895"/>
    </row>
    <row r="21896" spans="1:2" x14ac:dyDescent="0.25">
      <c r="A21896"/>
      <c r="B21896"/>
    </row>
    <row r="21897" spans="1:2" x14ac:dyDescent="0.25">
      <c r="A21897"/>
      <c r="B21897"/>
    </row>
    <row r="21898" spans="1:2" x14ac:dyDescent="0.25">
      <c r="A21898"/>
      <c r="B21898"/>
    </row>
    <row r="21899" spans="1:2" x14ac:dyDescent="0.25">
      <c r="A21899"/>
      <c r="B21899"/>
    </row>
    <row r="21900" spans="1:2" x14ac:dyDescent="0.25">
      <c r="A21900"/>
      <c r="B21900"/>
    </row>
    <row r="21901" spans="1:2" x14ac:dyDescent="0.25">
      <c r="A21901"/>
      <c r="B21901"/>
    </row>
    <row r="21902" spans="1:2" x14ac:dyDescent="0.25">
      <c r="A21902"/>
      <c r="B21902"/>
    </row>
    <row r="21903" spans="1:2" x14ac:dyDescent="0.25">
      <c r="A21903"/>
      <c r="B21903"/>
    </row>
    <row r="21904" spans="1:2" x14ac:dyDescent="0.25">
      <c r="A21904"/>
      <c r="B21904"/>
    </row>
    <row r="21905" spans="1:2" x14ac:dyDescent="0.25">
      <c r="A21905"/>
      <c r="B21905"/>
    </row>
    <row r="21906" spans="1:2" x14ac:dyDescent="0.25">
      <c r="A21906"/>
      <c r="B21906"/>
    </row>
    <row r="21907" spans="1:2" x14ac:dyDescent="0.25">
      <c r="A21907"/>
      <c r="B21907"/>
    </row>
    <row r="21908" spans="1:2" x14ac:dyDescent="0.25">
      <c r="A21908"/>
      <c r="B21908"/>
    </row>
    <row r="21909" spans="1:2" x14ac:dyDescent="0.25">
      <c r="A21909"/>
      <c r="B21909"/>
    </row>
    <row r="21910" spans="1:2" x14ac:dyDescent="0.25">
      <c r="A21910"/>
      <c r="B21910"/>
    </row>
    <row r="21911" spans="1:2" x14ac:dyDescent="0.25">
      <c r="A21911"/>
      <c r="B21911"/>
    </row>
    <row r="21912" spans="1:2" x14ac:dyDescent="0.25">
      <c r="A21912"/>
      <c r="B21912"/>
    </row>
    <row r="21913" spans="1:2" x14ac:dyDescent="0.25">
      <c r="A21913"/>
      <c r="B21913"/>
    </row>
    <row r="21914" spans="1:2" x14ac:dyDescent="0.25">
      <c r="A21914"/>
      <c r="B21914"/>
    </row>
    <row r="21915" spans="1:2" x14ac:dyDescent="0.25">
      <c r="A21915"/>
      <c r="B21915"/>
    </row>
    <row r="21916" spans="1:2" x14ac:dyDescent="0.25">
      <c r="A21916"/>
      <c r="B21916"/>
    </row>
    <row r="21917" spans="1:2" x14ac:dyDescent="0.25">
      <c r="A21917"/>
      <c r="B21917"/>
    </row>
    <row r="21918" spans="1:2" x14ac:dyDescent="0.25">
      <c r="A21918"/>
      <c r="B21918"/>
    </row>
    <row r="21919" spans="1:2" x14ac:dyDescent="0.25">
      <c r="A21919"/>
      <c r="B21919"/>
    </row>
    <row r="21920" spans="1:2" x14ac:dyDescent="0.25">
      <c r="A21920"/>
      <c r="B21920"/>
    </row>
    <row r="21921" spans="1:2" x14ac:dyDescent="0.25">
      <c r="A21921"/>
      <c r="B21921"/>
    </row>
    <row r="21922" spans="1:2" x14ac:dyDescent="0.25">
      <c r="A21922"/>
      <c r="B21922"/>
    </row>
    <row r="21923" spans="1:2" x14ac:dyDescent="0.25">
      <c r="A21923"/>
      <c r="B21923"/>
    </row>
    <row r="21924" spans="1:2" x14ac:dyDescent="0.25">
      <c r="A21924"/>
      <c r="B21924"/>
    </row>
    <row r="21925" spans="1:2" x14ac:dyDescent="0.25">
      <c r="A21925"/>
      <c r="B21925"/>
    </row>
    <row r="21926" spans="1:2" x14ac:dyDescent="0.25">
      <c r="A21926"/>
      <c r="B21926"/>
    </row>
    <row r="21927" spans="1:2" x14ac:dyDescent="0.25">
      <c r="A21927"/>
      <c r="B21927"/>
    </row>
    <row r="21928" spans="1:2" x14ac:dyDescent="0.25">
      <c r="A21928"/>
      <c r="B21928"/>
    </row>
    <row r="21929" spans="1:2" x14ac:dyDescent="0.25">
      <c r="A21929"/>
      <c r="B21929"/>
    </row>
    <row r="21930" spans="1:2" x14ac:dyDescent="0.25">
      <c r="A21930"/>
      <c r="B21930"/>
    </row>
    <row r="21931" spans="1:2" x14ac:dyDescent="0.25">
      <c r="A21931"/>
      <c r="B21931"/>
    </row>
    <row r="21932" spans="1:2" x14ac:dyDescent="0.25">
      <c r="A21932"/>
      <c r="B21932"/>
    </row>
    <row r="21933" spans="1:2" x14ac:dyDescent="0.25">
      <c r="A21933"/>
      <c r="B21933"/>
    </row>
    <row r="21934" spans="1:2" x14ac:dyDescent="0.25">
      <c r="A21934"/>
      <c r="B21934"/>
    </row>
    <row r="21935" spans="1:2" x14ac:dyDescent="0.25">
      <c r="A21935"/>
      <c r="B21935"/>
    </row>
    <row r="21936" spans="1:2" x14ac:dyDescent="0.25">
      <c r="A21936"/>
      <c r="B21936"/>
    </row>
    <row r="21937" spans="1:2" x14ac:dyDescent="0.25">
      <c r="A21937"/>
      <c r="B21937"/>
    </row>
    <row r="21938" spans="1:2" x14ac:dyDescent="0.25">
      <c r="A21938"/>
      <c r="B21938"/>
    </row>
    <row r="21939" spans="1:2" x14ac:dyDescent="0.25">
      <c r="A21939"/>
      <c r="B21939"/>
    </row>
    <row r="21940" spans="1:2" x14ac:dyDescent="0.25">
      <c r="A21940"/>
      <c r="B21940"/>
    </row>
    <row r="21941" spans="1:2" x14ac:dyDescent="0.25">
      <c r="A21941"/>
      <c r="B21941"/>
    </row>
    <row r="21942" spans="1:2" x14ac:dyDescent="0.25">
      <c r="A21942"/>
      <c r="B21942"/>
    </row>
    <row r="21943" spans="1:2" x14ac:dyDescent="0.25">
      <c r="A21943"/>
      <c r="B21943"/>
    </row>
    <row r="21944" spans="1:2" x14ac:dyDescent="0.25">
      <c r="A21944"/>
      <c r="B21944"/>
    </row>
    <row r="21945" spans="1:2" x14ac:dyDescent="0.25">
      <c r="A21945"/>
      <c r="B21945"/>
    </row>
    <row r="21946" spans="1:2" x14ac:dyDescent="0.25">
      <c r="A21946"/>
      <c r="B21946"/>
    </row>
    <row r="21947" spans="1:2" x14ac:dyDescent="0.25">
      <c r="A21947"/>
      <c r="B21947"/>
    </row>
    <row r="21948" spans="1:2" x14ac:dyDescent="0.25">
      <c r="A21948"/>
      <c r="B21948"/>
    </row>
    <row r="21949" spans="1:2" x14ac:dyDescent="0.25">
      <c r="A21949"/>
      <c r="B21949"/>
    </row>
    <row r="21950" spans="1:2" x14ac:dyDescent="0.25">
      <c r="A21950"/>
      <c r="B21950"/>
    </row>
    <row r="21951" spans="1:2" x14ac:dyDescent="0.25">
      <c r="A21951"/>
      <c r="B21951"/>
    </row>
    <row r="21952" spans="1:2" x14ac:dyDescent="0.25">
      <c r="A21952"/>
      <c r="B21952"/>
    </row>
    <row r="21953" spans="1:2" x14ac:dyDescent="0.25">
      <c r="A21953"/>
      <c r="B21953"/>
    </row>
    <row r="21954" spans="1:2" x14ac:dyDescent="0.25">
      <c r="A21954"/>
      <c r="B21954"/>
    </row>
    <row r="21955" spans="1:2" x14ac:dyDescent="0.25">
      <c r="A21955"/>
      <c r="B21955"/>
    </row>
    <row r="21956" spans="1:2" x14ac:dyDescent="0.25">
      <c r="A21956"/>
      <c r="B21956"/>
    </row>
    <row r="21957" spans="1:2" x14ac:dyDescent="0.25">
      <c r="A21957"/>
      <c r="B21957"/>
    </row>
    <row r="21958" spans="1:2" x14ac:dyDescent="0.25">
      <c r="A21958"/>
      <c r="B21958"/>
    </row>
    <row r="21959" spans="1:2" x14ac:dyDescent="0.25">
      <c r="A21959"/>
      <c r="B21959"/>
    </row>
    <row r="21960" spans="1:2" x14ac:dyDescent="0.25">
      <c r="A21960"/>
      <c r="B21960"/>
    </row>
    <row r="21961" spans="1:2" x14ac:dyDescent="0.25">
      <c r="A21961"/>
      <c r="B21961"/>
    </row>
    <row r="21962" spans="1:2" x14ac:dyDescent="0.25">
      <c r="A21962"/>
      <c r="B21962"/>
    </row>
    <row r="21963" spans="1:2" x14ac:dyDescent="0.25">
      <c r="A21963"/>
      <c r="B21963"/>
    </row>
    <row r="21964" spans="1:2" x14ac:dyDescent="0.25">
      <c r="A21964"/>
      <c r="B21964"/>
    </row>
    <row r="21965" spans="1:2" x14ac:dyDescent="0.25">
      <c r="A21965"/>
      <c r="B21965"/>
    </row>
    <row r="21966" spans="1:2" x14ac:dyDescent="0.25">
      <c r="A21966"/>
      <c r="B21966"/>
    </row>
    <row r="21967" spans="1:2" x14ac:dyDescent="0.25">
      <c r="A21967"/>
      <c r="B21967"/>
    </row>
    <row r="21968" spans="1:2" x14ac:dyDescent="0.25">
      <c r="A21968"/>
      <c r="B21968"/>
    </row>
    <row r="21969" spans="1:2" x14ac:dyDescent="0.25">
      <c r="A21969"/>
      <c r="B21969"/>
    </row>
    <row r="21970" spans="1:2" x14ac:dyDescent="0.25">
      <c r="A21970"/>
      <c r="B21970"/>
    </row>
    <row r="21971" spans="1:2" x14ac:dyDescent="0.25">
      <c r="A21971"/>
      <c r="B21971"/>
    </row>
    <row r="21972" spans="1:2" x14ac:dyDescent="0.25">
      <c r="A21972"/>
      <c r="B21972"/>
    </row>
    <row r="21973" spans="1:2" x14ac:dyDescent="0.25">
      <c r="A21973"/>
      <c r="B21973"/>
    </row>
    <row r="21974" spans="1:2" x14ac:dyDescent="0.25">
      <c r="A21974"/>
      <c r="B21974"/>
    </row>
    <row r="21975" spans="1:2" x14ac:dyDescent="0.25">
      <c r="A21975"/>
      <c r="B21975"/>
    </row>
    <row r="21976" spans="1:2" x14ac:dyDescent="0.25">
      <c r="A21976"/>
      <c r="B21976"/>
    </row>
    <row r="21977" spans="1:2" x14ac:dyDescent="0.25">
      <c r="A21977"/>
      <c r="B21977"/>
    </row>
    <row r="21978" spans="1:2" x14ac:dyDescent="0.25">
      <c r="A21978"/>
      <c r="B21978"/>
    </row>
    <row r="21979" spans="1:2" x14ac:dyDescent="0.25">
      <c r="A21979"/>
      <c r="B21979"/>
    </row>
    <row r="21980" spans="1:2" x14ac:dyDescent="0.25">
      <c r="A21980"/>
      <c r="B21980"/>
    </row>
    <row r="21981" spans="1:2" x14ac:dyDescent="0.25">
      <c r="A21981"/>
      <c r="B21981"/>
    </row>
    <row r="21982" spans="1:2" x14ac:dyDescent="0.25">
      <c r="A21982"/>
      <c r="B21982"/>
    </row>
    <row r="21983" spans="1:2" x14ac:dyDescent="0.25">
      <c r="A21983"/>
      <c r="B21983"/>
    </row>
    <row r="21984" spans="1:2" x14ac:dyDescent="0.25">
      <c r="A21984"/>
      <c r="B21984"/>
    </row>
    <row r="21985" spans="1:2" x14ac:dyDescent="0.25">
      <c r="A21985"/>
      <c r="B21985"/>
    </row>
    <row r="21986" spans="1:2" x14ac:dyDescent="0.25">
      <c r="A21986"/>
      <c r="B21986"/>
    </row>
    <row r="21987" spans="1:2" x14ac:dyDescent="0.25">
      <c r="A21987"/>
      <c r="B21987"/>
    </row>
    <row r="21988" spans="1:2" x14ac:dyDescent="0.25">
      <c r="A21988"/>
      <c r="B21988"/>
    </row>
    <row r="21989" spans="1:2" x14ac:dyDescent="0.25">
      <c r="A21989"/>
      <c r="B21989"/>
    </row>
    <row r="21990" spans="1:2" x14ac:dyDescent="0.25">
      <c r="A21990"/>
      <c r="B21990"/>
    </row>
    <row r="21991" spans="1:2" x14ac:dyDescent="0.25">
      <c r="A21991"/>
      <c r="B21991"/>
    </row>
    <row r="21992" spans="1:2" x14ac:dyDescent="0.25">
      <c r="A21992"/>
      <c r="B21992"/>
    </row>
    <row r="21993" spans="1:2" x14ac:dyDescent="0.25">
      <c r="A21993"/>
      <c r="B21993"/>
    </row>
    <row r="21994" spans="1:2" x14ac:dyDescent="0.25">
      <c r="A21994"/>
      <c r="B21994"/>
    </row>
    <row r="21995" spans="1:2" x14ac:dyDescent="0.25">
      <c r="A21995"/>
      <c r="B21995"/>
    </row>
    <row r="21996" spans="1:2" x14ac:dyDescent="0.25">
      <c r="A21996"/>
      <c r="B21996"/>
    </row>
    <row r="21997" spans="1:2" x14ac:dyDescent="0.25">
      <c r="A21997"/>
      <c r="B21997"/>
    </row>
    <row r="21998" spans="1:2" x14ac:dyDescent="0.25">
      <c r="A21998"/>
      <c r="B21998"/>
    </row>
    <row r="21999" spans="1:2" x14ac:dyDescent="0.25">
      <c r="A21999"/>
      <c r="B21999"/>
    </row>
    <row r="22000" spans="1:2" x14ac:dyDescent="0.25">
      <c r="A22000"/>
      <c r="B22000"/>
    </row>
    <row r="22001" spans="1:2" x14ac:dyDescent="0.25">
      <c r="A22001"/>
      <c r="B22001"/>
    </row>
    <row r="22002" spans="1:2" x14ac:dyDescent="0.25">
      <c r="A22002"/>
      <c r="B22002"/>
    </row>
    <row r="22003" spans="1:2" x14ac:dyDescent="0.25">
      <c r="A22003"/>
      <c r="B22003"/>
    </row>
    <row r="22004" spans="1:2" x14ac:dyDescent="0.25">
      <c r="A22004"/>
      <c r="B22004"/>
    </row>
    <row r="22005" spans="1:2" x14ac:dyDescent="0.25">
      <c r="A22005"/>
      <c r="B22005"/>
    </row>
    <row r="22006" spans="1:2" x14ac:dyDescent="0.25">
      <c r="A22006"/>
      <c r="B22006"/>
    </row>
    <row r="22007" spans="1:2" x14ac:dyDescent="0.25">
      <c r="A22007"/>
      <c r="B22007"/>
    </row>
    <row r="22008" spans="1:2" x14ac:dyDescent="0.25">
      <c r="A22008"/>
      <c r="B22008"/>
    </row>
    <row r="22009" spans="1:2" x14ac:dyDescent="0.25">
      <c r="A22009"/>
      <c r="B22009"/>
    </row>
    <row r="22010" spans="1:2" x14ac:dyDescent="0.25">
      <c r="A22010"/>
      <c r="B22010"/>
    </row>
    <row r="22011" spans="1:2" x14ac:dyDescent="0.25">
      <c r="A22011"/>
      <c r="B22011"/>
    </row>
    <row r="22012" spans="1:2" x14ac:dyDescent="0.25">
      <c r="A22012"/>
      <c r="B22012"/>
    </row>
    <row r="22013" spans="1:2" x14ac:dyDescent="0.25">
      <c r="A22013"/>
      <c r="B22013"/>
    </row>
    <row r="22014" spans="1:2" x14ac:dyDescent="0.25">
      <c r="A22014"/>
      <c r="B22014"/>
    </row>
    <row r="22015" spans="1:2" x14ac:dyDescent="0.25">
      <c r="A22015"/>
      <c r="B22015"/>
    </row>
    <row r="22016" spans="1:2" x14ac:dyDescent="0.25">
      <c r="A22016"/>
      <c r="B22016"/>
    </row>
    <row r="22017" spans="1:2" x14ac:dyDescent="0.25">
      <c r="A22017"/>
      <c r="B22017"/>
    </row>
    <row r="22018" spans="1:2" x14ac:dyDescent="0.25">
      <c r="A22018"/>
      <c r="B22018"/>
    </row>
    <row r="22019" spans="1:2" x14ac:dyDescent="0.25">
      <c r="A22019"/>
      <c r="B22019"/>
    </row>
    <row r="22020" spans="1:2" x14ac:dyDescent="0.25">
      <c r="A22020"/>
      <c r="B22020"/>
    </row>
    <row r="22021" spans="1:2" x14ac:dyDescent="0.25">
      <c r="A22021"/>
      <c r="B22021"/>
    </row>
    <row r="22022" spans="1:2" x14ac:dyDescent="0.25">
      <c r="A22022"/>
      <c r="B22022"/>
    </row>
    <row r="22023" spans="1:2" x14ac:dyDescent="0.25">
      <c r="A22023"/>
      <c r="B22023"/>
    </row>
    <row r="22024" spans="1:2" x14ac:dyDescent="0.25">
      <c r="A22024"/>
      <c r="B22024"/>
    </row>
    <row r="22025" spans="1:2" x14ac:dyDescent="0.25">
      <c r="A22025"/>
      <c r="B22025"/>
    </row>
    <row r="22026" spans="1:2" x14ac:dyDescent="0.25">
      <c r="A22026"/>
      <c r="B22026"/>
    </row>
    <row r="22027" spans="1:2" x14ac:dyDescent="0.25">
      <c r="A22027"/>
      <c r="B22027"/>
    </row>
    <row r="22028" spans="1:2" x14ac:dyDescent="0.25">
      <c r="A22028"/>
      <c r="B22028"/>
    </row>
    <row r="22029" spans="1:2" x14ac:dyDescent="0.25">
      <c r="A22029"/>
      <c r="B22029"/>
    </row>
    <row r="22030" spans="1:2" x14ac:dyDescent="0.25">
      <c r="A22030"/>
      <c r="B22030"/>
    </row>
    <row r="22031" spans="1:2" x14ac:dyDescent="0.25">
      <c r="A22031"/>
      <c r="B22031"/>
    </row>
    <row r="22032" spans="1:2" x14ac:dyDescent="0.25">
      <c r="A22032"/>
      <c r="B22032"/>
    </row>
    <row r="22033" spans="1:2" x14ac:dyDescent="0.25">
      <c r="A22033"/>
      <c r="B22033"/>
    </row>
    <row r="22034" spans="1:2" x14ac:dyDescent="0.25">
      <c r="A22034"/>
      <c r="B22034"/>
    </row>
    <row r="22035" spans="1:2" x14ac:dyDescent="0.25">
      <c r="A22035"/>
      <c r="B22035"/>
    </row>
    <row r="22036" spans="1:2" x14ac:dyDescent="0.25">
      <c r="A22036"/>
      <c r="B22036"/>
    </row>
    <row r="22037" spans="1:2" x14ac:dyDescent="0.25">
      <c r="A22037"/>
      <c r="B22037"/>
    </row>
    <row r="22038" spans="1:2" x14ac:dyDescent="0.25">
      <c r="A22038"/>
      <c r="B22038"/>
    </row>
    <row r="22039" spans="1:2" x14ac:dyDescent="0.25">
      <c r="A22039"/>
      <c r="B22039"/>
    </row>
    <row r="22040" spans="1:2" x14ac:dyDescent="0.25">
      <c r="A22040"/>
      <c r="B22040"/>
    </row>
    <row r="22041" spans="1:2" x14ac:dyDescent="0.25">
      <c r="A22041"/>
      <c r="B22041"/>
    </row>
    <row r="22042" spans="1:2" x14ac:dyDescent="0.25">
      <c r="A22042"/>
      <c r="B22042"/>
    </row>
    <row r="22043" spans="1:2" x14ac:dyDescent="0.25">
      <c r="A22043"/>
      <c r="B22043"/>
    </row>
    <row r="22044" spans="1:2" x14ac:dyDescent="0.25">
      <c r="A22044"/>
      <c r="B22044"/>
    </row>
    <row r="22045" spans="1:2" x14ac:dyDescent="0.25">
      <c r="A22045"/>
      <c r="B22045"/>
    </row>
    <row r="22046" spans="1:2" x14ac:dyDescent="0.25">
      <c r="A22046"/>
      <c r="B22046"/>
    </row>
    <row r="22047" spans="1:2" x14ac:dyDescent="0.25">
      <c r="A22047"/>
      <c r="B22047"/>
    </row>
    <row r="22048" spans="1:2" x14ac:dyDescent="0.25">
      <c r="A22048"/>
      <c r="B22048"/>
    </row>
    <row r="22049" spans="1:2" x14ac:dyDescent="0.25">
      <c r="A22049"/>
      <c r="B22049"/>
    </row>
    <row r="22050" spans="1:2" x14ac:dyDescent="0.25">
      <c r="A22050"/>
      <c r="B22050"/>
    </row>
    <row r="22051" spans="1:2" x14ac:dyDescent="0.25">
      <c r="A22051"/>
      <c r="B22051"/>
    </row>
    <row r="22052" spans="1:2" x14ac:dyDescent="0.25">
      <c r="A22052"/>
      <c r="B22052"/>
    </row>
    <row r="22053" spans="1:2" x14ac:dyDescent="0.25">
      <c r="A22053"/>
      <c r="B22053"/>
    </row>
    <row r="22054" spans="1:2" x14ac:dyDescent="0.25">
      <c r="A22054"/>
      <c r="B22054"/>
    </row>
    <row r="22055" spans="1:2" x14ac:dyDescent="0.25">
      <c r="A22055"/>
      <c r="B22055"/>
    </row>
    <row r="22056" spans="1:2" x14ac:dyDescent="0.25">
      <c r="A22056"/>
      <c r="B22056"/>
    </row>
    <row r="22057" spans="1:2" x14ac:dyDescent="0.25">
      <c r="A22057"/>
      <c r="B22057"/>
    </row>
    <row r="22058" spans="1:2" x14ac:dyDescent="0.25">
      <c r="A22058"/>
      <c r="B22058"/>
    </row>
    <row r="22059" spans="1:2" x14ac:dyDescent="0.25">
      <c r="A22059"/>
      <c r="B22059"/>
    </row>
    <row r="22060" spans="1:2" x14ac:dyDescent="0.25">
      <c r="A22060"/>
      <c r="B22060"/>
    </row>
    <row r="22061" spans="1:2" x14ac:dyDescent="0.25">
      <c r="A22061"/>
      <c r="B22061"/>
    </row>
    <row r="22062" spans="1:2" x14ac:dyDescent="0.25">
      <c r="A22062"/>
      <c r="B22062"/>
    </row>
    <row r="22063" spans="1:2" x14ac:dyDescent="0.25">
      <c r="A22063"/>
      <c r="B22063"/>
    </row>
    <row r="22064" spans="1:2" x14ac:dyDescent="0.25">
      <c r="A22064"/>
      <c r="B22064"/>
    </row>
    <row r="22065" spans="1:2" x14ac:dyDescent="0.25">
      <c r="A22065"/>
      <c r="B22065"/>
    </row>
    <row r="22066" spans="1:2" x14ac:dyDescent="0.25">
      <c r="A22066"/>
      <c r="B22066"/>
    </row>
    <row r="22067" spans="1:2" x14ac:dyDescent="0.25">
      <c r="A22067"/>
      <c r="B22067"/>
    </row>
    <row r="22068" spans="1:2" x14ac:dyDescent="0.25">
      <c r="A22068"/>
      <c r="B22068"/>
    </row>
    <row r="22069" spans="1:2" x14ac:dyDescent="0.25">
      <c r="A22069"/>
      <c r="B22069"/>
    </row>
    <row r="22070" spans="1:2" x14ac:dyDescent="0.25">
      <c r="A22070"/>
      <c r="B22070"/>
    </row>
    <row r="22071" spans="1:2" x14ac:dyDescent="0.25">
      <c r="A22071"/>
      <c r="B22071"/>
    </row>
    <row r="22072" spans="1:2" x14ac:dyDescent="0.25">
      <c r="A22072"/>
      <c r="B22072"/>
    </row>
    <row r="22073" spans="1:2" x14ac:dyDescent="0.25">
      <c r="A22073"/>
      <c r="B22073"/>
    </row>
    <row r="22074" spans="1:2" x14ac:dyDescent="0.25">
      <c r="A22074"/>
      <c r="B22074"/>
    </row>
    <row r="22075" spans="1:2" x14ac:dyDescent="0.25">
      <c r="A22075"/>
      <c r="B22075"/>
    </row>
    <row r="22076" spans="1:2" x14ac:dyDescent="0.25">
      <c r="A22076"/>
      <c r="B22076"/>
    </row>
    <row r="22077" spans="1:2" x14ac:dyDescent="0.25">
      <c r="A22077"/>
      <c r="B22077"/>
    </row>
    <row r="22078" spans="1:2" x14ac:dyDescent="0.25">
      <c r="A22078"/>
      <c r="B22078"/>
    </row>
    <row r="22079" spans="1:2" x14ac:dyDescent="0.25">
      <c r="A22079"/>
      <c r="B22079"/>
    </row>
    <row r="22080" spans="1:2" x14ac:dyDescent="0.25">
      <c r="A22080"/>
      <c r="B22080"/>
    </row>
    <row r="22081" spans="1:2" x14ac:dyDescent="0.25">
      <c r="A22081"/>
      <c r="B22081"/>
    </row>
    <row r="22082" spans="1:2" x14ac:dyDescent="0.25">
      <c r="A22082"/>
      <c r="B22082"/>
    </row>
    <row r="22083" spans="1:2" x14ac:dyDescent="0.25">
      <c r="A22083"/>
      <c r="B22083"/>
    </row>
    <row r="22084" spans="1:2" x14ac:dyDescent="0.25">
      <c r="A22084"/>
      <c r="B22084"/>
    </row>
    <row r="22085" spans="1:2" x14ac:dyDescent="0.25">
      <c r="A22085"/>
      <c r="B22085"/>
    </row>
    <row r="22086" spans="1:2" x14ac:dyDescent="0.25">
      <c r="A22086"/>
      <c r="B22086"/>
    </row>
    <row r="22087" spans="1:2" x14ac:dyDescent="0.25">
      <c r="A22087"/>
      <c r="B22087"/>
    </row>
    <row r="22088" spans="1:2" x14ac:dyDescent="0.25">
      <c r="A22088"/>
      <c r="B22088"/>
    </row>
    <row r="22089" spans="1:2" x14ac:dyDescent="0.25">
      <c r="A22089"/>
      <c r="B22089"/>
    </row>
    <row r="22090" spans="1:2" x14ac:dyDescent="0.25">
      <c r="A22090"/>
      <c r="B22090"/>
    </row>
    <row r="22091" spans="1:2" x14ac:dyDescent="0.25">
      <c r="A22091"/>
      <c r="B22091"/>
    </row>
    <row r="22092" spans="1:2" x14ac:dyDescent="0.25">
      <c r="A22092"/>
      <c r="B22092"/>
    </row>
    <row r="22093" spans="1:2" x14ac:dyDescent="0.25">
      <c r="A22093"/>
      <c r="B22093"/>
    </row>
    <row r="22094" spans="1:2" x14ac:dyDescent="0.25">
      <c r="A22094"/>
      <c r="B22094"/>
    </row>
    <row r="22095" spans="1:2" x14ac:dyDescent="0.25">
      <c r="A22095"/>
      <c r="B22095"/>
    </row>
    <row r="22096" spans="1:2" x14ac:dyDescent="0.25">
      <c r="A22096"/>
      <c r="B22096"/>
    </row>
    <row r="22097" spans="1:2" x14ac:dyDescent="0.25">
      <c r="A22097"/>
      <c r="B22097"/>
    </row>
    <row r="22098" spans="1:2" x14ac:dyDescent="0.25">
      <c r="A22098"/>
      <c r="B22098"/>
    </row>
    <row r="22099" spans="1:2" x14ac:dyDescent="0.25">
      <c r="A22099"/>
      <c r="B22099"/>
    </row>
    <row r="22100" spans="1:2" x14ac:dyDescent="0.25">
      <c r="A22100"/>
      <c r="B22100"/>
    </row>
    <row r="22101" spans="1:2" x14ac:dyDescent="0.25">
      <c r="A22101"/>
      <c r="B22101"/>
    </row>
    <row r="22102" spans="1:2" x14ac:dyDescent="0.25">
      <c r="A22102"/>
      <c r="B22102"/>
    </row>
    <row r="22103" spans="1:2" x14ac:dyDescent="0.25">
      <c r="A22103"/>
      <c r="B22103"/>
    </row>
    <row r="22104" spans="1:2" x14ac:dyDescent="0.25">
      <c r="A22104"/>
      <c r="B22104"/>
    </row>
    <row r="22105" spans="1:2" x14ac:dyDescent="0.25">
      <c r="A22105"/>
      <c r="B22105"/>
    </row>
    <row r="22106" spans="1:2" x14ac:dyDescent="0.25">
      <c r="A22106"/>
      <c r="B22106"/>
    </row>
    <row r="22107" spans="1:2" x14ac:dyDescent="0.25">
      <c r="A22107"/>
      <c r="B22107"/>
    </row>
    <row r="22108" spans="1:2" x14ac:dyDescent="0.25">
      <c r="A22108"/>
      <c r="B22108"/>
    </row>
    <row r="22109" spans="1:2" x14ac:dyDescent="0.25">
      <c r="A22109"/>
      <c r="B22109"/>
    </row>
    <row r="22110" spans="1:2" x14ac:dyDescent="0.25">
      <c r="A22110"/>
      <c r="B22110"/>
    </row>
    <row r="22111" spans="1:2" x14ac:dyDescent="0.25">
      <c r="A22111"/>
      <c r="B22111"/>
    </row>
    <row r="22112" spans="1:2" x14ac:dyDescent="0.25">
      <c r="A22112"/>
      <c r="B22112"/>
    </row>
    <row r="22113" spans="1:2" x14ac:dyDescent="0.25">
      <c r="A22113"/>
      <c r="B22113"/>
    </row>
    <row r="22114" spans="1:2" x14ac:dyDescent="0.25">
      <c r="A22114"/>
      <c r="B22114"/>
    </row>
    <row r="22115" spans="1:2" x14ac:dyDescent="0.25">
      <c r="A22115"/>
      <c r="B22115"/>
    </row>
    <row r="22116" spans="1:2" x14ac:dyDescent="0.25">
      <c r="A22116"/>
      <c r="B22116"/>
    </row>
    <row r="22117" spans="1:2" x14ac:dyDescent="0.25">
      <c r="A22117"/>
      <c r="B22117"/>
    </row>
    <row r="22118" spans="1:2" x14ac:dyDescent="0.25">
      <c r="A22118"/>
      <c r="B22118"/>
    </row>
    <row r="22119" spans="1:2" x14ac:dyDescent="0.25">
      <c r="A22119"/>
      <c r="B22119"/>
    </row>
    <row r="22120" spans="1:2" x14ac:dyDescent="0.25">
      <c r="A22120"/>
      <c r="B22120"/>
    </row>
    <row r="22121" spans="1:2" x14ac:dyDescent="0.25">
      <c r="A22121"/>
      <c r="B22121"/>
    </row>
    <row r="22122" spans="1:2" x14ac:dyDescent="0.25">
      <c r="A22122"/>
      <c r="B22122"/>
    </row>
    <row r="22123" spans="1:2" x14ac:dyDescent="0.25">
      <c r="A22123"/>
      <c r="B22123"/>
    </row>
    <row r="22124" spans="1:2" x14ac:dyDescent="0.25">
      <c r="A22124"/>
      <c r="B22124"/>
    </row>
    <row r="22125" spans="1:2" x14ac:dyDescent="0.25">
      <c r="A22125"/>
      <c r="B22125"/>
    </row>
    <row r="22126" spans="1:2" x14ac:dyDescent="0.25">
      <c r="A22126"/>
      <c r="B22126"/>
    </row>
    <row r="22127" spans="1:2" x14ac:dyDescent="0.25">
      <c r="A22127"/>
      <c r="B22127"/>
    </row>
    <row r="22128" spans="1:2" x14ac:dyDescent="0.25">
      <c r="A22128"/>
      <c r="B22128"/>
    </row>
    <row r="22129" spans="1:2" x14ac:dyDescent="0.25">
      <c r="A22129"/>
      <c r="B22129"/>
    </row>
    <row r="22130" spans="1:2" x14ac:dyDescent="0.25">
      <c r="A22130"/>
      <c r="B22130"/>
    </row>
    <row r="22131" spans="1:2" x14ac:dyDescent="0.25">
      <c r="A22131"/>
      <c r="B22131"/>
    </row>
    <row r="22132" spans="1:2" x14ac:dyDescent="0.25">
      <c r="A22132"/>
      <c r="B22132"/>
    </row>
    <row r="22133" spans="1:2" x14ac:dyDescent="0.25">
      <c r="A22133"/>
      <c r="B22133"/>
    </row>
    <row r="22134" spans="1:2" x14ac:dyDescent="0.25">
      <c r="A22134"/>
      <c r="B22134"/>
    </row>
    <row r="22135" spans="1:2" x14ac:dyDescent="0.25">
      <c r="A22135"/>
      <c r="B22135"/>
    </row>
    <row r="22136" spans="1:2" x14ac:dyDescent="0.25">
      <c r="A22136"/>
      <c r="B22136"/>
    </row>
    <row r="22137" spans="1:2" x14ac:dyDescent="0.25">
      <c r="A22137"/>
      <c r="B22137"/>
    </row>
    <row r="22138" spans="1:2" x14ac:dyDescent="0.25">
      <c r="A22138"/>
      <c r="B22138"/>
    </row>
    <row r="22139" spans="1:2" x14ac:dyDescent="0.25">
      <c r="A22139"/>
      <c r="B22139"/>
    </row>
    <row r="22140" spans="1:2" x14ac:dyDescent="0.25">
      <c r="A22140"/>
      <c r="B22140"/>
    </row>
    <row r="22141" spans="1:2" x14ac:dyDescent="0.25">
      <c r="A22141"/>
      <c r="B22141"/>
    </row>
    <row r="22142" spans="1:2" x14ac:dyDescent="0.25">
      <c r="A22142"/>
      <c r="B22142"/>
    </row>
    <row r="22143" spans="1:2" x14ac:dyDescent="0.25">
      <c r="A22143"/>
      <c r="B22143"/>
    </row>
    <row r="22144" spans="1:2" x14ac:dyDescent="0.25">
      <c r="A22144"/>
      <c r="B22144"/>
    </row>
    <row r="22145" spans="1:2" x14ac:dyDescent="0.25">
      <c r="A22145"/>
      <c r="B22145"/>
    </row>
    <row r="22146" spans="1:2" x14ac:dyDescent="0.25">
      <c r="A22146"/>
      <c r="B22146"/>
    </row>
    <row r="22147" spans="1:2" x14ac:dyDescent="0.25">
      <c r="A22147"/>
      <c r="B22147"/>
    </row>
    <row r="22148" spans="1:2" x14ac:dyDescent="0.25">
      <c r="A22148"/>
      <c r="B22148"/>
    </row>
    <row r="22149" spans="1:2" x14ac:dyDescent="0.25">
      <c r="A22149"/>
      <c r="B22149"/>
    </row>
    <row r="22150" spans="1:2" x14ac:dyDescent="0.25">
      <c r="A22150"/>
      <c r="B22150"/>
    </row>
    <row r="22151" spans="1:2" x14ac:dyDescent="0.25">
      <c r="A22151"/>
      <c r="B22151"/>
    </row>
    <row r="22152" spans="1:2" x14ac:dyDescent="0.25">
      <c r="A22152"/>
      <c r="B22152"/>
    </row>
    <row r="22153" spans="1:2" x14ac:dyDescent="0.25">
      <c r="A22153"/>
      <c r="B22153"/>
    </row>
    <row r="22154" spans="1:2" x14ac:dyDescent="0.25">
      <c r="A22154"/>
      <c r="B22154"/>
    </row>
    <row r="22155" spans="1:2" x14ac:dyDescent="0.25">
      <c r="A22155"/>
      <c r="B22155"/>
    </row>
    <row r="22156" spans="1:2" x14ac:dyDescent="0.25">
      <c r="A22156"/>
      <c r="B22156"/>
    </row>
    <row r="22157" spans="1:2" x14ac:dyDescent="0.25">
      <c r="A22157"/>
      <c r="B22157"/>
    </row>
    <row r="22158" spans="1:2" x14ac:dyDescent="0.25">
      <c r="A22158"/>
      <c r="B22158"/>
    </row>
    <row r="22159" spans="1:2" x14ac:dyDescent="0.25">
      <c r="A22159"/>
      <c r="B22159"/>
    </row>
    <row r="22160" spans="1:2" x14ac:dyDescent="0.25">
      <c r="A22160"/>
      <c r="B22160"/>
    </row>
    <row r="22161" spans="1:2" x14ac:dyDescent="0.25">
      <c r="A22161"/>
      <c r="B22161"/>
    </row>
    <row r="22162" spans="1:2" x14ac:dyDescent="0.25">
      <c r="A22162"/>
      <c r="B22162"/>
    </row>
    <row r="22163" spans="1:2" x14ac:dyDescent="0.25">
      <c r="A22163"/>
      <c r="B22163"/>
    </row>
    <row r="22164" spans="1:2" x14ac:dyDescent="0.25">
      <c r="A22164"/>
      <c r="B22164"/>
    </row>
    <row r="22165" spans="1:2" x14ac:dyDescent="0.25">
      <c r="A22165"/>
      <c r="B22165"/>
    </row>
    <row r="22166" spans="1:2" x14ac:dyDescent="0.25">
      <c r="A22166"/>
      <c r="B22166"/>
    </row>
    <row r="22167" spans="1:2" x14ac:dyDescent="0.25">
      <c r="A22167"/>
      <c r="B22167"/>
    </row>
    <row r="22168" spans="1:2" x14ac:dyDescent="0.25">
      <c r="A22168"/>
      <c r="B22168"/>
    </row>
    <row r="22169" spans="1:2" x14ac:dyDescent="0.25">
      <c r="A22169"/>
      <c r="B22169"/>
    </row>
    <row r="22170" spans="1:2" x14ac:dyDescent="0.25">
      <c r="A22170"/>
      <c r="B22170"/>
    </row>
    <row r="22171" spans="1:2" x14ac:dyDescent="0.25">
      <c r="A22171"/>
      <c r="B22171"/>
    </row>
    <row r="22172" spans="1:2" x14ac:dyDescent="0.25">
      <c r="A22172"/>
      <c r="B22172"/>
    </row>
    <row r="22173" spans="1:2" x14ac:dyDescent="0.25">
      <c r="A22173"/>
      <c r="B22173"/>
    </row>
    <row r="22174" spans="1:2" x14ac:dyDescent="0.25">
      <c r="A22174"/>
      <c r="B22174"/>
    </row>
    <row r="22175" spans="1:2" x14ac:dyDescent="0.25">
      <c r="A22175"/>
      <c r="B22175"/>
    </row>
    <row r="22176" spans="1:2" x14ac:dyDescent="0.25">
      <c r="A22176"/>
      <c r="B22176"/>
    </row>
    <row r="22177" spans="1:2" x14ac:dyDescent="0.25">
      <c r="A22177"/>
      <c r="B22177"/>
    </row>
    <row r="22178" spans="1:2" x14ac:dyDescent="0.25">
      <c r="A22178"/>
      <c r="B22178"/>
    </row>
    <row r="22179" spans="1:2" x14ac:dyDescent="0.25">
      <c r="A22179"/>
      <c r="B22179"/>
    </row>
    <row r="22180" spans="1:2" x14ac:dyDescent="0.25">
      <c r="A22180"/>
      <c r="B22180"/>
    </row>
    <row r="22181" spans="1:2" x14ac:dyDescent="0.25">
      <c r="A22181"/>
      <c r="B22181"/>
    </row>
    <row r="22182" spans="1:2" x14ac:dyDescent="0.25">
      <c r="A22182"/>
      <c r="B22182"/>
    </row>
    <row r="22183" spans="1:2" x14ac:dyDescent="0.25">
      <c r="A22183"/>
      <c r="B22183"/>
    </row>
    <row r="22184" spans="1:2" x14ac:dyDescent="0.25">
      <c r="A22184"/>
      <c r="B22184"/>
    </row>
    <row r="22185" spans="1:2" x14ac:dyDescent="0.25">
      <c r="A22185"/>
      <c r="B22185"/>
    </row>
    <row r="22186" spans="1:2" x14ac:dyDescent="0.25">
      <c r="A22186"/>
      <c r="B22186"/>
    </row>
    <row r="22187" spans="1:2" x14ac:dyDescent="0.25">
      <c r="A22187"/>
      <c r="B22187"/>
    </row>
    <row r="22188" spans="1:2" x14ac:dyDescent="0.25">
      <c r="A22188"/>
      <c r="B22188"/>
    </row>
    <row r="22189" spans="1:2" x14ac:dyDescent="0.25">
      <c r="A22189"/>
      <c r="B22189"/>
    </row>
    <row r="22190" spans="1:2" x14ac:dyDescent="0.25">
      <c r="A22190"/>
      <c r="B22190"/>
    </row>
    <row r="22191" spans="1:2" x14ac:dyDescent="0.25">
      <c r="A22191"/>
      <c r="B22191"/>
    </row>
    <row r="22192" spans="1:2" x14ac:dyDescent="0.25">
      <c r="A22192"/>
      <c r="B22192"/>
    </row>
    <row r="22193" spans="1:2" x14ac:dyDescent="0.25">
      <c r="A22193"/>
      <c r="B22193"/>
    </row>
    <row r="22194" spans="1:2" x14ac:dyDescent="0.25">
      <c r="A22194"/>
      <c r="B22194"/>
    </row>
    <row r="22195" spans="1:2" x14ac:dyDescent="0.25">
      <c r="A22195"/>
      <c r="B22195"/>
    </row>
    <row r="22196" spans="1:2" x14ac:dyDescent="0.25">
      <c r="A22196"/>
      <c r="B22196"/>
    </row>
    <row r="22197" spans="1:2" x14ac:dyDescent="0.25">
      <c r="A22197"/>
      <c r="B22197"/>
    </row>
    <row r="22198" spans="1:2" x14ac:dyDescent="0.25">
      <c r="A22198"/>
      <c r="B22198"/>
    </row>
    <row r="22199" spans="1:2" x14ac:dyDescent="0.25">
      <c r="A22199"/>
      <c r="B22199"/>
    </row>
    <row r="22200" spans="1:2" x14ac:dyDescent="0.25">
      <c r="A22200"/>
      <c r="B22200"/>
    </row>
    <row r="22201" spans="1:2" x14ac:dyDescent="0.25">
      <c r="A22201"/>
      <c r="B22201"/>
    </row>
    <row r="22202" spans="1:2" x14ac:dyDescent="0.25">
      <c r="A22202"/>
      <c r="B22202"/>
    </row>
    <row r="22203" spans="1:2" x14ac:dyDescent="0.25">
      <c r="A22203"/>
      <c r="B22203"/>
    </row>
    <row r="22204" spans="1:2" x14ac:dyDescent="0.25">
      <c r="A22204"/>
      <c r="B22204"/>
    </row>
    <row r="22205" spans="1:2" x14ac:dyDescent="0.25">
      <c r="A22205"/>
      <c r="B22205"/>
    </row>
    <row r="22206" spans="1:2" x14ac:dyDescent="0.25">
      <c r="A22206"/>
      <c r="B22206"/>
    </row>
    <row r="22207" spans="1:2" x14ac:dyDescent="0.25">
      <c r="A22207"/>
      <c r="B22207"/>
    </row>
    <row r="22208" spans="1:2" x14ac:dyDescent="0.25">
      <c r="A22208"/>
      <c r="B22208"/>
    </row>
    <row r="22209" spans="1:2" x14ac:dyDescent="0.25">
      <c r="A22209"/>
      <c r="B22209"/>
    </row>
    <row r="22210" spans="1:2" x14ac:dyDescent="0.25">
      <c r="A22210"/>
      <c r="B22210"/>
    </row>
    <row r="22211" spans="1:2" x14ac:dyDescent="0.25">
      <c r="A22211"/>
      <c r="B22211"/>
    </row>
    <row r="22212" spans="1:2" x14ac:dyDescent="0.25">
      <c r="A22212"/>
      <c r="B22212"/>
    </row>
    <row r="22213" spans="1:2" x14ac:dyDescent="0.25">
      <c r="A22213"/>
      <c r="B22213"/>
    </row>
    <row r="22214" spans="1:2" x14ac:dyDescent="0.25">
      <c r="A22214"/>
      <c r="B22214"/>
    </row>
    <row r="22215" spans="1:2" x14ac:dyDescent="0.25">
      <c r="A22215"/>
      <c r="B22215"/>
    </row>
    <row r="22216" spans="1:2" x14ac:dyDescent="0.25">
      <c r="A22216"/>
      <c r="B22216"/>
    </row>
    <row r="22217" spans="1:2" x14ac:dyDescent="0.25">
      <c r="A22217"/>
      <c r="B22217"/>
    </row>
    <row r="22218" spans="1:2" x14ac:dyDescent="0.25">
      <c r="A22218"/>
      <c r="B22218"/>
    </row>
    <row r="22219" spans="1:2" x14ac:dyDescent="0.25">
      <c r="A22219"/>
      <c r="B22219"/>
    </row>
    <row r="22220" spans="1:2" x14ac:dyDescent="0.25">
      <c r="A22220"/>
      <c r="B22220"/>
    </row>
    <row r="22221" spans="1:2" x14ac:dyDescent="0.25">
      <c r="A22221"/>
      <c r="B22221"/>
    </row>
    <row r="22222" spans="1:2" x14ac:dyDescent="0.25">
      <c r="A22222"/>
      <c r="B22222"/>
    </row>
    <row r="22223" spans="1:2" x14ac:dyDescent="0.25">
      <c r="A22223"/>
      <c r="B22223"/>
    </row>
    <row r="22224" spans="1:2" x14ac:dyDescent="0.25">
      <c r="A22224"/>
      <c r="B22224"/>
    </row>
    <row r="22225" spans="1:2" x14ac:dyDescent="0.25">
      <c r="A22225"/>
      <c r="B22225"/>
    </row>
    <row r="22226" spans="1:2" x14ac:dyDescent="0.25">
      <c r="A22226"/>
      <c r="B22226"/>
    </row>
    <row r="22227" spans="1:2" x14ac:dyDescent="0.25">
      <c r="A22227"/>
      <c r="B22227"/>
    </row>
    <row r="22228" spans="1:2" x14ac:dyDescent="0.25">
      <c r="A22228"/>
      <c r="B22228"/>
    </row>
    <row r="22229" spans="1:2" x14ac:dyDescent="0.25">
      <c r="A22229"/>
      <c r="B22229"/>
    </row>
    <row r="22230" spans="1:2" x14ac:dyDescent="0.25">
      <c r="A22230"/>
      <c r="B22230"/>
    </row>
    <row r="22231" spans="1:2" x14ac:dyDescent="0.25">
      <c r="A22231"/>
      <c r="B22231"/>
    </row>
    <row r="22232" spans="1:2" x14ac:dyDescent="0.25">
      <c r="A22232"/>
      <c r="B22232"/>
    </row>
    <row r="22233" spans="1:2" x14ac:dyDescent="0.25">
      <c r="A22233"/>
      <c r="B22233"/>
    </row>
    <row r="22234" spans="1:2" x14ac:dyDescent="0.25">
      <c r="A22234"/>
      <c r="B22234"/>
    </row>
    <row r="22235" spans="1:2" x14ac:dyDescent="0.25">
      <c r="A22235"/>
      <c r="B22235"/>
    </row>
    <row r="22236" spans="1:2" x14ac:dyDescent="0.25">
      <c r="A22236"/>
      <c r="B22236"/>
    </row>
    <row r="22237" spans="1:2" x14ac:dyDescent="0.25">
      <c r="A22237"/>
      <c r="B22237"/>
    </row>
    <row r="22238" spans="1:2" x14ac:dyDescent="0.25">
      <c r="A22238"/>
      <c r="B22238"/>
    </row>
    <row r="22239" spans="1:2" x14ac:dyDescent="0.25">
      <c r="A22239"/>
      <c r="B22239"/>
    </row>
    <row r="22240" spans="1:2" x14ac:dyDescent="0.25">
      <c r="A22240"/>
      <c r="B22240"/>
    </row>
    <row r="22241" spans="1:2" x14ac:dyDescent="0.25">
      <c r="A22241"/>
      <c r="B22241"/>
    </row>
    <row r="22242" spans="1:2" x14ac:dyDescent="0.25">
      <c r="A22242"/>
      <c r="B22242"/>
    </row>
    <row r="22243" spans="1:2" x14ac:dyDescent="0.25">
      <c r="A22243"/>
      <c r="B22243"/>
    </row>
    <row r="22244" spans="1:2" x14ac:dyDescent="0.25">
      <c r="A22244"/>
      <c r="B22244"/>
    </row>
    <row r="22245" spans="1:2" x14ac:dyDescent="0.25">
      <c r="A22245"/>
      <c r="B22245"/>
    </row>
    <row r="22246" spans="1:2" x14ac:dyDescent="0.25">
      <c r="A22246"/>
      <c r="B22246"/>
    </row>
    <row r="22247" spans="1:2" x14ac:dyDescent="0.25">
      <c r="A22247"/>
      <c r="B22247"/>
    </row>
    <row r="22248" spans="1:2" x14ac:dyDescent="0.25">
      <c r="A22248"/>
      <c r="B22248"/>
    </row>
    <row r="22249" spans="1:2" x14ac:dyDescent="0.25">
      <c r="A22249"/>
      <c r="B22249"/>
    </row>
    <row r="22250" spans="1:2" x14ac:dyDescent="0.25">
      <c r="A22250"/>
      <c r="B22250"/>
    </row>
    <row r="22251" spans="1:2" x14ac:dyDescent="0.25">
      <c r="A22251"/>
      <c r="B22251"/>
    </row>
    <row r="22252" spans="1:2" x14ac:dyDescent="0.25">
      <c r="A22252"/>
      <c r="B22252"/>
    </row>
    <row r="22253" spans="1:2" x14ac:dyDescent="0.25">
      <c r="A22253"/>
      <c r="B22253"/>
    </row>
    <row r="22254" spans="1:2" x14ac:dyDescent="0.25">
      <c r="A22254"/>
      <c r="B22254"/>
    </row>
    <row r="22255" spans="1:2" x14ac:dyDescent="0.25">
      <c r="A22255"/>
      <c r="B22255"/>
    </row>
    <row r="22256" spans="1:2" x14ac:dyDescent="0.25">
      <c r="A22256"/>
      <c r="B22256"/>
    </row>
    <row r="22257" spans="1:2" x14ac:dyDescent="0.25">
      <c r="A22257"/>
      <c r="B22257"/>
    </row>
    <row r="22258" spans="1:2" x14ac:dyDescent="0.25">
      <c r="A22258"/>
      <c r="B22258"/>
    </row>
    <row r="22259" spans="1:2" x14ac:dyDescent="0.25">
      <c r="A22259"/>
      <c r="B22259"/>
    </row>
    <row r="22260" spans="1:2" x14ac:dyDescent="0.25">
      <c r="A22260"/>
      <c r="B22260"/>
    </row>
    <row r="22261" spans="1:2" x14ac:dyDescent="0.25">
      <c r="A22261"/>
      <c r="B22261"/>
    </row>
    <row r="22262" spans="1:2" x14ac:dyDescent="0.25">
      <c r="A22262"/>
      <c r="B22262"/>
    </row>
    <row r="22263" spans="1:2" x14ac:dyDescent="0.25">
      <c r="A22263"/>
      <c r="B22263"/>
    </row>
    <row r="22264" spans="1:2" x14ac:dyDescent="0.25">
      <c r="A22264"/>
      <c r="B22264"/>
    </row>
    <row r="22265" spans="1:2" x14ac:dyDescent="0.25">
      <c r="A22265"/>
      <c r="B22265"/>
    </row>
    <row r="22266" spans="1:2" x14ac:dyDescent="0.25">
      <c r="A22266"/>
      <c r="B22266"/>
    </row>
    <row r="22267" spans="1:2" x14ac:dyDescent="0.25">
      <c r="A22267"/>
      <c r="B22267"/>
    </row>
    <row r="22268" spans="1:2" x14ac:dyDescent="0.25">
      <c r="A22268"/>
      <c r="B22268"/>
    </row>
    <row r="22269" spans="1:2" x14ac:dyDescent="0.25">
      <c r="A22269"/>
      <c r="B22269"/>
    </row>
    <row r="22270" spans="1:2" x14ac:dyDescent="0.25">
      <c r="A22270"/>
      <c r="B22270"/>
    </row>
    <row r="22271" spans="1:2" x14ac:dyDescent="0.25">
      <c r="A22271"/>
      <c r="B22271"/>
    </row>
    <row r="22272" spans="1:2" x14ac:dyDescent="0.25">
      <c r="A22272"/>
      <c r="B22272"/>
    </row>
    <row r="22273" spans="1:2" x14ac:dyDescent="0.25">
      <c r="A22273"/>
      <c r="B22273"/>
    </row>
    <row r="22274" spans="1:2" x14ac:dyDescent="0.25">
      <c r="A22274"/>
      <c r="B22274"/>
    </row>
    <row r="22275" spans="1:2" x14ac:dyDescent="0.25">
      <c r="A22275"/>
      <c r="B22275"/>
    </row>
    <row r="22276" spans="1:2" x14ac:dyDescent="0.25">
      <c r="A22276"/>
      <c r="B22276"/>
    </row>
    <row r="22277" spans="1:2" x14ac:dyDescent="0.25">
      <c r="A22277"/>
      <c r="B22277"/>
    </row>
    <row r="22278" spans="1:2" x14ac:dyDescent="0.25">
      <c r="A22278"/>
      <c r="B22278"/>
    </row>
    <row r="22279" spans="1:2" x14ac:dyDescent="0.25">
      <c r="A22279"/>
      <c r="B22279"/>
    </row>
    <row r="22280" spans="1:2" x14ac:dyDescent="0.25">
      <c r="A22280"/>
      <c r="B22280"/>
    </row>
    <row r="22281" spans="1:2" x14ac:dyDescent="0.25">
      <c r="A22281"/>
      <c r="B22281"/>
    </row>
    <row r="22282" spans="1:2" x14ac:dyDescent="0.25">
      <c r="A22282"/>
      <c r="B22282"/>
    </row>
    <row r="22283" spans="1:2" x14ac:dyDescent="0.25">
      <c r="A22283"/>
      <c r="B22283"/>
    </row>
    <row r="22284" spans="1:2" x14ac:dyDescent="0.25">
      <c r="A22284"/>
      <c r="B22284"/>
    </row>
    <row r="22285" spans="1:2" x14ac:dyDescent="0.25">
      <c r="A22285"/>
      <c r="B22285"/>
    </row>
    <row r="22286" spans="1:2" x14ac:dyDescent="0.25">
      <c r="A22286"/>
      <c r="B22286"/>
    </row>
    <row r="22287" spans="1:2" x14ac:dyDescent="0.25">
      <c r="A22287"/>
      <c r="B22287"/>
    </row>
    <row r="22288" spans="1:2" x14ac:dyDescent="0.25">
      <c r="A22288"/>
      <c r="B22288"/>
    </row>
    <row r="22289" spans="1:2" x14ac:dyDescent="0.25">
      <c r="A22289"/>
      <c r="B22289"/>
    </row>
    <row r="22290" spans="1:2" x14ac:dyDescent="0.25">
      <c r="A22290"/>
      <c r="B22290"/>
    </row>
    <row r="22291" spans="1:2" x14ac:dyDescent="0.25">
      <c r="A22291"/>
      <c r="B22291"/>
    </row>
    <row r="22292" spans="1:2" x14ac:dyDescent="0.25">
      <c r="A22292"/>
      <c r="B22292"/>
    </row>
    <row r="22293" spans="1:2" x14ac:dyDescent="0.25">
      <c r="A22293"/>
      <c r="B22293"/>
    </row>
    <row r="22294" spans="1:2" x14ac:dyDescent="0.25">
      <c r="A22294"/>
      <c r="B22294"/>
    </row>
    <row r="22295" spans="1:2" x14ac:dyDescent="0.25">
      <c r="A22295"/>
      <c r="B22295"/>
    </row>
    <row r="22296" spans="1:2" x14ac:dyDescent="0.25">
      <c r="A22296"/>
      <c r="B22296"/>
    </row>
    <row r="22297" spans="1:2" x14ac:dyDescent="0.25">
      <c r="A22297"/>
      <c r="B22297"/>
    </row>
    <row r="22298" spans="1:2" x14ac:dyDescent="0.25">
      <c r="A22298"/>
      <c r="B22298"/>
    </row>
    <row r="22299" spans="1:2" x14ac:dyDescent="0.25">
      <c r="A22299"/>
      <c r="B22299"/>
    </row>
    <row r="22300" spans="1:2" x14ac:dyDescent="0.25">
      <c r="A22300"/>
      <c r="B22300"/>
    </row>
    <row r="22301" spans="1:2" x14ac:dyDescent="0.25">
      <c r="A22301"/>
      <c r="B22301"/>
    </row>
    <row r="22302" spans="1:2" x14ac:dyDescent="0.25">
      <c r="A22302"/>
      <c r="B22302"/>
    </row>
    <row r="22303" spans="1:2" x14ac:dyDescent="0.25">
      <c r="A22303"/>
      <c r="B22303"/>
    </row>
    <row r="22304" spans="1:2" x14ac:dyDescent="0.25">
      <c r="A22304"/>
      <c r="B22304"/>
    </row>
    <row r="22305" spans="1:2" x14ac:dyDescent="0.25">
      <c r="A22305"/>
      <c r="B22305"/>
    </row>
    <row r="22306" spans="1:2" x14ac:dyDescent="0.25">
      <c r="A22306"/>
      <c r="B22306"/>
    </row>
    <row r="22307" spans="1:2" x14ac:dyDescent="0.25">
      <c r="A22307"/>
      <c r="B22307"/>
    </row>
    <row r="22308" spans="1:2" x14ac:dyDescent="0.25">
      <c r="A22308"/>
      <c r="B22308"/>
    </row>
    <row r="22309" spans="1:2" x14ac:dyDescent="0.25">
      <c r="A22309"/>
      <c r="B22309"/>
    </row>
    <row r="22310" spans="1:2" x14ac:dyDescent="0.25">
      <c r="A22310"/>
      <c r="B22310"/>
    </row>
    <row r="22311" spans="1:2" x14ac:dyDescent="0.25">
      <c r="A22311"/>
      <c r="B22311"/>
    </row>
    <row r="22312" spans="1:2" x14ac:dyDescent="0.25">
      <c r="A22312"/>
      <c r="B22312"/>
    </row>
    <row r="22313" spans="1:2" x14ac:dyDescent="0.25">
      <c r="A22313"/>
      <c r="B22313"/>
    </row>
    <row r="22314" spans="1:2" x14ac:dyDescent="0.25">
      <c r="A22314"/>
      <c r="B22314"/>
    </row>
    <row r="22315" spans="1:2" x14ac:dyDescent="0.25">
      <c r="A22315"/>
      <c r="B22315"/>
    </row>
    <row r="22316" spans="1:2" x14ac:dyDescent="0.25">
      <c r="A22316"/>
      <c r="B22316"/>
    </row>
    <row r="22317" spans="1:2" x14ac:dyDescent="0.25">
      <c r="A22317"/>
      <c r="B22317"/>
    </row>
    <row r="22318" spans="1:2" x14ac:dyDescent="0.25">
      <c r="A22318"/>
      <c r="B22318"/>
    </row>
    <row r="22319" spans="1:2" x14ac:dyDescent="0.25">
      <c r="A22319"/>
      <c r="B22319"/>
    </row>
    <row r="22320" spans="1:2" x14ac:dyDescent="0.25">
      <c r="A22320"/>
      <c r="B22320"/>
    </row>
    <row r="22321" spans="1:2" x14ac:dyDescent="0.25">
      <c r="A22321"/>
      <c r="B22321"/>
    </row>
    <row r="22322" spans="1:2" x14ac:dyDescent="0.25">
      <c r="A22322"/>
      <c r="B22322"/>
    </row>
    <row r="22323" spans="1:2" x14ac:dyDescent="0.25">
      <c r="A22323"/>
      <c r="B22323"/>
    </row>
    <row r="22324" spans="1:2" x14ac:dyDescent="0.25">
      <c r="A22324"/>
      <c r="B22324"/>
    </row>
    <row r="22325" spans="1:2" x14ac:dyDescent="0.25">
      <c r="A22325"/>
      <c r="B22325"/>
    </row>
    <row r="22326" spans="1:2" x14ac:dyDescent="0.25">
      <c r="A22326"/>
      <c r="B22326"/>
    </row>
    <row r="22327" spans="1:2" x14ac:dyDescent="0.25">
      <c r="A22327"/>
      <c r="B22327"/>
    </row>
    <row r="22328" spans="1:2" x14ac:dyDescent="0.25">
      <c r="A22328"/>
      <c r="B22328"/>
    </row>
    <row r="22329" spans="1:2" x14ac:dyDescent="0.25">
      <c r="A22329"/>
      <c r="B22329"/>
    </row>
    <row r="22330" spans="1:2" x14ac:dyDescent="0.25">
      <c r="A22330"/>
      <c r="B22330"/>
    </row>
    <row r="22331" spans="1:2" x14ac:dyDescent="0.25">
      <c r="A22331"/>
      <c r="B22331"/>
    </row>
    <row r="22332" spans="1:2" x14ac:dyDescent="0.25">
      <c r="A22332"/>
      <c r="B22332"/>
    </row>
    <row r="22333" spans="1:2" x14ac:dyDescent="0.25">
      <c r="A22333"/>
      <c r="B22333"/>
    </row>
    <row r="22334" spans="1:2" x14ac:dyDescent="0.25">
      <c r="A22334"/>
      <c r="B22334"/>
    </row>
    <row r="22335" spans="1:2" x14ac:dyDescent="0.25">
      <c r="A22335"/>
      <c r="B22335"/>
    </row>
    <row r="22336" spans="1:2" x14ac:dyDescent="0.25">
      <c r="A22336"/>
      <c r="B22336"/>
    </row>
    <row r="22337" spans="1:2" x14ac:dyDescent="0.25">
      <c r="A22337"/>
      <c r="B22337"/>
    </row>
    <row r="22338" spans="1:2" x14ac:dyDescent="0.25">
      <c r="A22338"/>
      <c r="B22338"/>
    </row>
    <row r="22339" spans="1:2" x14ac:dyDescent="0.25">
      <c r="A22339"/>
      <c r="B22339"/>
    </row>
    <row r="22340" spans="1:2" x14ac:dyDescent="0.25">
      <c r="A22340"/>
      <c r="B22340"/>
    </row>
    <row r="22341" spans="1:2" x14ac:dyDescent="0.25">
      <c r="A22341"/>
      <c r="B22341"/>
    </row>
    <row r="22342" spans="1:2" x14ac:dyDescent="0.25">
      <c r="A22342"/>
      <c r="B22342"/>
    </row>
    <row r="22343" spans="1:2" x14ac:dyDescent="0.25">
      <c r="A22343"/>
      <c r="B22343"/>
    </row>
    <row r="22344" spans="1:2" x14ac:dyDescent="0.25">
      <c r="A22344"/>
      <c r="B22344"/>
    </row>
    <row r="22345" spans="1:2" x14ac:dyDescent="0.25">
      <c r="A22345"/>
      <c r="B22345"/>
    </row>
    <row r="22346" spans="1:2" x14ac:dyDescent="0.25">
      <c r="A22346"/>
      <c r="B22346"/>
    </row>
    <row r="22347" spans="1:2" x14ac:dyDescent="0.25">
      <c r="A22347"/>
      <c r="B22347"/>
    </row>
    <row r="22348" spans="1:2" x14ac:dyDescent="0.25">
      <c r="A22348"/>
      <c r="B22348"/>
    </row>
    <row r="22349" spans="1:2" x14ac:dyDescent="0.25">
      <c r="A22349"/>
      <c r="B22349"/>
    </row>
    <row r="22350" spans="1:2" x14ac:dyDescent="0.25">
      <c r="A22350"/>
      <c r="B22350"/>
    </row>
    <row r="22351" spans="1:2" x14ac:dyDescent="0.25">
      <c r="A22351"/>
      <c r="B22351"/>
    </row>
    <row r="22352" spans="1:2" x14ac:dyDescent="0.25">
      <c r="A22352"/>
      <c r="B22352"/>
    </row>
    <row r="22353" spans="1:2" x14ac:dyDescent="0.25">
      <c r="A22353"/>
      <c r="B22353"/>
    </row>
    <row r="22354" spans="1:2" x14ac:dyDescent="0.25">
      <c r="A22354"/>
      <c r="B22354"/>
    </row>
    <row r="22355" spans="1:2" x14ac:dyDescent="0.25">
      <c r="A22355"/>
      <c r="B22355"/>
    </row>
    <row r="22356" spans="1:2" x14ac:dyDescent="0.25">
      <c r="A22356"/>
      <c r="B22356"/>
    </row>
    <row r="22357" spans="1:2" x14ac:dyDescent="0.25">
      <c r="A22357"/>
      <c r="B22357"/>
    </row>
    <row r="22358" spans="1:2" x14ac:dyDescent="0.25">
      <c r="A22358"/>
      <c r="B22358"/>
    </row>
    <row r="22359" spans="1:2" x14ac:dyDescent="0.25">
      <c r="A22359"/>
      <c r="B22359"/>
    </row>
    <row r="22360" spans="1:2" x14ac:dyDescent="0.25">
      <c r="A22360"/>
      <c r="B22360"/>
    </row>
    <row r="22361" spans="1:2" x14ac:dyDescent="0.25">
      <c r="A22361"/>
      <c r="B22361"/>
    </row>
    <row r="22362" spans="1:2" x14ac:dyDescent="0.25">
      <c r="A22362"/>
      <c r="B22362"/>
    </row>
    <row r="22363" spans="1:2" x14ac:dyDescent="0.25">
      <c r="A22363"/>
      <c r="B22363"/>
    </row>
    <row r="22364" spans="1:2" x14ac:dyDescent="0.25">
      <c r="A22364"/>
      <c r="B22364"/>
    </row>
    <row r="22365" spans="1:2" x14ac:dyDescent="0.25">
      <c r="A22365"/>
      <c r="B22365"/>
    </row>
    <row r="22366" spans="1:2" x14ac:dyDescent="0.25">
      <c r="A22366"/>
      <c r="B22366"/>
    </row>
    <row r="22367" spans="1:2" x14ac:dyDescent="0.25">
      <c r="A22367"/>
      <c r="B22367"/>
    </row>
    <row r="22368" spans="1:2" x14ac:dyDescent="0.25">
      <c r="A22368"/>
      <c r="B22368"/>
    </row>
    <row r="22369" spans="1:2" x14ac:dyDescent="0.25">
      <c r="A22369"/>
      <c r="B22369"/>
    </row>
    <row r="22370" spans="1:2" x14ac:dyDescent="0.25">
      <c r="A22370"/>
      <c r="B22370"/>
    </row>
    <row r="22371" spans="1:2" x14ac:dyDescent="0.25">
      <c r="A22371"/>
      <c r="B22371"/>
    </row>
    <row r="22372" spans="1:2" x14ac:dyDescent="0.25">
      <c r="A22372"/>
      <c r="B22372"/>
    </row>
    <row r="22373" spans="1:2" x14ac:dyDescent="0.25">
      <c r="A22373"/>
      <c r="B22373"/>
    </row>
    <row r="22374" spans="1:2" x14ac:dyDescent="0.25">
      <c r="A22374"/>
      <c r="B22374"/>
    </row>
    <row r="22375" spans="1:2" x14ac:dyDescent="0.25">
      <c r="A22375"/>
      <c r="B22375"/>
    </row>
    <row r="22376" spans="1:2" x14ac:dyDescent="0.25">
      <c r="A22376"/>
      <c r="B22376"/>
    </row>
    <row r="22377" spans="1:2" x14ac:dyDescent="0.25">
      <c r="A22377"/>
      <c r="B22377"/>
    </row>
    <row r="22378" spans="1:2" x14ac:dyDescent="0.25">
      <c r="A22378"/>
      <c r="B22378"/>
    </row>
    <row r="22379" spans="1:2" x14ac:dyDescent="0.25">
      <c r="A22379"/>
      <c r="B22379"/>
    </row>
    <row r="22380" spans="1:2" x14ac:dyDescent="0.25">
      <c r="A22380"/>
      <c r="B22380"/>
    </row>
    <row r="22381" spans="1:2" x14ac:dyDescent="0.25">
      <c r="A22381"/>
      <c r="B22381"/>
    </row>
    <row r="22382" spans="1:2" x14ac:dyDescent="0.25">
      <c r="A22382"/>
      <c r="B22382"/>
    </row>
    <row r="22383" spans="1:2" x14ac:dyDescent="0.25">
      <c r="A22383"/>
      <c r="B22383"/>
    </row>
    <row r="22384" spans="1:2" x14ac:dyDescent="0.25">
      <c r="A22384"/>
      <c r="B22384"/>
    </row>
    <row r="22385" spans="1:2" x14ac:dyDescent="0.25">
      <c r="A22385"/>
      <c r="B22385"/>
    </row>
    <row r="22386" spans="1:2" x14ac:dyDescent="0.25">
      <c r="A22386"/>
      <c r="B22386"/>
    </row>
    <row r="22387" spans="1:2" x14ac:dyDescent="0.25">
      <c r="A22387"/>
      <c r="B22387"/>
    </row>
    <row r="22388" spans="1:2" x14ac:dyDescent="0.25">
      <c r="A22388"/>
      <c r="B22388"/>
    </row>
    <row r="22389" spans="1:2" x14ac:dyDescent="0.25">
      <c r="A22389"/>
      <c r="B22389"/>
    </row>
    <row r="22390" spans="1:2" x14ac:dyDescent="0.25">
      <c r="A22390"/>
      <c r="B22390"/>
    </row>
    <row r="22391" spans="1:2" x14ac:dyDescent="0.25">
      <c r="A22391"/>
      <c r="B22391"/>
    </row>
    <row r="22392" spans="1:2" x14ac:dyDescent="0.25">
      <c r="A22392"/>
      <c r="B22392"/>
    </row>
    <row r="22393" spans="1:2" x14ac:dyDescent="0.25">
      <c r="A22393"/>
      <c r="B22393"/>
    </row>
    <row r="22394" spans="1:2" x14ac:dyDescent="0.25">
      <c r="A22394"/>
      <c r="B22394"/>
    </row>
    <row r="22395" spans="1:2" x14ac:dyDescent="0.25">
      <c r="A22395"/>
      <c r="B22395"/>
    </row>
    <row r="22396" spans="1:2" x14ac:dyDescent="0.25">
      <c r="A22396"/>
      <c r="B22396"/>
    </row>
    <row r="22397" spans="1:2" x14ac:dyDescent="0.25">
      <c r="A22397"/>
      <c r="B22397"/>
    </row>
    <row r="22398" spans="1:2" x14ac:dyDescent="0.25">
      <c r="A22398"/>
      <c r="B22398"/>
    </row>
    <row r="22399" spans="1:2" x14ac:dyDescent="0.25">
      <c r="A22399"/>
      <c r="B22399"/>
    </row>
    <row r="22400" spans="1:2" x14ac:dyDescent="0.25">
      <c r="A22400"/>
      <c r="B22400"/>
    </row>
    <row r="22401" spans="1:2" x14ac:dyDescent="0.25">
      <c r="A22401"/>
      <c r="B22401"/>
    </row>
    <row r="22402" spans="1:2" x14ac:dyDescent="0.25">
      <c r="A22402"/>
      <c r="B22402"/>
    </row>
    <row r="22403" spans="1:2" x14ac:dyDescent="0.25">
      <c r="A22403"/>
      <c r="B22403"/>
    </row>
    <row r="22404" spans="1:2" x14ac:dyDescent="0.25">
      <c r="A22404"/>
      <c r="B22404"/>
    </row>
    <row r="22405" spans="1:2" x14ac:dyDescent="0.25">
      <c r="A22405"/>
      <c r="B22405"/>
    </row>
    <row r="22406" spans="1:2" x14ac:dyDescent="0.25">
      <c r="A22406"/>
      <c r="B22406"/>
    </row>
    <row r="22407" spans="1:2" x14ac:dyDescent="0.25">
      <c r="A22407"/>
      <c r="B22407"/>
    </row>
    <row r="22408" spans="1:2" x14ac:dyDescent="0.25">
      <c r="A22408"/>
      <c r="B22408"/>
    </row>
    <row r="22409" spans="1:2" x14ac:dyDescent="0.25">
      <c r="A22409"/>
      <c r="B22409"/>
    </row>
    <row r="22410" spans="1:2" x14ac:dyDescent="0.25">
      <c r="A22410"/>
      <c r="B22410"/>
    </row>
    <row r="22411" spans="1:2" x14ac:dyDescent="0.25">
      <c r="A22411"/>
      <c r="B22411"/>
    </row>
    <row r="22412" spans="1:2" x14ac:dyDescent="0.25">
      <c r="A22412"/>
      <c r="B22412"/>
    </row>
    <row r="22413" spans="1:2" x14ac:dyDescent="0.25">
      <c r="A22413"/>
      <c r="B22413"/>
    </row>
    <row r="22414" spans="1:2" x14ac:dyDescent="0.25">
      <c r="A22414"/>
      <c r="B22414"/>
    </row>
    <row r="22415" spans="1:2" x14ac:dyDescent="0.25">
      <c r="A22415"/>
      <c r="B22415"/>
    </row>
    <row r="22416" spans="1:2" x14ac:dyDescent="0.25">
      <c r="A22416"/>
      <c r="B22416"/>
    </row>
    <row r="22417" spans="1:2" x14ac:dyDescent="0.25">
      <c r="A22417"/>
      <c r="B22417"/>
    </row>
    <row r="22418" spans="1:2" x14ac:dyDescent="0.25">
      <c r="A22418"/>
      <c r="B22418"/>
    </row>
    <row r="22419" spans="1:2" x14ac:dyDescent="0.25">
      <c r="A22419"/>
      <c r="B22419"/>
    </row>
    <row r="22420" spans="1:2" x14ac:dyDescent="0.25">
      <c r="A22420"/>
      <c r="B22420"/>
    </row>
    <row r="22421" spans="1:2" x14ac:dyDescent="0.25">
      <c r="A22421"/>
      <c r="B22421"/>
    </row>
    <row r="22422" spans="1:2" x14ac:dyDescent="0.25">
      <c r="A22422"/>
      <c r="B22422"/>
    </row>
    <row r="22423" spans="1:2" x14ac:dyDescent="0.25">
      <c r="A22423"/>
      <c r="B22423"/>
    </row>
    <row r="22424" spans="1:2" x14ac:dyDescent="0.25">
      <c r="A22424"/>
      <c r="B22424"/>
    </row>
    <row r="22425" spans="1:2" x14ac:dyDescent="0.25">
      <c r="A22425"/>
      <c r="B22425"/>
    </row>
    <row r="22426" spans="1:2" x14ac:dyDescent="0.25">
      <c r="A22426"/>
      <c r="B22426"/>
    </row>
    <row r="22427" spans="1:2" x14ac:dyDescent="0.25">
      <c r="A22427"/>
      <c r="B22427"/>
    </row>
    <row r="22428" spans="1:2" x14ac:dyDescent="0.25">
      <c r="A22428"/>
      <c r="B22428"/>
    </row>
    <row r="22429" spans="1:2" x14ac:dyDescent="0.25">
      <c r="A22429"/>
      <c r="B22429"/>
    </row>
    <row r="22430" spans="1:2" x14ac:dyDescent="0.25">
      <c r="A22430"/>
      <c r="B22430"/>
    </row>
    <row r="22431" spans="1:2" x14ac:dyDescent="0.25">
      <c r="A22431"/>
      <c r="B22431"/>
    </row>
    <row r="22432" spans="1:2" x14ac:dyDescent="0.25">
      <c r="A22432"/>
      <c r="B22432"/>
    </row>
    <row r="22433" spans="1:2" x14ac:dyDescent="0.25">
      <c r="A22433"/>
      <c r="B22433"/>
    </row>
    <row r="22434" spans="1:2" x14ac:dyDescent="0.25">
      <c r="A22434"/>
      <c r="B22434"/>
    </row>
    <row r="22435" spans="1:2" x14ac:dyDescent="0.25">
      <c r="A22435"/>
      <c r="B22435"/>
    </row>
    <row r="22436" spans="1:2" x14ac:dyDescent="0.25">
      <c r="A22436"/>
      <c r="B22436"/>
    </row>
    <row r="22437" spans="1:2" x14ac:dyDescent="0.25">
      <c r="A22437"/>
      <c r="B22437"/>
    </row>
    <row r="22438" spans="1:2" x14ac:dyDescent="0.25">
      <c r="A22438"/>
      <c r="B22438"/>
    </row>
    <row r="22439" spans="1:2" x14ac:dyDescent="0.25">
      <c r="A22439"/>
      <c r="B22439"/>
    </row>
    <row r="22440" spans="1:2" x14ac:dyDescent="0.25">
      <c r="A22440"/>
      <c r="B22440"/>
    </row>
    <row r="22441" spans="1:2" x14ac:dyDescent="0.25">
      <c r="A22441"/>
      <c r="B22441"/>
    </row>
    <row r="22442" spans="1:2" x14ac:dyDescent="0.25">
      <c r="A22442"/>
      <c r="B22442"/>
    </row>
    <row r="22443" spans="1:2" x14ac:dyDescent="0.25">
      <c r="A22443"/>
      <c r="B22443"/>
    </row>
    <row r="22444" spans="1:2" x14ac:dyDescent="0.25">
      <c r="A22444"/>
      <c r="B22444"/>
    </row>
    <row r="22445" spans="1:2" x14ac:dyDescent="0.25">
      <c r="A22445"/>
      <c r="B22445"/>
    </row>
    <row r="22446" spans="1:2" x14ac:dyDescent="0.25">
      <c r="A22446"/>
      <c r="B22446"/>
    </row>
    <row r="22447" spans="1:2" x14ac:dyDescent="0.25">
      <c r="A22447"/>
      <c r="B22447"/>
    </row>
    <row r="22448" spans="1:2" x14ac:dyDescent="0.25">
      <c r="A22448"/>
      <c r="B22448"/>
    </row>
    <row r="22449" spans="1:2" x14ac:dyDescent="0.25">
      <c r="A22449"/>
      <c r="B22449"/>
    </row>
    <row r="22450" spans="1:2" x14ac:dyDescent="0.25">
      <c r="A22450"/>
      <c r="B22450"/>
    </row>
    <row r="22451" spans="1:2" x14ac:dyDescent="0.25">
      <c r="A22451"/>
      <c r="B22451"/>
    </row>
    <row r="22452" spans="1:2" x14ac:dyDescent="0.25">
      <c r="A22452"/>
      <c r="B22452"/>
    </row>
    <row r="22453" spans="1:2" x14ac:dyDescent="0.25">
      <c r="A22453"/>
      <c r="B22453"/>
    </row>
    <row r="22454" spans="1:2" x14ac:dyDescent="0.25">
      <c r="A22454"/>
      <c r="B22454"/>
    </row>
    <row r="22455" spans="1:2" x14ac:dyDescent="0.25">
      <c r="A22455"/>
      <c r="B22455"/>
    </row>
    <row r="22456" spans="1:2" x14ac:dyDescent="0.25">
      <c r="A22456"/>
      <c r="B22456"/>
    </row>
    <row r="22457" spans="1:2" x14ac:dyDescent="0.25">
      <c r="A22457"/>
      <c r="B22457"/>
    </row>
    <row r="22458" spans="1:2" x14ac:dyDescent="0.25">
      <c r="A22458"/>
      <c r="B22458"/>
    </row>
    <row r="22459" spans="1:2" x14ac:dyDescent="0.25">
      <c r="A22459"/>
      <c r="B22459"/>
    </row>
    <row r="22460" spans="1:2" x14ac:dyDescent="0.25">
      <c r="A22460"/>
      <c r="B22460"/>
    </row>
    <row r="22461" spans="1:2" x14ac:dyDescent="0.25">
      <c r="A22461"/>
      <c r="B22461"/>
    </row>
    <row r="22462" spans="1:2" x14ac:dyDescent="0.25">
      <c r="A22462"/>
      <c r="B22462"/>
    </row>
    <row r="22463" spans="1:2" x14ac:dyDescent="0.25">
      <c r="A22463"/>
      <c r="B22463"/>
    </row>
    <row r="22464" spans="1:2" x14ac:dyDescent="0.25">
      <c r="A22464"/>
      <c r="B22464"/>
    </row>
    <row r="22465" spans="1:2" x14ac:dyDescent="0.25">
      <c r="A22465"/>
      <c r="B22465"/>
    </row>
    <row r="22466" spans="1:2" x14ac:dyDescent="0.25">
      <c r="A22466"/>
      <c r="B22466"/>
    </row>
    <row r="22467" spans="1:2" x14ac:dyDescent="0.25">
      <c r="A22467"/>
      <c r="B22467"/>
    </row>
    <row r="22468" spans="1:2" x14ac:dyDescent="0.25">
      <c r="A22468"/>
      <c r="B22468"/>
    </row>
    <row r="22469" spans="1:2" x14ac:dyDescent="0.25">
      <c r="A22469"/>
      <c r="B22469"/>
    </row>
    <row r="22470" spans="1:2" x14ac:dyDescent="0.25">
      <c r="A22470"/>
      <c r="B22470"/>
    </row>
    <row r="22471" spans="1:2" x14ac:dyDescent="0.25">
      <c r="A22471"/>
      <c r="B22471"/>
    </row>
    <row r="22472" spans="1:2" x14ac:dyDescent="0.25">
      <c r="A22472"/>
      <c r="B22472"/>
    </row>
    <row r="22473" spans="1:2" x14ac:dyDescent="0.25">
      <c r="A22473"/>
      <c r="B22473"/>
    </row>
    <row r="22474" spans="1:2" x14ac:dyDescent="0.25">
      <c r="A22474"/>
      <c r="B22474"/>
    </row>
    <row r="22475" spans="1:2" x14ac:dyDescent="0.25">
      <c r="A22475"/>
      <c r="B22475"/>
    </row>
    <row r="22476" spans="1:2" x14ac:dyDescent="0.25">
      <c r="A22476"/>
      <c r="B22476"/>
    </row>
    <row r="22477" spans="1:2" x14ac:dyDescent="0.25">
      <c r="A22477"/>
      <c r="B22477"/>
    </row>
    <row r="22478" spans="1:2" x14ac:dyDescent="0.25">
      <c r="A22478"/>
      <c r="B22478"/>
    </row>
    <row r="22479" spans="1:2" x14ac:dyDescent="0.25">
      <c r="A22479"/>
      <c r="B22479"/>
    </row>
    <row r="22480" spans="1:2" x14ac:dyDescent="0.25">
      <c r="A22480"/>
      <c r="B22480"/>
    </row>
    <row r="22481" spans="1:2" x14ac:dyDescent="0.25">
      <c r="A22481"/>
      <c r="B22481"/>
    </row>
    <row r="22482" spans="1:2" x14ac:dyDescent="0.25">
      <c r="A22482"/>
      <c r="B22482"/>
    </row>
    <row r="22483" spans="1:2" x14ac:dyDescent="0.25">
      <c r="A22483"/>
      <c r="B22483"/>
    </row>
    <row r="22484" spans="1:2" x14ac:dyDescent="0.25">
      <c r="A22484"/>
      <c r="B22484"/>
    </row>
    <row r="22485" spans="1:2" x14ac:dyDescent="0.25">
      <c r="A22485"/>
      <c r="B22485"/>
    </row>
    <row r="22486" spans="1:2" x14ac:dyDescent="0.25">
      <c r="A22486"/>
      <c r="B22486"/>
    </row>
    <row r="22487" spans="1:2" x14ac:dyDescent="0.25">
      <c r="A22487"/>
      <c r="B22487"/>
    </row>
    <row r="22488" spans="1:2" x14ac:dyDescent="0.25">
      <c r="A22488"/>
      <c r="B22488"/>
    </row>
    <row r="22489" spans="1:2" x14ac:dyDescent="0.25">
      <c r="A22489"/>
      <c r="B22489"/>
    </row>
    <row r="22490" spans="1:2" x14ac:dyDescent="0.25">
      <c r="A22490"/>
      <c r="B22490"/>
    </row>
    <row r="22491" spans="1:2" x14ac:dyDescent="0.25">
      <c r="A22491"/>
      <c r="B22491"/>
    </row>
    <row r="22492" spans="1:2" x14ac:dyDescent="0.25">
      <c r="A22492"/>
      <c r="B22492"/>
    </row>
    <row r="22493" spans="1:2" x14ac:dyDescent="0.25">
      <c r="A22493"/>
      <c r="B22493"/>
    </row>
    <row r="22494" spans="1:2" x14ac:dyDescent="0.25">
      <c r="A22494"/>
      <c r="B22494"/>
    </row>
    <row r="22495" spans="1:2" x14ac:dyDescent="0.25">
      <c r="A22495"/>
      <c r="B22495"/>
    </row>
    <row r="22496" spans="1:2" x14ac:dyDescent="0.25">
      <c r="A22496"/>
      <c r="B22496"/>
    </row>
    <row r="22497" spans="1:2" x14ac:dyDescent="0.25">
      <c r="A22497"/>
      <c r="B22497"/>
    </row>
    <row r="22498" spans="1:2" x14ac:dyDescent="0.25">
      <c r="A22498"/>
      <c r="B22498"/>
    </row>
    <row r="22499" spans="1:2" x14ac:dyDescent="0.25">
      <c r="A22499"/>
      <c r="B22499"/>
    </row>
    <row r="22500" spans="1:2" x14ac:dyDescent="0.25">
      <c r="A22500"/>
      <c r="B22500"/>
    </row>
    <row r="22501" spans="1:2" x14ac:dyDescent="0.25">
      <c r="A22501"/>
      <c r="B22501"/>
    </row>
    <row r="22502" spans="1:2" x14ac:dyDescent="0.25">
      <c r="A22502"/>
      <c r="B22502"/>
    </row>
    <row r="22503" spans="1:2" x14ac:dyDescent="0.25">
      <c r="A22503"/>
      <c r="B22503"/>
    </row>
    <row r="22504" spans="1:2" x14ac:dyDescent="0.25">
      <c r="A22504"/>
      <c r="B22504"/>
    </row>
    <row r="22505" spans="1:2" x14ac:dyDescent="0.25">
      <c r="A22505"/>
      <c r="B22505"/>
    </row>
    <row r="22506" spans="1:2" x14ac:dyDescent="0.25">
      <c r="A22506"/>
      <c r="B22506"/>
    </row>
    <row r="22507" spans="1:2" x14ac:dyDescent="0.25">
      <c r="A22507"/>
      <c r="B22507"/>
    </row>
    <row r="22508" spans="1:2" x14ac:dyDescent="0.25">
      <c r="A22508"/>
      <c r="B22508"/>
    </row>
    <row r="22509" spans="1:2" x14ac:dyDescent="0.25">
      <c r="A22509"/>
      <c r="B22509"/>
    </row>
    <row r="22510" spans="1:2" x14ac:dyDescent="0.25">
      <c r="A22510"/>
      <c r="B22510"/>
    </row>
    <row r="22511" spans="1:2" x14ac:dyDescent="0.25">
      <c r="A22511"/>
      <c r="B22511"/>
    </row>
    <row r="22512" spans="1:2" x14ac:dyDescent="0.25">
      <c r="A22512"/>
      <c r="B22512"/>
    </row>
    <row r="22513" spans="1:2" x14ac:dyDescent="0.25">
      <c r="A22513"/>
      <c r="B22513"/>
    </row>
    <row r="22514" spans="1:2" x14ac:dyDescent="0.25">
      <c r="A22514"/>
      <c r="B22514"/>
    </row>
    <row r="22515" spans="1:2" x14ac:dyDescent="0.25">
      <c r="A22515"/>
      <c r="B22515"/>
    </row>
    <row r="22516" spans="1:2" x14ac:dyDescent="0.25">
      <c r="A22516"/>
      <c r="B22516"/>
    </row>
    <row r="22517" spans="1:2" x14ac:dyDescent="0.25">
      <c r="A22517"/>
      <c r="B22517"/>
    </row>
    <row r="22518" spans="1:2" x14ac:dyDescent="0.25">
      <c r="A22518"/>
      <c r="B22518"/>
    </row>
    <row r="22519" spans="1:2" x14ac:dyDescent="0.25">
      <c r="A22519"/>
      <c r="B22519"/>
    </row>
    <row r="22520" spans="1:2" x14ac:dyDescent="0.25">
      <c r="A22520"/>
      <c r="B22520"/>
    </row>
    <row r="22521" spans="1:2" x14ac:dyDescent="0.25">
      <c r="A22521"/>
      <c r="B22521"/>
    </row>
    <row r="22522" spans="1:2" x14ac:dyDescent="0.25">
      <c r="A22522"/>
      <c r="B22522"/>
    </row>
    <row r="22523" spans="1:2" x14ac:dyDescent="0.25">
      <c r="A22523"/>
      <c r="B22523"/>
    </row>
    <row r="22524" spans="1:2" x14ac:dyDescent="0.25">
      <c r="A22524"/>
      <c r="B22524"/>
    </row>
    <row r="22525" spans="1:2" x14ac:dyDescent="0.25">
      <c r="A22525"/>
      <c r="B22525"/>
    </row>
    <row r="22526" spans="1:2" x14ac:dyDescent="0.25">
      <c r="A22526"/>
      <c r="B22526"/>
    </row>
    <row r="22527" spans="1:2" x14ac:dyDescent="0.25">
      <c r="A22527"/>
      <c r="B22527"/>
    </row>
    <row r="22528" spans="1:2" x14ac:dyDescent="0.25">
      <c r="A22528"/>
      <c r="B22528"/>
    </row>
    <row r="22529" spans="1:2" x14ac:dyDescent="0.25">
      <c r="A22529"/>
      <c r="B22529"/>
    </row>
    <row r="22530" spans="1:2" x14ac:dyDescent="0.25">
      <c r="A22530"/>
      <c r="B22530"/>
    </row>
    <row r="22531" spans="1:2" x14ac:dyDescent="0.25">
      <c r="A22531"/>
      <c r="B22531"/>
    </row>
    <row r="22532" spans="1:2" x14ac:dyDescent="0.25">
      <c r="A22532"/>
      <c r="B22532"/>
    </row>
    <row r="22533" spans="1:2" x14ac:dyDescent="0.25">
      <c r="A22533"/>
      <c r="B22533"/>
    </row>
    <row r="22534" spans="1:2" x14ac:dyDescent="0.25">
      <c r="A22534"/>
      <c r="B22534"/>
    </row>
    <row r="22535" spans="1:2" x14ac:dyDescent="0.25">
      <c r="A22535"/>
      <c r="B22535"/>
    </row>
    <row r="22536" spans="1:2" x14ac:dyDescent="0.25">
      <c r="A22536"/>
      <c r="B22536"/>
    </row>
    <row r="22537" spans="1:2" x14ac:dyDescent="0.25">
      <c r="A22537"/>
      <c r="B22537"/>
    </row>
    <row r="22538" spans="1:2" x14ac:dyDescent="0.25">
      <c r="A22538"/>
      <c r="B22538"/>
    </row>
    <row r="22539" spans="1:2" x14ac:dyDescent="0.25">
      <c r="A22539"/>
      <c r="B22539"/>
    </row>
    <row r="22540" spans="1:2" x14ac:dyDescent="0.25">
      <c r="A22540"/>
      <c r="B22540"/>
    </row>
    <row r="22541" spans="1:2" x14ac:dyDescent="0.25">
      <c r="A22541"/>
      <c r="B22541"/>
    </row>
    <row r="22542" spans="1:2" x14ac:dyDescent="0.25">
      <c r="A22542"/>
      <c r="B22542"/>
    </row>
    <row r="22543" spans="1:2" x14ac:dyDescent="0.25">
      <c r="A22543"/>
      <c r="B22543"/>
    </row>
    <row r="22544" spans="1:2" x14ac:dyDescent="0.25">
      <c r="A22544"/>
      <c r="B22544"/>
    </row>
    <row r="22545" spans="1:2" x14ac:dyDescent="0.25">
      <c r="A22545"/>
      <c r="B22545"/>
    </row>
    <row r="22546" spans="1:2" x14ac:dyDescent="0.25">
      <c r="A22546"/>
      <c r="B22546"/>
    </row>
    <row r="22547" spans="1:2" x14ac:dyDescent="0.25">
      <c r="A22547"/>
      <c r="B22547"/>
    </row>
    <row r="22548" spans="1:2" x14ac:dyDescent="0.25">
      <c r="A22548"/>
      <c r="B22548"/>
    </row>
    <row r="22549" spans="1:2" x14ac:dyDescent="0.25">
      <c r="A22549"/>
      <c r="B22549"/>
    </row>
    <row r="22550" spans="1:2" x14ac:dyDescent="0.25">
      <c r="A22550"/>
      <c r="B22550"/>
    </row>
    <row r="22551" spans="1:2" x14ac:dyDescent="0.25">
      <c r="A22551"/>
      <c r="B22551"/>
    </row>
    <row r="22552" spans="1:2" x14ac:dyDescent="0.25">
      <c r="A22552"/>
      <c r="B22552"/>
    </row>
    <row r="22553" spans="1:2" x14ac:dyDescent="0.25">
      <c r="A22553"/>
      <c r="B22553"/>
    </row>
    <row r="22554" spans="1:2" x14ac:dyDescent="0.25">
      <c r="A22554"/>
      <c r="B22554"/>
    </row>
    <row r="22555" spans="1:2" x14ac:dyDescent="0.25">
      <c r="A22555"/>
      <c r="B22555"/>
    </row>
    <row r="22556" spans="1:2" x14ac:dyDescent="0.25">
      <c r="A22556"/>
      <c r="B22556"/>
    </row>
    <row r="22557" spans="1:2" x14ac:dyDescent="0.25">
      <c r="A22557"/>
      <c r="B22557"/>
    </row>
    <row r="22558" spans="1:2" x14ac:dyDescent="0.25">
      <c r="A22558"/>
      <c r="B22558"/>
    </row>
    <row r="22559" spans="1:2" x14ac:dyDescent="0.25">
      <c r="A22559"/>
      <c r="B22559"/>
    </row>
    <row r="22560" spans="1:2" x14ac:dyDescent="0.25">
      <c r="A22560"/>
      <c r="B22560"/>
    </row>
    <row r="22561" spans="1:2" x14ac:dyDescent="0.25">
      <c r="A22561"/>
      <c r="B22561"/>
    </row>
    <row r="22562" spans="1:2" x14ac:dyDescent="0.25">
      <c r="A22562"/>
      <c r="B22562"/>
    </row>
    <row r="22563" spans="1:2" x14ac:dyDescent="0.25">
      <c r="A22563"/>
      <c r="B22563"/>
    </row>
    <row r="22564" spans="1:2" x14ac:dyDescent="0.25">
      <c r="A22564"/>
      <c r="B22564"/>
    </row>
    <row r="22565" spans="1:2" x14ac:dyDescent="0.25">
      <c r="A22565"/>
      <c r="B22565"/>
    </row>
    <row r="22566" spans="1:2" x14ac:dyDescent="0.25">
      <c r="A22566"/>
      <c r="B22566"/>
    </row>
    <row r="22567" spans="1:2" x14ac:dyDescent="0.25">
      <c r="A22567"/>
      <c r="B22567"/>
    </row>
    <row r="22568" spans="1:2" x14ac:dyDescent="0.25">
      <c r="A22568"/>
      <c r="B22568"/>
    </row>
    <row r="22569" spans="1:2" x14ac:dyDescent="0.25">
      <c r="A22569"/>
      <c r="B22569"/>
    </row>
    <row r="22570" spans="1:2" x14ac:dyDescent="0.25">
      <c r="A22570"/>
      <c r="B22570"/>
    </row>
    <row r="22571" spans="1:2" x14ac:dyDescent="0.25">
      <c r="A22571"/>
      <c r="B22571"/>
    </row>
    <row r="22572" spans="1:2" x14ac:dyDescent="0.25">
      <c r="A22572"/>
      <c r="B22572"/>
    </row>
    <row r="22573" spans="1:2" x14ac:dyDescent="0.25">
      <c r="A22573"/>
      <c r="B22573"/>
    </row>
    <row r="22574" spans="1:2" x14ac:dyDescent="0.25">
      <c r="A22574"/>
      <c r="B22574"/>
    </row>
    <row r="22575" spans="1:2" x14ac:dyDescent="0.25">
      <c r="A22575"/>
      <c r="B22575"/>
    </row>
    <row r="22576" spans="1:2" x14ac:dyDescent="0.25">
      <c r="A22576"/>
      <c r="B22576"/>
    </row>
    <row r="22577" spans="1:2" x14ac:dyDescent="0.25">
      <c r="A22577"/>
      <c r="B22577"/>
    </row>
    <row r="22578" spans="1:2" x14ac:dyDescent="0.25">
      <c r="A22578"/>
      <c r="B22578"/>
    </row>
    <row r="22579" spans="1:2" x14ac:dyDescent="0.25">
      <c r="A22579"/>
      <c r="B22579"/>
    </row>
    <row r="22580" spans="1:2" x14ac:dyDescent="0.25">
      <c r="A22580"/>
      <c r="B22580"/>
    </row>
    <row r="22581" spans="1:2" x14ac:dyDescent="0.25">
      <c r="A22581"/>
      <c r="B22581"/>
    </row>
    <row r="22582" spans="1:2" x14ac:dyDescent="0.25">
      <c r="A22582"/>
      <c r="B22582"/>
    </row>
    <row r="22583" spans="1:2" x14ac:dyDescent="0.25">
      <c r="A22583"/>
      <c r="B22583"/>
    </row>
    <row r="22584" spans="1:2" x14ac:dyDescent="0.25">
      <c r="A22584"/>
      <c r="B22584"/>
    </row>
    <row r="22585" spans="1:2" x14ac:dyDescent="0.25">
      <c r="A22585"/>
      <c r="B22585"/>
    </row>
    <row r="22586" spans="1:2" x14ac:dyDescent="0.25">
      <c r="A22586"/>
      <c r="B22586"/>
    </row>
    <row r="22587" spans="1:2" x14ac:dyDescent="0.25">
      <c r="A22587"/>
      <c r="B22587"/>
    </row>
    <row r="22588" spans="1:2" x14ac:dyDescent="0.25">
      <c r="A22588"/>
      <c r="B22588"/>
    </row>
    <row r="22589" spans="1:2" x14ac:dyDescent="0.25">
      <c r="A22589"/>
      <c r="B22589"/>
    </row>
    <row r="22590" spans="1:2" x14ac:dyDescent="0.25">
      <c r="A22590"/>
      <c r="B22590"/>
    </row>
    <row r="22591" spans="1:2" x14ac:dyDescent="0.25">
      <c r="A22591"/>
      <c r="B22591"/>
    </row>
    <row r="22592" spans="1:2" x14ac:dyDescent="0.25">
      <c r="A22592"/>
      <c r="B22592"/>
    </row>
    <row r="22593" spans="1:2" x14ac:dyDescent="0.25">
      <c r="A22593"/>
      <c r="B22593"/>
    </row>
    <row r="22594" spans="1:2" x14ac:dyDescent="0.25">
      <c r="A22594"/>
      <c r="B22594"/>
    </row>
    <row r="22595" spans="1:2" x14ac:dyDescent="0.25">
      <c r="A22595"/>
      <c r="B22595"/>
    </row>
    <row r="22596" spans="1:2" x14ac:dyDescent="0.25">
      <c r="A22596"/>
      <c r="B22596"/>
    </row>
    <row r="22597" spans="1:2" x14ac:dyDescent="0.25">
      <c r="A22597"/>
      <c r="B22597"/>
    </row>
    <row r="22598" spans="1:2" x14ac:dyDescent="0.25">
      <c r="A22598"/>
      <c r="B22598"/>
    </row>
    <row r="22599" spans="1:2" x14ac:dyDescent="0.25">
      <c r="A22599"/>
      <c r="B22599"/>
    </row>
    <row r="22600" spans="1:2" x14ac:dyDescent="0.25">
      <c r="A22600"/>
      <c r="B22600"/>
    </row>
    <row r="22601" spans="1:2" x14ac:dyDescent="0.25">
      <c r="A22601"/>
      <c r="B22601"/>
    </row>
    <row r="22602" spans="1:2" x14ac:dyDescent="0.25">
      <c r="A22602"/>
      <c r="B22602"/>
    </row>
    <row r="22603" spans="1:2" x14ac:dyDescent="0.25">
      <c r="A22603"/>
      <c r="B22603"/>
    </row>
    <row r="22604" spans="1:2" x14ac:dyDescent="0.25">
      <c r="A22604"/>
      <c r="B22604"/>
    </row>
    <row r="22605" spans="1:2" x14ac:dyDescent="0.25">
      <c r="A22605"/>
      <c r="B22605"/>
    </row>
    <row r="22606" spans="1:2" x14ac:dyDescent="0.25">
      <c r="A22606"/>
      <c r="B22606"/>
    </row>
    <row r="22607" spans="1:2" x14ac:dyDescent="0.25">
      <c r="A22607"/>
      <c r="B22607"/>
    </row>
    <row r="22608" spans="1:2" x14ac:dyDescent="0.25">
      <c r="A22608"/>
      <c r="B22608"/>
    </row>
    <row r="22609" spans="1:2" x14ac:dyDescent="0.25">
      <c r="A22609"/>
      <c r="B22609"/>
    </row>
    <row r="22610" spans="1:2" x14ac:dyDescent="0.25">
      <c r="A22610"/>
      <c r="B22610"/>
    </row>
    <row r="22611" spans="1:2" x14ac:dyDescent="0.25">
      <c r="A22611"/>
      <c r="B22611"/>
    </row>
    <row r="22612" spans="1:2" x14ac:dyDescent="0.25">
      <c r="A22612"/>
      <c r="B22612"/>
    </row>
    <row r="22613" spans="1:2" x14ac:dyDescent="0.25">
      <c r="A22613"/>
      <c r="B22613"/>
    </row>
    <row r="22614" spans="1:2" x14ac:dyDescent="0.25">
      <c r="A22614"/>
      <c r="B22614"/>
    </row>
    <row r="22615" spans="1:2" x14ac:dyDescent="0.25">
      <c r="A22615"/>
      <c r="B22615"/>
    </row>
    <row r="22616" spans="1:2" x14ac:dyDescent="0.25">
      <c r="A22616"/>
      <c r="B22616"/>
    </row>
    <row r="22617" spans="1:2" x14ac:dyDescent="0.25">
      <c r="A22617"/>
      <c r="B22617"/>
    </row>
    <row r="22618" spans="1:2" x14ac:dyDescent="0.25">
      <c r="A22618"/>
      <c r="B22618"/>
    </row>
    <row r="22619" spans="1:2" x14ac:dyDescent="0.25">
      <c r="A22619"/>
      <c r="B22619"/>
    </row>
    <row r="22620" spans="1:2" x14ac:dyDescent="0.25">
      <c r="A22620"/>
      <c r="B22620"/>
    </row>
    <row r="22621" spans="1:2" x14ac:dyDescent="0.25">
      <c r="A22621"/>
      <c r="B22621"/>
    </row>
    <row r="22622" spans="1:2" x14ac:dyDescent="0.25">
      <c r="A22622"/>
      <c r="B22622"/>
    </row>
    <row r="22623" spans="1:2" x14ac:dyDescent="0.25">
      <c r="A22623"/>
      <c r="B22623"/>
    </row>
    <row r="22624" spans="1:2" x14ac:dyDescent="0.25">
      <c r="A22624"/>
      <c r="B22624"/>
    </row>
    <row r="22625" spans="1:2" x14ac:dyDescent="0.25">
      <c r="A22625"/>
      <c r="B22625"/>
    </row>
    <row r="22626" spans="1:2" x14ac:dyDescent="0.25">
      <c r="A22626"/>
      <c r="B22626"/>
    </row>
    <row r="22627" spans="1:2" x14ac:dyDescent="0.25">
      <c r="A22627"/>
      <c r="B22627"/>
    </row>
    <row r="22628" spans="1:2" x14ac:dyDescent="0.25">
      <c r="A22628"/>
      <c r="B22628"/>
    </row>
    <row r="22629" spans="1:2" x14ac:dyDescent="0.25">
      <c r="A22629"/>
      <c r="B22629"/>
    </row>
    <row r="22630" spans="1:2" x14ac:dyDescent="0.25">
      <c r="A22630"/>
      <c r="B22630"/>
    </row>
    <row r="22631" spans="1:2" x14ac:dyDescent="0.25">
      <c r="A22631"/>
      <c r="B22631"/>
    </row>
    <row r="22632" spans="1:2" x14ac:dyDescent="0.25">
      <c r="A22632"/>
      <c r="B22632"/>
    </row>
    <row r="22633" spans="1:2" x14ac:dyDescent="0.25">
      <c r="A22633"/>
      <c r="B22633"/>
    </row>
    <row r="22634" spans="1:2" x14ac:dyDescent="0.25">
      <c r="A22634"/>
      <c r="B22634"/>
    </row>
    <row r="22635" spans="1:2" x14ac:dyDescent="0.25">
      <c r="A22635"/>
      <c r="B22635"/>
    </row>
    <row r="22636" spans="1:2" x14ac:dyDescent="0.25">
      <c r="A22636"/>
      <c r="B22636"/>
    </row>
    <row r="22637" spans="1:2" x14ac:dyDescent="0.25">
      <c r="A22637"/>
      <c r="B22637"/>
    </row>
    <row r="22638" spans="1:2" x14ac:dyDescent="0.25">
      <c r="A22638"/>
      <c r="B22638"/>
    </row>
    <row r="22639" spans="1:2" x14ac:dyDescent="0.25">
      <c r="A22639"/>
      <c r="B22639"/>
    </row>
    <row r="22640" spans="1:2" x14ac:dyDescent="0.25">
      <c r="A22640"/>
      <c r="B22640"/>
    </row>
    <row r="22641" spans="1:2" x14ac:dyDescent="0.25">
      <c r="A22641"/>
      <c r="B22641"/>
    </row>
    <row r="22642" spans="1:2" x14ac:dyDescent="0.25">
      <c r="A22642"/>
      <c r="B22642"/>
    </row>
    <row r="22643" spans="1:2" x14ac:dyDescent="0.25">
      <c r="A22643"/>
      <c r="B22643"/>
    </row>
    <row r="22644" spans="1:2" x14ac:dyDescent="0.25">
      <c r="A22644"/>
      <c r="B22644"/>
    </row>
    <row r="22645" spans="1:2" x14ac:dyDescent="0.25">
      <c r="A22645"/>
      <c r="B22645"/>
    </row>
    <row r="22646" spans="1:2" x14ac:dyDescent="0.25">
      <c r="A22646"/>
      <c r="B22646"/>
    </row>
    <row r="22647" spans="1:2" x14ac:dyDescent="0.25">
      <c r="A22647"/>
      <c r="B22647"/>
    </row>
    <row r="22648" spans="1:2" x14ac:dyDescent="0.25">
      <c r="A22648"/>
      <c r="B22648"/>
    </row>
    <row r="22649" spans="1:2" x14ac:dyDescent="0.25">
      <c r="A22649"/>
      <c r="B22649"/>
    </row>
    <row r="22650" spans="1:2" x14ac:dyDescent="0.25">
      <c r="A22650"/>
      <c r="B22650"/>
    </row>
    <row r="22651" spans="1:2" x14ac:dyDescent="0.25">
      <c r="A22651"/>
      <c r="B22651"/>
    </row>
    <row r="22652" spans="1:2" x14ac:dyDescent="0.25">
      <c r="A22652"/>
      <c r="B22652"/>
    </row>
    <row r="22653" spans="1:2" x14ac:dyDescent="0.25">
      <c r="A22653"/>
      <c r="B22653"/>
    </row>
    <row r="22654" spans="1:2" x14ac:dyDescent="0.25">
      <c r="A22654"/>
      <c r="B22654"/>
    </row>
    <row r="22655" spans="1:2" x14ac:dyDescent="0.25">
      <c r="A22655"/>
      <c r="B22655"/>
    </row>
    <row r="22656" spans="1:2" x14ac:dyDescent="0.25">
      <c r="A22656"/>
      <c r="B22656"/>
    </row>
    <row r="22657" spans="1:2" x14ac:dyDescent="0.25">
      <c r="A22657"/>
      <c r="B22657"/>
    </row>
    <row r="22658" spans="1:2" x14ac:dyDescent="0.25">
      <c r="A22658"/>
      <c r="B22658"/>
    </row>
    <row r="22659" spans="1:2" x14ac:dyDescent="0.25">
      <c r="A22659"/>
      <c r="B22659"/>
    </row>
    <row r="22660" spans="1:2" x14ac:dyDescent="0.25">
      <c r="A22660"/>
      <c r="B22660"/>
    </row>
    <row r="22661" spans="1:2" x14ac:dyDescent="0.25">
      <c r="A22661"/>
      <c r="B22661"/>
    </row>
    <row r="22662" spans="1:2" x14ac:dyDescent="0.25">
      <c r="A22662"/>
      <c r="B22662"/>
    </row>
    <row r="22663" spans="1:2" x14ac:dyDescent="0.25">
      <c r="A22663"/>
      <c r="B22663"/>
    </row>
    <row r="22664" spans="1:2" x14ac:dyDescent="0.25">
      <c r="A22664"/>
      <c r="B22664"/>
    </row>
    <row r="22665" spans="1:2" x14ac:dyDescent="0.25">
      <c r="A22665"/>
      <c r="B22665"/>
    </row>
    <row r="22666" spans="1:2" x14ac:dyDescent="0.25">
      <c r="A22666"/>
      <c r="B22666"/>
    </row>
    <row r="22667" spans="1:2" x14ac:dyDescent="0.25">
      <c r="A22667"/>
      <c r="B22667"/>
    </row>
    <row r="22668" spans="1:2" x14ac:dyDescent="0.25">
      <c r="A22668"/>
      <c r="B22668"/>
    </row>
    <row r="22669" spans="1:2" x14ac:dyDescent="0.25">
      <c r="A22669"/>
      <c r="B22669"/>
    </row>
    <row r="22670" spans="1:2" x14ac:dyDescent="0.25">
      <c r="A22670"/>
      <c r="B22670"/>
    </row>
    <row r="22671" spans="1:2" x14ac:dyDescent="0.25">
      <c r="A22671"/>
      <c r="B22671"/>
    </row>
    <row r="22672" spans="1:2" x14ac:dyDescent="0.25">
      <c r="A22672"/>
      <c r="B22672"/>
    </row>
    <row r="22673" spans="1:2" x14ac:dyDescent="0.25">
      <c r="A22673"/>
      <c r="B22673"/>
    </row>
    <row r="22674" spans="1:2" x14ac:dyDescent="0.25">
      <c r="A22674"/>
      <c r="B22674"/>
    </row>
    <row r="22675" spans="1:2" x14ac:dyDescent="0.25">
      <c r="A22675"/>
      <c r="B22675"/>
    </row>
    <row r="22676" spans="1:2" x14ac:dyDescent="0.25">
      <c r="A22676"/>
      <c r="B22676"/>
    </row>
    <row r="22677" spans="1:2" x14ac:dyDescent="0.25">
      <c r="A22677"/>
      <c r="B22677"/>
    </row>
    <row r="22678" spans="1:2" x14ac:dyDescent="0.25">
      <c r="A22678"/>
      <c r="B22678"/>
    </row>
    <row r="22679" spans="1:2" x14ac:dyDescent="0.25">
      <c r="A22679"/>
      <c r="B22679"/>
    </row>
    <row r="22680" spans="1:2" x14ac:dyDescent="0.25">
      <c r="A22680"/>
      <c r="B22680"/>
    </row>
    <row r="22681" spans="1:2" x14ac:dyDescent="0.25">
      <c r="A22681"/>
      <c r="B22681"/>
    </row>
    <row r="22682" spans="1:2" x14ac:dyDescent="0.25">
      <c r="A22682"/>
      <c r="B22682"/>
    </row>
    <row r="22683" spans="1:2" x14ac:dyDescent="0.25">
      <c r="A22683"/>
      <c r="B22683"/>
    </row>
    <row r="22684" spans="1:2" x14ac:dyDescent="0.25">
      <c r="A22684"/>
      <c r="B22684"/>
    </row>
    <row r="22685" spans="1:2" x14ac:dyDescent="0.25">
      <c r="A22685"/>
      <c r="B22685"/>
    </row>
    <row r="22686" spans="1:2" x14ac:dyDescent="0.25">
      <c r="A22686"/>
      <c r="B22686"/>
    </row>
    <row r="22687" spans="1:2" x14ac:dyDescent="0.25">
      <c r="A22687"/>
      <c r="B22687"/>
    </row>
    <row r="22688" spans="1:2" x14ac:dyDescent="0.25">
      <c r="A22688"/>
      <c r="B22688"/>
    </row>
    <row r="22689" spans="1:2" x14ac:dyDescent="0.25">
      <c r="A22689"/>
      <c r="B22689"/>
    </row>
    <row r="22690" spans="1:2" x14ac:dyDescent="0.25">
      <c r="A22690"/>
      <c r="B22690"/>
    </row>
    <row r="22691" spans="1:2" x14ac:dyDescent="0.25">
      <c r="A22691"/>
      <c r="B22691"/>
    </row>
    <row r="22692" spans="1:2" x14ac:dyDescent="0.25">
      <c r="A22692"/>
      <c r="B22692"/>
    </row>
    <row r="22693" spans="1:2" x14ac:dyDescent="0.25">
      <c r="A22693"/>
      <c r="B22693"/>
    </row>
    <row r="22694" spans="1:2" x14ac:dyDescent="0.25">
      <c r="A22694"/>
      <c r="B22694"/>
    </row>
    <row r="22695" spans="1:2" x14ac:dyDescent="0.25">
      <c r="A22695"/>
      <c r="B22695"/>
    </row>
    <row r="22696" spans="1:2" x14ac:dyDescent="0.25">
      <c r="A22696"/>
      <c r="B22696"/>
    </row>
    <row r="22697" spans="1:2" x14ac:dyDescent="0.25">
      <c r="A22697"/>
      <c r="B22697"/>
    </row>
    <row r="22698" spans="1:2" x14ac:dyDescent="0.25">
      <c r="A22698"/>
      <c r="B22698"/>
    </row>
    <row r="22699" spans="1:2" x14ac:dyDescent="0.25">
      <c r="A22699"/>
      <c r="B22699"/>
    </row>
    <row r="22700" spans="1:2" x14ac:dyDescent="0.25">
      <c r="A22700"/>
      <c r="B22700"/>
    </row>
    <row r="22701" spans="1:2" x14ac:dyDescent="0.25">
      <c r="A22701"/>
      <c r="B22701"/>
    </row>
    <row r="22702" spans="1:2" x14ac:dyDescent="0.25">
      <c r="A22702"/>
      <c r="B22702"/>
    </row>
    <row r="22703" spans="1:2" x14ac:dyDescent="0.25">
      <c r="A22703"/>
      <c r="B22703"/>
    </row>
    <row r="22704" spans="1:2" x14ac:dyDescent="0.25">
      <c r="A22704"/>
      <c r="B22704"/>
    </row>
    <row r="22705" spans="1:2" x14ac:dyDescent="0.25">
      <c r="A22705"/>
      <c r="B22705"/>
    </row>
    <row r="22706" spans="1:2" x14ac:dyDescent="0.25">
      <c r="A22706"/>
      <c r="B22706"/>
    </row>
    <row r="22707" spans="1:2" x14ac:dyDescent="0.25">
      <c r="A22707"/>
      <c r="B22707"/>
    </row>
    <row r="22708" spans="1:2" x14ac:dyDescent="0.25">
      <c r="A22708"/>
      <c r="B22708"/>
    </row>
    <row r="22709" spans="1:2" x14ac:dyDescent="0.25">
      <c r="A22709"/>
      <c r="B22709"/>
    </row>
    <row r="22710" spans="1:2" x14ac:dyDescent="0.25">
      <c r="A22710"/>
      <c r="B22710"/>
    </row>
    <row r="22711" spans="1:2" x14ac:dyDescent="0.25">
      <c r="A22711"/>
      <c r="B22711"/>
    </row>
    <row r="22712" spans="1:2" x14ac:dyDescent="0.25">
      <c r="A22712"/>
      <c r="B22712"/>
    </row>
    <row r="22713" spans="1:2" x14ac:dyDescent="0.25">
      <c r="A22713"/>
      <c r="B22713"/>
    </row>
    <row r="22714" spans="1:2" x14ac:dyDescent="0.25">
      <c r="A22714"/>
      <c r="B22714"/>
    </row>
    <row r="22715" spans="1:2" x14ac:dyDescent="0.25">
      <c r="A22715"/>
      <c r="B22715"/>
    </row>
    <row r="22716" spans="1:2" x14ac:dyDescent="0.25">
      <c r="A22716"/>
      <c r="B22716"/>
    </row>
    <row r="22717" spans="1:2" x14ac:dyDescent="0.25">
      <c r="A22717"/>
      <c r="B22717"/>
    </row>
    <row r="22718" spans="1:2" x14ac:dyDescent="0.25">
      <c r="A22718"/>
      <c r="B22718"/>
    </row>
    <row r="22719" spans="1:2" x14ac:dyDescent="0.25">
      <c r="A22719"/>
      <c r="B22719"/>
    </row>
    <row r="22720" spans="1:2" x14ac:dyDescent="0.25">
      <c r="A22720"/>
      <c r="B22720"/>
    </row>
    <row r="22721" spans="1:2" x14ac:dyDescent="0.25">
      <c r="A22721"/>
      <c r="B22721"/>
    </row>
    <row r="22722" spans="1:2" x14ac:dyDescent="0.25">
      <c r="A22722"/>
      <c r="B22722"/>
    </row>
    <row r="22723" spans="1:2" x14ac:dyDescent="0.25">
      <c r="A22723"/>
      <c r="B22723"/>
    </row>
    <row r="22724" spans="1:2" x14ac:dyDescent="0.25">
      <c r="A22724"/>
      <c r="B22724"/>
    </row>
    <row r="22725" spans="1:2" x14ac:dyDescent="0.25">
      <c r="A22725"/>
      <c r="B22725"/>
    </row>
    <row r="22726" spans="1:2" x14ac:dyDescent="0.25">
      <c r="A22726"/>
      <c r="B22726"/>
    </row>
    <row r="22727" spans="1:2" x14ac:dyDescent="0.25">
      <c r="A22727"/>
      <c r="B22727"/>
    </row>
    <row r="22728" spans="1:2" x14ac:dyDescent="0.25">
      <c r="A22728"/>
      <c r="B22728"/>
    </row>
    <row r="22729" spans="1:2" x14ac:dyDescent="0.25">
      <c r="A22729"/>
      <c r="B22729"/>
    </row>
    <row r="22730" spans="1:2" x14ac:dyDescent="0.25">
      <c r="A22730"/>
      <c r="B22730"/>
    </row>
    <row r="22731" spans="1:2" x14ac:dyDescent="0.25">
      <c r="A22731"/>
      <c r="B22731"/>
    </row>
    <row r="22732" spans="1:2" x14ac:dyDescent="0.25">
      <c r="A22732"/>
      <c r="B22732"/>
    </row>
    <row r="22733" spans="1:2" x14ac:dyDescent="0.25">
      <c r="A22733"/>
      <c r="B22733"/>
    </row>
    <row r="22734" spans="1:2" x14ac:dyDescent="0.25">
      <c r="A22734"/>
      <c r="B22734"/>
    </row>
    <row r="22735" spans="1:2" x14ac:dyDescent="0.25">
      <c r="A22735"/>
      <c r="B22735"/>
    </row>
    <row r="22736" spans="1:2" x14ac:dyDescent="0.25">
      <c r="A22736"/>
      <c r="B22736"/>
    </row>
    <row r="22737" spans="1:2" x14ac:dyDescent="0.25">
      <c r="A22737"/>
      <c r="B22737"/>
    </row>
    <row r="22738" spans="1:2" x14ac:dyDescent="0.25">
      <c r="A22738"/>
      <c r="B22738"/>
    </row>
    <row r="22739" spans="1:2" x14ac:dyDescent="0.25">
      <c r="A22739"/>
      <c r="B22739"/>
    </row>
    <row r="22740" spans="1:2" x14ac:dyDescent="0.25">
      <c r="A22740"/>
      <c r="B22740"/>
    </row>
    <row r="22741" spans="1:2" x14ac:dyDescent="0.25">
      <c r="A22741"/>
      <c r="B22741"/>
    </row>
    <row r="22742" spans="1:2" x14ac:dyDescent="0.25">
      <c r="A22742"/>
      <c r="B22742"/>
    </row>
    <row r="22743" spans="1:2" x14ac:dyDescent="0.25">
      <c r="A22743"/>
      <c r="B22743"/>
    </row>
    <row r="22744" spans="1:2" x14ac:dyDescent="0.25">
      <c r="A22744"/>
      <c r="B22744"/>
    </row>
    <row r="22745" spans="1:2" x14ac:dyDescent="0.25">
      <c r="A22745"/>
      <c r="B22745"/>
    </row>
    <row r="22746" spans="1:2" x14ac:dyDescent="0.25">
      <c r="A22746"/>
      <c r="B22746"/>
    </row>
    <row r="22747" spans="1:2" x14ac:dyDescent="0.25">
      <c r="A22747"/>
      <c r="B22747"/>
    </row>
    <row r="22748" spans="1:2" x14ac:dyDescent="0.25">
      <c r="A22748"/>
      <c r="B22748"/>
    </row>
    <row r="22749" spans="1:2" x14ac:dyDescent="0.25">
      <c r="A22749"/>
      <c r="B22749"/>
    </row>
    <row r="22750" spans="1:2" x14ac:dyDescent="0.25">
      <c r="A22750"/>
      <c r="B22750"/>
    </row>
    <row r="22751" spans="1:2" x14ac:dyDescent="0.25">
      <c r="A22751"/>
      <c r="B22751"/>
    </row>
    <row r="22752" spans="1:2" x14ac:dyDescent="0.25">
      <c r="A22752"/>
      <c r="B22752"/>
    </row>
    <row r="22753" spans="1:2" x14ac:dyDescent="0.25">
      <c r="A22753"/>
      <c r="B22753"/>
    </row>
    <row r="22754" spans="1:2" x14ac:dyDescent="0.25">
      <c r="A22754"/>
      <c r="B22754"/>
    </row>
    <row r="22755" spans="1:2" x14ac:dyDescent="0.25">
      <c r="A22755"/>
      <c r="B22755"/>
    </row>
    <row r="22756" spans="1:2" x14ac:dyDescent="0.25">
      <c r="A22756"/>
      <c r="B22756"/>
    </row>
    <row r="22757" spans="1:2" x14ac:dyDescent="0.25">
      <c r="A22757"/>
      <c r="B22757"/>
    </row>
    <row r="22758" spans="1:2" x14ac:dyDescent="0.25">
      <c r="A22758"/>
      <c r="B22758"/>
    </row>
    <row r="22759" spans="1:2" x14ac:dyDescent="0.25">
      <c r="A22759"/>
      <c r="B22759"/>
    </row>
    <row r="22760" spans="1:2" x14ac:dyDescent="0.25">
      <c r="A22760"/>
      <c r="B22760"/>
    </row>
    <row r="22761" spans="1:2" x14ac:dyDescent="0.25">
      <c r="A22761"/>
      <c r="B22761"/>
    </row>
    <row r="22762" spans="1:2" x14ac:dyDescent="0.25">
      <c r="A22762"/>
      <c r="B22762"/>
    </row>
    <row r="22763" spans="1:2" x14ac:dyDescent="0.25">
      <c r="A22763"/>
      <c r="B22763"/>
    </row>
    <row r="22764" spans="1:2" x14ac:dyDescent="0.25">
      <c r="A22764"/>
      <c r="B22764"/>
    </row>
    <row r="22765" spans="1:2" x14ac:dyDescent="0.25">
      <c r="A22765"/>
      <c r="B22765"/>
    </row>
    <row r="22766" spans="1:2" x14ac:dyDescent="0.25">
      <c r="A22766"/>
      <c r="B22766"/>
    </row>
    <row r="22767" spans="1:2" x14ac:dyDescent="0.25">
      <c r="A22767"/>
      <c r="B22767"/>
    </row>
    <row r="22768" spans="1:2" x14ac:dyDescent="0.25">
      <c r="A22768"/>
      <c r="B22768"/>
    </row>
    <row r="22769" spans="1:2" x14ac:dyDescent="0.25">
      <c r="A22769"/>
      <c r="B22769"/>
    </row>
    <row r="22770" spans="1:2" x14ac:dyDescent="0.25">
      <c r="A22770"/>
      <c r="B22770"/>
    </row>
    <row r="22771" spans="1:2" x14ac:dyDescent="0.25">
      <c r="A22771"/>
      <c r="B22771"/>
    </row>
    <row r="22772" spans="1:2" x14ac:dyDescent="0.25">
      <c r="A22772"/>
      <c r="B22772"/>
    </row>
    <row r="22773" spans="1:2" x14ac:dyDescent="0.25">
      <c r="A22773"/>
      <c r="B22773"/>
    </row>
    <row r="22774" spans="1:2" x14ac:dyDescent="0.25">
      <c r="A22774"/>
      <c r="B22774"/>
    </row>
    <row r="22775" spans="1:2" x14ac:dyDescent="0.25">
      <c r="A22775"/>
      <c r="B22775"/>
    </row>
    <row r="22776" spans="1:2" x14ac:dyDescent="0.25">
      <c r="A22776"/>
      <c r="B22776"/>
    </row>
    <row r="22777" spans="1:2" x14ac:dyDescent="0.25">
      <c r="A22777"/>
      <c r="B22777"/>
    </row>
    <row r="22778" spans="1:2" x14ac:dyDescent="0.25">
      <c r="A22778"/>
      <c r="B22778"/>
    </row>
    <row r="22779" spans="1:2" x14ac:dyDescent="0.25">
      <c r="A22779"/>
      <c r="B22779"/>
    </row>
    <row r="22780" spans="1:2" x14ac:dyDescent="0.25">
      <c r="A22780"/>
      <c r="B22780"/>
    </row>
    <row r="22781" spans="1:2" x14ac:dyDescent="0.25">
      <c r="A22781"/>
      <c r="B22781"/>
    </row>
    <row r="22782" spans="1:2" x14ac:dyDescent="0.25">
      <c r="A22782"/>
      <c r="B22782"/>
    </row>
    <row r="22783" spans="1:2" x14ac:dyDescent="0.25">
      <c r="A22783"/>
      <c r="B22783"/>
    </row>
    <row r="22784" spans="1:2" x14ac:dyDescent="0.25">
      <c r="A22784"/>
      <c r="B22784"/>
    </row>
    <row r="22785" spans="1:2" x14ac:dyDescent="0.25">
      <c r="A22785"/>
      <c r="B22785"/>
    </row>
    <row r="22786" spans="1:2" x14ac:dyDescent="0.25">
      <c r="A22786"/>
      <c r="B22786"/>
    </row>
    <row r="22787" spans="1:2" x14ac:dyDescent="0.25">
      <c r="A22787"/>
      <c r="B22787"/>
    </row>
    <row r="22788" spans="1:2" x14ac:dyDescent="0.25">
      <c r="A22788"/>
      <c r="B22788"/>
    </row>
    <row r="22789" spans="1:2" x14ac:dyDescent="0.25">
      <c r="A22789"/>
      <c r="B22789"/>
    </row>
    <row r="22790" spans="1:2" x14ac:dyDescent="0.25">
      <c r="A22790"/>
      <c r="B22790"/>
    </row>
    <row r="22791" spans="1:2" x14ac:dyDescent="0.25">
      <c r="A22791"/>
      <c r="B22791"/>
    </row>
    <row r="22792" spans="1:2" x14ac:dyDescent="0.25">
      <c r="A22792"/>
      <c r="B22792"/>
    </row>
    <row r="22793" spans="1:2" x14ac:dyDescent="0.25">
      <c r="A22793"/>
      <c r="B22793"/>
    </row>
    <row r="22794" spans="1:2" x14ac:dyDescent="0.25">
      <c r="A22794"/>
      <c r="B22794"/>
    </row>
    <row r="22795" spans="1:2" x14ac:dyDescent="0.25">
      <c r="A22795"/>
      <c r="B22795"/>
    </row>
    <row r="22796" spans="1:2" x14ac:dyDescent="0.25">
      <c r="A22796"/>
      <c r="B22796"/>
    </row>
    <row r="22797" spans="1:2" x14ac:dyDescent="0.25">
      <c r="A22797"/>
      <c r="B22797"/>
    </row>
    <row r="22798" spans="1:2" x14ac:dyDescent="0.25">
      <c r="A22798"/>
      <c r="B22798"/>
    </row>
    <row r="22799" spans="1:2" x14ac:dyDescent="0.25">
      <c r="A22799"/>
      <c r="B22799"/>
    </row>
    <row r="22800" spans="1:2" x14ac:dyDescent="0.25">
      <c r="A22800"/>
      <c r="B22800"/>
    </row>
    <row r="22801" spans="1:2" x14ac:dyDescent="0.25">
      <c r="A22801"/>
      <c r="B22801"/>
    </row>
    <row r="22802" spans="1:2" x14ac:dyDescent="0.25">
      <c r="A22802"/>
      <c r="B22802"/>
    </row>
    <row r="22803" spans="1:2" x14ac:dyDescent="0.25">
      <c r="A22803"/>
      <c r="B22803"/>
    </row>
    <row r="22804" spans="1:2" x14ac:dyDescent="0.25">
      <c r="A22804"/>
      <c r="B22804"/>
    </row>
    <row r="22805" spans="1:2" x14ac:dyDescent="0.25">
      <c r="A22805"/>
      <c r="B22805"/>
    </row>
    <row r="22806" spans="1:2" x14ac:dyDescent="0.25">
      <c r="A22806"/>
      <c r="B22806"/>
    </row>
    <row r="22807" spans="1:2" x14ac:dyDescent="0.25">
      <c r="A22807"/>
      <c r="B22807"/>
    </row>
    <row r="22808" spans="1:2" x14ac:dyDescent="0.25">
      <c r="A22808"/>
      <c r="B22808"/>
    </row>
    <row r="22809" spans="1:2" x14ac:dyDescent="0.25">
      <c r="A22809"/>
      <c r="B22809"/>
    </row>
    <row r="22810" spans="1:2" x14ac:dyDescent="0.25">
      <c r="A22810"/>
      <c r="B22810"/>
    </row>
    <row r="22811" spans="1:2" x14ac:dyDescent="0.25">
      <c r="A22811"/>
      <c r="B22811"/>
    </row>
    <row r="22812" spans="1:2" x14ac:dyDescent="0.25">
      <c r="A22812"/>
      <c r="B22812"/>
    </row>
    <row r="22813" spans="1:2" x14ac:dyDescent="0.25">
      <c r="A22813"/>
      <c r="B22813"/>
    </row>
    <row r="22814" spans="1:2" x14ac:dyDescent="0.25">
      <c r="A22814"/>
      <c r="B22814"/>
    </row>
    <row r="22815" spans="1:2" x14ac:dyDescent="0.25">
      <c r="A22815"/>
      <c r="B22815"/>
    </row>
    <row r="22816" spans="1:2" x14ac:dyDescent="0.25">
      <c r="A22816"/>
      <c r="B22816"/>
    </row>
    <row r="22817" spans="1:2" x14ac:dyDescent="0.25">
      <c r="A22817"/>
      <c r="B22817"/>
    </row>
    <row r="22818" spans="1:2" x14ac:dyDescent="0.25">
      <c r="A22818"/>
      <c r="B22818"/>
    </row>
    <row r="22819" spans="1:2" x14ac:dyDescent="0.25">
      <c r="A22819"/>
      <c r="B22819"/>
    </row>
    <row r="22820" spans="1:2" x14ac:dyDescent="0.25">
      <c r="A22820"/>
      <c r="B22820"/>
    </row>
    <row r="22821" spans="1:2" x14ac:dyDescent="0.25">
      <c r="A22821"/>
      <c r="B22821"/>
    </row>
    <row r="22822" spans="1:2" x14ac:dyDescent="0.25">
      <c r="A22822"/>
      <c r="B22822"/>
    </row>
    <row r="22823" spans="1:2" x14ac:dyDescent="0.25">
      <c r="A22823"/>
      <c r="B22823"/>
    </row>
    <row r="22824" spans="1:2" x14ac:dyDescent="0.25">
      <c r="A22824"/>
      <c r="B22824"/>
    </row>
    <row r="22825" spans="1:2" x14ac:dyDescent="0.25">
      <c r="A22825"/>
      <c r="B22825"/>
    </row>
    <row r="22826" spans="1:2" x14ac:dyDescent="0.25">
      <c r="A22826"/>
      <c r="B22826"/>
    </row>
    <row r="22827" spans="1:2" x14ac:dyDescent="0.25">
      <c r="A22827"/>
      <c r="B22827"/>
    </row>
    <row r="22828" spans="1:2" x14ac:dyDescent="0.25">
      <c r="A22828"/>
      <c r="B22828"/>
    </row>
    <row r="22829" spans="1:2" x14ac:dyDescent="0.25">
      <c r="A22829"/>
      <c r="B22829"/>
    </row>
    <row r="22830" spans="1:2" x14ac:dyDescent="0.25">
      <c r="A22830"/>
      <c r="B22830"/>
    </row>
    <row r="22831" spans="1:2" x14ac:dyDescent="0.25">
      <c r="A22831"/>
      <c r="B22831"/>
    </row>
    <row r="22832" spans="1:2" x14ac:dyDescent="0.25">
      <c r="A22832"/>
      <c r="B22832"/>
    </row>
    <row r="22833" spans="1:2" x14ac:dyDescent="0.25">
      <c r="A22833"/>
      <c r="B22833"/>
    </row>
    <row r="22834" spans="1:2" x14ac:dyDescent="0.25">
      <c r="A22834"/>
      <c r="B22834"/>
    </row>
    <row r="22835" spans="1:2" x14ac:dyDescent="0.25">
      <c r="A22835"/>
      <c r="B22835"/>
    </row>
    <row r="22836" spans="1:2" x14ac:dyDescent="0.25">
      <c r="A22836"/>
      <c r="B22836"/>
    </row>
    <row r="22837" spans="1:2" x14ac:dyDescent="0.25">
      <c r="A22837"/>
      <c r="B22837"/>
    </row>
    <row r="22838" spans="1:2" x14ac:dyDescent="0.25">
      <c r="A22838"/>
      <c r="B22838"/>
    </row>
    <row r="22839" spans="1:2" x14ac:dyDescent="0.25">
      <c r="A22839"/>
      <c r="B22839"/>
    </row>
    <row r="22840" spans="1:2" x14ac:dyDescent="0.25">
      <c r="A22840"/>
      <c r="B22840"/>
    </row>
    <row r="22841" spans="1:2" x14ac:dyDescent="0.25">
      <c r="A22841"/>
      <c r="B22841"/>
    </row>
    <row r="22842" spans="1:2" x14ac:dyDescent="0.25">
      <c r="A22842"/>
      <c r="B22842"/>
    </row>
    <row r="22843" spans="1:2" x14ac:dyDescent="0.25">
      <c r="A22843"/>
      <c r="B22843"/>
    </row>
    <row r="22844" spans="1:2" x14ac:dyDescent="0.25">
      <c r="A22844"/>
      <c r="B22844"/>
    </row>
    <row r="22845" spans="1:2" x14ac:dyDescent="0.25">
      <c r="A22845"/>
      <c r="B22845"/>
    </row>
    <row r="22846" spans="1:2" x14ac:dyDescent="0.25">
      <c r="A22846"/>
      <c r="B22846"/>
    </row>
    <row r="22847" spans="1:2" x14ac:dyDescent="0.25">
      <c r="A22847"/>
      <c r="B22847"/>
    </row>
    <row r="22848" spans="1:2" x14ac:dyDescent="0.25">
      <c r="A22848"/>
      <c r="B22848"/>
    </row>
    <row r="22849" spans="1:2" x14ac:dyDescent="0.25">
      <c r="A22849"/>
      <c r="B22849"/>
    </row>
    <row r="22850" spans="1:2" x14ac:dyDescent="0.25">
      <c r="A22850"/>
      <c r="B22850"/>
    </row>
    <row r="22851" spans="1:2" x14ac:dyDescent="0.25">
      <c r="A22851"/>
      <c r="B22851"/>
    </row>
    <row r="22852" spans="1:2" x14ac:dyDescent="0.25">
      <c r="A22852"/>
      <c r="B22852"/>
    </row>
    <row r="22853" spans="1:2" x14ac:dyDescent="0.25">
      <c r="A22853"/>
      <c r="B22853"/>
    </row>
    <row r="22854" spans="1:2" x14ac:dyDescent="0.25">
      <c r="A22854"/>
      <c r="B22854"/>
    </row>
    <row r="22855" spans="1:2" x14ac:dyDescent="0.25">
      <c r="A22855"/>
      <c r="B22855"/>
    </row>
    <row r="22856" spans="1:2" x14ac:dyDescent="0.25">
      <c r="A22856"/>
      <c r="B22856"/>
    </row>
    <row r="22857" spans="1:2" x14ac:dyDescent="0.25">
      <c r="A22857"/>
      <c r="B22857"/>
    </row>
    <row r="22858" spans="1:2" x14ac:dyDescent="0.25">
      <c r="A22858"/>
      <c r="B22858"/>
    </row>
    <row r="22859" spans="1:2" x14ac:dyDescent="0.25">
      <c r="A22859"/>
      <c r="B22859"/>
    </row>
    <row r="22860" spans="1:2" x14ac:dyDescent="0.25">
      <c r="A22860"/>
      <c r="B22860"/>
    </row>
    <row r="22861" spans="1:2" x14ac:dyDescent="0.25">
      <c r="A22861"/>
      <c r="B22861"/>
    </row>
    <row r="22862" spans="1:2" x14ac:dyDescent="0.25">
      <c r="A22862"/>
      <c r="B22862"/>
    </row>
    <row r="22863" spans="1:2" x14ac:dyDescent="0.25">
      <c r="A22863"/>
      <c r="B22863"/>
    </row>
    <row r="22864" spans="1:2" x14ac:dyDescent="0.25">
      <c r="A22864"/>
      <c r="B22864"/>
    </row>
    <row r="22865" spans="1:2" x14ac:dyDescent="0.25">
      <c r="A22865"/>
      <c r="B22865"/>
    </row>
    <row r="22866" spans="1:2" x14ac:dyDescent="0.25">
      <c r="A22866"/>
      <c r="B22866"/>
    </row>
    <row r="22867" spans="1:2" x14ac:dyDescent="0.25">
      <c r="A22867"/>
      <c r="B22867"/>
    </row>
    <row r="22868" spans="1:2" x14ac:dyDescent="0.25">
      <c r="A22868"/>
      <c r="B22868"/>
    </row>
    <row r="22869" spans="1:2" x14ac:dyDescent="0.25">
      <c r="A22869"/>
      <c r="B22869"/>
    </row>
    <row r="22870" spans="1:2" x14ac:dyDescent="0.25">
      <c r="A22870"/>
      <c r="B22870"/>
    </row>
    <row r="22871" spans="1:2" x14ac:dyDescent="0.25">
      <c r="A22871"/>
      <c r="B22871"/>
    </row>
    <row r="22872" spans="1:2" x14ac:dyDescent="0.25">
      <c r="A22872"/>
      <c r="B22872"/>
    </row>
    <row r="22873" spans="1:2" x14ac:dyDescent="0.25">
      <c r="A22873"/>
      <c r="B22873"/>
    </row>
    <row r="22874" spans="1:2" x14ac:dyDescent="0.25">
      <c r="A22874"/>
      <c r="B22874"/>
    </row>
    <row r="22875" spans="1:2" x14ac:dyDescent="0.25">
      <c r="A22875"/>
      <c r="B22875"/>
    </row>
    <row r="22876" spans="1:2" x14ac:dyDescent="0.25">
      <c r="A22876"/>
      <c r="B22876"/>
    </row>
    <row r="22877" spans="1:2" x14ac:dyDescent="0.25">
      <c r="A22877"/>
      <c r="B22877"/>
    </row>
    <row r="22878" spans="1:2" x14ac:dyDescent="0.25">
      <c r="A22878"/>
      <c r="B22878"/>
    </row>
    <row r="22879" spans="1:2" x14ac:dyDescent="0.25">
      <c r="A22879"/>
      <c r="B22879"/>
    </row>
    <row r="22880" spans="1:2" x14ac:dyDescent="0.25">
      <c r="A22880"/>
      <c r="B22880"/>
    </row>
    <row r="22881" spans="1:2" x14ac:dyDescent="0.25">
      <c r="A22881"/>
      <c r="B22881"/>
    </row>
    <row r="22882" spans="1:2" x14ac:dyDescent="0.25">
      <c r="A22882"/>
      <c r="B22882"/>
    </row>
    <row r="22883" spans="1:2" x14ac:dyDescent="0.25">
      <c r="A22883"/>
      <c r="B22883"/>
    </row>
    <row r="22884" spans="1:2" x14ac:dyDescent="0.25">
      <c r="A22884"/>
      <c r="B22884"/>
    </row>
    <row r="22885" spans="1:2" x14ac:dyDescent="0.25">
      <c r="A22885"/>
      <c r="B22885"/>
    </row>
    <row r="22886" spans="1:2" x14ac:dyDescent="0.25">
      <c r="A22886"/>
      <c r="B22886"/>
    </row>
    <row r="22887" spans="1:2" x14ac:dyDescent="0.25">
      <c r="A22887"/>
      <c r="B22887"/>
    </row>
    <row r="22888" spans="1:2" x14ac:dyDescent="0.25">
      <c r="A22888"/>
      <c r="B22888"/>
    </row>
    <row r="22889" spans="1:2" x14ac:dyDescent="0.25">
      <c r="A22889"/>
      <c r="B22889"/>
    </row>
    <row r="22890" spans="1:2" x14ac:dyDescent="0.25">
      <c r="A22890"/>
      <c r="B22890"/>
    </row>
    <row r="22891" spans="1:2" x14ac:dyDescent="0.25">
      <c r="A22891"/>
      <c r="B22891"/>
    </row>
    <row r="22892" spans="1:2" x14ac:dyDescent="0.25">
      <c r="A22892"/>
      <c r="B22892"/>
    </row>
    <row r="22893" spans="1:2" x14ac:dyDescent="0.25">
      <c r="A22893"/>
      <c r="B22893"/>
    </row>
    <row r="22894" spans="1:2" x14ac:dyDescent="0.25">
      <c r="A22894"/>
      <c r="B22894"/>
    </row>
    <row r="22895" spans="1:2" x14ac:dyDescent="0.25">
      <c r="A22895"/>
      <c r="B22895"/>
    </row>
    <row r="22896" spans="1:2" x14ac:dyDescent="0.25">
      <c r="A22896"/>
      <c r="B22896"/>
    </row>
    <row r="22897" spans="1:2" x14ac:dyDescent="0.25">
      <c r="A22897"/>
      <c r="B22897"/>
    </row>
    <row r="22898" spans="1:2" x14ac:dyDescent="0.25">
      <c r="A22898"/>
      <c r="B22898"/>
    </row>
    <row r="22899" spans="1:2" x14ac:dyDescent="0.25">
      <c r="A22899"/>
      <c r="B22899"/>
    </row>
    <row r="22900" spans="1:2" x14ac:dyDescent="0.25">
      <c r="A22900"/>
      <c r="B22900"/>
    </row>
    <row r="22901" spans="1:2" x14ac:dyDescent="0.25">
      <c r="A22901"/>
      <c r="B22901"/>
    </row>
    <row r="22902" spans="1:2" x14ac:dyDescent="0.25">
      <c r="A22902"/>
      <c r="B22902"/>
    </row>
    <row r="22903" spans="1:2" x14ac:dyDescent="0.25">
      <c r="A22903"/>
      <c r="B22903"/>
    </row>
    <row r="22904" spans="1:2" x14ac:dyDescent="0.25">
      <c r="A22904"/>
      <c r="B22904"/>
    </row>
    <row r="22905" spans="1:2" x14ac:dyDescent="0.25">
      <c r="A22905"/>
      <c r="B22905"/>
    </row>
    <row r="22906" spans="1:2" x14ac:dyDescent="0.25">
      <c r="A22906"/>
      <c r="B22906"/>
    </row>
    <row r="22907" spans="1:2" x14ac:dyDescent="0.25">
      <c r="A22907"/>
      <c r="B22907"/>
    </row>
    <row r="22908" spans="1:2" x14ac:dyDescent="0.25">
      <c r="A22908"/>
      <c r="B22908"/>
    </row>
    <row r="22909" spans="1:2" x14ac:dyDescent="0.25">
      <c r="A22909"/>
      <c r="B22909"/>
    </row>
    <row r="22910" spans="1:2" x14ac:dyDescent="0.25">
      <c r="A22910"/>
      <c r="B22910"/>
    </row>
    <row r="22911" spans="1:2" x14ac:dyDescent="0.25">
      <c r="A22911"/>
      <c r="B22911"/>
    </row>
    <row r="22912" spans="1:2" x14ac:dyDescent="0.25">
      <c r="A22912"/>
      <c r="B22912"/>
    </row>
    <row r="22913" spans="1:2" x14ac:dyDescent="0.25">
      <c r="A22913"/>
      <c r="B22913"/>
    </row>
    <row r="22914" spans="1:2" x14ac:dyDescent="0.25">
      <c r="A22914"/>
      <c r="B22914"/>
    </row>
    <row r="22915" spans="1:2" x14ac:dyDescent="0.25">
      <c r="A22915"/>
      <c r="B22915"/>
    </row>
    <row r="22916" spans="1:2" x14ac:dyDescent="0.25">
      <c r="A22916"/>
      <c r="B22916"/>
    </row>
    <row r="22917" spans="1:2" x14ac:dyDescent="0.25">
      <c r="A22917"/>
      <c r="B22917"/>
    </row>
    <row r="22918" spans="1:2" x14ac:dyDescent="0.25">
      <c r="A22918"/>
      <c r="B22918"/>
    </row>
    <row r="22919" spans="1:2" x14ac:dyDescent="0.25">
      <c r="A22919"/>
      <c r="B22919"/>
    </row>
    <row r="22920" spans="1:2" x14ac:dyDescent="0.25">
      <c r="A22920"/>
      <c r="B22920"/>
    </row>
    <row r="22921" spans="1:2" x14ac:dyDescent="0.25">
      <c r="A22921"/>
      <c r="B22921"/>
    </row>
    <row r="22922" spans="1:2" x14ac:dyDescent="0.25">
      <c r="A22922"/>
      <c r="B22922"/>
    </row>
    <row r="22923" spans="1:2" x14ac:dyDescent="0.25">
      <c r="A22923"/>
      <c r="B22923"/>
    </row>
    <row r="22924" spans="1:2" x14ac:dyDescent="0.25">
      <c r="A22924"/>
      <c r="B22924"/>
    </row>
    <row r="22925" spans="1:2" x14ac:dyDescent="0.25">
      <c r="A22925"/>
      <c r="B22925"/>
    </row>
    <row r="22926" spans="1:2" x14ac:dyDescent="0.25">
      <c r="A22926"/>
      <c r="B22926"/>
    </row>
    <row r="22927" spans="1:2" x14ac:dyDescent="0.25">
      <c r="A22927"/>
      <c r="B22927"/>
    </row>
    <row r="22928" spans="1:2" x14ac:dyDescent="0.25">
      <c r="A22928"/>
      <c r="B22928"/>
    </row>
    <row r="22929" spans="1:2" x14ac:dyDescent="0.25">
      <c r="A22929"/>
      <c r="B22929"/>
    </row>
    <row r="22930" spans="1:2" x14ac:dyDescent="0.25">
      <c r="A22930"/>
      <c r="B22930"/>
    </row>
    <row r="22931" spans="1:2" x14ac:dyDescent="0.25">
      <c r="A22931"/>
      <c r="B22931"/>
    </row>
    <row r="22932" spans="1:2" x14ac:dyDescent="0.25">
      <c r="A22932"/>
      <c r="B22932"/>
    </row>
    <row r="22933" spans="1:2" x14ac:dyDescent="0.25">
      <c r="A22933"/>
      <c r="B22933"/>
    </row>
    <row r="22934" spans="1:2" x14ac:dyDescent="0.25">
      <c r="A22934"/>
      <c r="B22934"/>
    </row>
    <row r="22935" spans="1:2" x14ac:dyDescent="0.25">
      <c r="A22935"/>
      <c r="B22935"/>
    </row>
    <row r="22936" spans="1:2" x14ac:dyDescent="0.25">
      <c r="A22936"/>
      <c r="B22936"/>
    </row>
    <row r="22937" spans="1:2" x14ac:dyDescent="0.25">
      <c r="A22937"/>
      <c r="B22937"/>
    </row>
    <row r="22938" spans="1:2" x14ac:dyDescent="0.25">
      <c r="A22938"/>
      <c r="B22938"/>
    </row>
    <row r="22939" spans="1:2" x14ac:dyDescent="0.25">
      <c r="A22939"/>
      <c r="B22939"/>
    </row>
    <row r="22940" spans="1:2" x14ac:dyDescent="0.25">
      <c r="A22940"/>
      <c r="B22940"/>
    </row>
    <row r="22941" spans="1:2" x14ac:dyDescent="0.25">
      <c r="A22941"/>
      <c r="B22941"/>
    </row>
    <row r="22942" spans="1:2" x14ac:dyDescent="0.25">
      <c r="A22942"/>
      <c r="B22942"/>
    </row>
    <row r="22943" spans="1:2" x14ac:dyDescent="0.25">
      <c r="A22943"/>
      <c r="B22943"/>
    </row>
    <row r="22944" spans="1:2" x14ac:dyDescent="0.25">
      <c r="A22944"/>
      <c r="B22944"/>
    </row>
    <row r="22945" spans="1:2" x14ac:dyDescent="0.25">
      <c r="A22945"/>
      <c r="B22945"/>
    </row>
    <row r="22946" spans="1:2" x14ac:dyDescent="0.25">
      <c r="A22946"/>
      <c r="B22946"/>
    </row>
    <row r="22947" spans="1:2" x14ac:dyDescent="0.25">
      <c r="A22947"/>
      <c r="B22947"/>
    </row>
    <row r="22948" spans="1:2" x14ac:dyDescent="0.25">
      <c r="A22948"/>
      <c r="B22948"/>
    </row>
    <row r="22949" spans="1:2" x14ac:dyDescent="0.25">
      <c r="A22949"/>
      <c r="B22949"/>
    </row>
    <row r="22950" spans="1:2" x14ac:dyDescent="0.25">
      <c r="A22950"/>
      <c r="B22950"/>
    </row>
    <row r="22951" spans="1:2" x14ac:dyDescent="0.25">
      <c r="A22951"/>
      <c r="B22951"/>
    </row>
    <row r="22952" spans="1:2" x14ac:dyDescent="0.25">
      <c r="A22952"/>
      <c r="B22952"/>
    </row>
    <row r="22953" spans="1:2" x14ac:dyDescent="0.25">
      <c r="A22953"/>
      <c r="B22953"/>
    </row>
    <row r="22954" spans="1:2" x14ac:dyDescent="0.25">
      <c r="A22954"/>
      <c r="B22954"/>
    </row>
    <row r="22955" spans="1:2" x14ac:dyDescent="0.25">
      <c r="A22955"/>
      <c r="B22955"/>
    </row>
    <row r="22956" spans="1:2" x14ac:dyDescent="0.25">
      <c r="A22956"/>
      <c r="B22956"/>
    </row>
    <row r="22957" spans="1:2" x14ac:dyDescent="0.25">
      <c r="A22957"/>
      <c r="B22957"/>
    </row>
    <row r="22958" spans="1:2" x14ac:dyDescent="0.25">
      <c r="A22958"/>
      <c r="B22958"/>
    </row>
    <row r="22959" spans="1:2" x14ac:dyDescent="0.25">
      <c r="A22959"/>
      <c r="B22959"/>
    </row>
    <row r="22960" spans="1:2" x14ac:dyDescent="0.25">
      <c r="A22960"/>
      <c r="B22960"/>
    </row>
    <row r="22961" spans="1:2" x14ac:dyDescent="0.25">
      <c r="A22961"/>
      <c r="B22961"/>
    </row>
    <row r="22962" spans="1:2" x14ac:dyDescent="0.25">
      <c r="A22962"/>
      <c r="B22962"/>
    </row>
    <row r="22963" spans="1:2" x14ac:dyDescent="0.25">
      <c r="A22963"/>
      <c r="B22963"/>
    </row>
    <row r="22964" spans="1:2" x14ac:dyDescent="0.25">
      <c r="A22964"/>
      <c r="B22964"/>
    </row>
    <row r="22965" spans="1:2" x14ac:dyDescent="0.25">
      <c r="A22965"/>
      <c r="B22965"/>
    </row>
    <row r="22966" spans="1:2" x14ac:dyDescent="0.25">
      <c r="A22966"/>
      <c r="B22966"/>
    </row>
    <row r="22967" spans="1:2" x14ac:dyDescent="0.25">
      <c r="A22967"/>
      <c r="B22967"/>
    </row>
    <row r="22968" spans="1:2" x14ac:dyDescent="0.25">
      <c r="A22968"/>
      <c r="B22968"/>
    </row>
    <row r="22969" spans="1:2" x14ac:dyDescent="0.25">
      <c r="A22969"/>
      <c r="B22969"/>
    </row>
    <row r="22970" spans="1:2" x14ac:dyDescent="0.25">
      <c r="A22970"/>
      <c r="B22970"/>
    </row>
    <row r="22971" spans="1:2" x14ac:dyDescent="0.25">
      <c r="A22971"/>
      <c r="B22971"/>
    </row>
    <row r="22972" spans="1:2" x14ac:dyDescent="0.25">
      <c r="A22972"/>
      <c r="B22972"/>
    </row>
    <row r="22973" spans="1:2" x14ac:dyDescent="0.25">
      <c r="A22973"/>
      <c r="B22973"/>
    </row>
    <row r="22974" spans="1:2" x14ac:dyDescent="0.25">
      <c r="A22974"/>
      <c r="B22974"/>
    </row>
    <row r="22975" spans="1:2" x14ac:dyDescent="0.25">
      <c r="A22975"/>
      <c r="B22975"/>
    </row>
    <row r="22976" spans="1:2" x14ac:dyDescent="0.25">
      <c r="A22976"/>
      <c r="B22976"/>
    </row>
    <row r="22977" spans="1:2" x14ac:dyDescent="0.25">
      <c r="A22977"/>
      <c r="B22977"/>
    </row>
    <row r="22978" spans="1:2" x14ac:dyDescent="0.25">
      <c r="A22978"/>
      <c r="B22978"/>
    </row>
    <row r="22979" spans="1:2" x14ac:dyDescent="0.25">
      <c r="A22979"/>
      <c r="B22979"/>
    </row>
    <row r="22980" spans="1:2" x14ac:dyDescent="0.25">
      <c r="A22980"/>
      <c r="B22980"/>
    </row>
    <row r="22981" spans="1:2" x14ac:dyDescent="0.25">
      <c r="A22981"/>
      <c r="B22981"/>
    </row>
    <row r="22982" spans="1:2" x14ac:dyDescent="0.25">
      <c r="A22982"/>
      <c r="B22982"/>
    </row>
    <row r="22983" spans="1:2" x14ac:dyDescent="0.25">
      <c r="A22983"/>
      <c r="B22983"/>
    </row>
    <row r="22984" spans="1:2" x14ac:dyDescent="0.25">
      <c r="A22984"/>
      <c r="B22984"/>
    </row>
    <row r="22985" spans="1:2" x14ac:dyDescent="0.25">
      <c r="A22985"/>
      <c r="B22985"/>
    </row>
    <row r="22986" spans="1:2" x14ac:dyDescent="0.25">
      <c r="A22986"/>
      <c r="B22986"/>
    </row>
    <row r="22987" spans="1:2" x14ac:dyDescent="0.25">
      <c r="A22987"/>
      <c r="B22987"/>
    </row>
    <row r="22988" spans="1:2" x14ac:dyDescent="0.25">
      <c r="A22988"/>
      <c r="B22988"/>
    </row>
    <row r="22989" spans="1:2" x14ac:dyDescent="0.25">
      <c r="A22989"/>
      <c r="B22989"/>
    </row>
    <row r="22990" spans="1:2" x14ac:dyDescent="0.25">
      <c r="A22990"/>
      <c r="B22990"/>
    </row>
    <row r="22991" spans="1:2" x14ac:dyDescent="0.25">
      <c r="A22991"/>
      <c r="B22991"/>
    </row>
    <row r="22992" spans="1:2" x14ac:dyDescent="0.25">
      <c r="A22992"/>
      <c r="B22992"/>
    </row>
    <row r="22993" spans="1:2" x14ac:dyDescent="0.25">
      <c r="A22993"/>
      <c r="B22993"/>
    </row>
    <row r="22994" spans="1:2" x14ac:dyDescent="0.25">
      <c r="A22994"/>
      <c r="B22994"/>
    </row>
    <row r="22995" spans="1:2" x14ac:dyDescent="0.25">
      <c r="A22995"/>
      <c r="B22995"/>
    </row>
    <row r="22996" spans="1:2" x14ac:dyDescent="0.25">
      <c r="A22996"/>
      <c r="B22996"/>
    </row>
    <row r="22997" spans="1:2" x14ac:dyDescent="0.25">
      <c r="A22997"/>
      <c r="B22997"/>
    </row>
    <row r="22998" spans="1:2" x14ac:dyDescent="0.25">
      <c r="A22998"/>
      <c r="B22998"/>
    </row>
    <row r="22999" spans="1:2" x14ac:dyDescent="0.25">
      <c r="A22999"/>
      <c r="B22999"/>
    </row>
    <row r="23000" spans="1:2" x14ac:dyDescent="0.25">
      <c r="A23000"/>
      <c r="B23000"/>
    </row>
    <row r="23001" spans="1:2" x14ac:dyDescent="0.25">
      <c r="A23001"/>
      <c r="B23001"/>
    </row>
    <row r="23002" spans="1:2" x14ac:dyDescent="0.25">
      <c r="A23002"/>
      <c r="B23002"/>
    </row>
    <row r="23003" spans="1:2" x14ac:dyDescent="0.25">
      <c r="A23003"/>
      <c r="B23003"/>
    </row>
    <row r="23004" spans="1:2" x14ac:dyDescent="0.25">
      <c r="A23004"/>
      <c r="B23004"/>
    </row>
    <row r="23005" spans="1:2" x14ac:dyDescent="0.25">
      <c r="A23005"/>
      <c r="B23005"/>
    </row>
    <row r="23006" spans="1:2" x14ac:dyDescent="0.25">
      <c r="A23006"/>
      <c r="B23006"/>
    </row>
    <row r="23007" spans="1:2" x14ac:dyDescent="0.25">
      <c r="A23007"/>
      <c r="B23007"/>
    </row>
    <row r="23008" spans="1:2" x14ac:dyDescent="0.25">
      <c r="A23008"/>
      <c r="B23008"/>
    </row>
    <row r="23009" spans="1:2" x14ac:dyDescent="0.25">
      <c r="A23009"/>
      <c r="B23009"/>
    </row>
    <row r="23010" spans="1:2" x14ac:dyDescent="0.25">
      <c r="A23010"/>
      <c r="B23010"/>
    </row>
    <row r="23011" spans="1:2" x14ac:dyDescent="0.25">
      <c r="A23011"/>
      <c r="B23011"/>
    </row>
    <row r="23012" spans="1:2" x14ac:dyDescent="0.25">
      <c r="A23012"/>
      <c r="B23012"/>
    </row>
    <row r="23013" spans="1:2" x14ac:dyDescent="0.25">
      <c r="A23013"/>
      <c r="B23013"/>
    </row>
    <row r="23014" spans="1:2" x14ac:dyDescent="0.25">
      <c r="A23014"/>
      <c r="B23014"/>
    </row>
    <row r="23015" spans="1:2" x14ac:dyDescent="0.25">
      <c r="A23015"/>
      <c r="B23015"/>
    </row>
    <row r="23016" spans="1:2" x14ac:dyDescent="0.25">
      <c r="A23016"/>
      <c r="B23016"/>
    </row>
    <row r="23017" spans="1:2" x14ac:dyDescent="0.25">
      <c r="A23017"/>
      <c r="B23017"/>
    </row>
    <row r="23018" spans="1:2" x14ac:dyDescent="0.25">
      <c r="A23018"/>
      <c r="B23018"/>
    </row>
    <row r="23019" spans="1:2" x14ac:dyDescent="0.25">
      <c r="A23019"/>
      <c r="B23019"/>
    </row>
    <row r="23020" spans="1:2" x14ac:dyDescent="0.25">
      <c r="A23020"/>
      <c r="B23020"/>
    </row>
    <row r="23021" spans="1:2" x14ac:dyDescent="0.25">
      <c r="A23021"/>
      <c r="B23021"/>
    </row>
    <row r="23022" spans="1:2" x14ac:dyDescent="0.25">
      <c r="A23022"/>
      <c r="B23022"/>
    </row>
    <row r="23023" spans="1:2" x14ac:dyDescent="0.25">
      <c r="A23023"/>
      <c r="B23023"/>
    </row>
    <row r="23024" spans="1:2" x14ac:dyDescent="0.25">
      <c r="A23024"/>
      <c r="B23024"/>
    </row>
    <row r="23025" spans="1:2" x14ac:dyDescent="0.25">
      <c r="A23025"/>
      <c r="B23025"/>
    </row>
    <row r="23026" spans="1:2" x14ac:dyDescent="0.25">
      <c r="A23026"/>
      <c r="B23026"/>
    </row>
    <row r="23027" spans="1:2" x14ac:dyDescent="0.25">
      <c r="A23027"/>
      <c r="B23027"/>
    </row>
    <row r="23028" spans="1:2" x14ac:dyDescent="0.25">
      <c r="A23028"/>
      <c r="B23028"/>
    </row>
    <row r="23029" spans="1:2" x14ac:dyDescent="0.25">
      <c r="A23029"/>
      <c r="B23029"/>
    </row>
    <row r="23030" spans="1:2" x14ac:dyDescent="0.25">
      <c r="A23030"/>
      <c r="B23030"/>
    </row>
    <row r="23031" spans="1:2" x14ac:dyDescent="0.25">
      <c r="A23031"/>
      <c r="B23031"/>
    </row>
    <row r="23032" spans="1:2" x14ac:dyDescent="0.25">
      <c r="A23032"/>
      <c r="B23032"/>
    </row>
    <row r="23033" spans="1:2" x14ac:dyDescent="0.25">
      <c r="A23033"/>
      <c r="B23033"/>
    </row>
    <row r="23034" spans="1:2" x14ac:dyDescent="0.25">
      <c r="A23034"/>
      <c r="B23034"/>
    </row>
    <row r="23035" spans="1:2" x14ac:dyDescent="0.25">
      <c r="A23035"/>
      <c r="B23035"/>
    </row>
    <row r="23036" spans="1:2" x14ac:dyDescent="0.25">
      <c r="A23036"/>
      <c r="B23036"/>
    </row>
    <row r="23037" spans="1:2" x14ac:dyDescent="0.25">
      <c r="A23037"/>
      <c r="B23037"/>
    </row>
    <row r="23038" spans="1:2" x14ac:dyDescent="0.25">
      <c r="A23038"/>
      <c r="B23038"/>
    </row>
    <row r="23039" spans="1:2" x14ac:dyDescent="0.25">
      <c r="A23039"/>
      <c r="B23039"/>
    </row>
    <row r="23040" spans="1:2" x14ac:dyDescent="0.25">
      <c r="A23040"/>
      <c r="B23040"/>
    </row>
    <row r="23041" spans="1:2" x14ac:dyDescent="0.25">
      <c r="A23041"/>
      <c r="B23041"/>
    </row>
    <row r="23042" spans="1:2" x14ac:dyDescent="0.25">
      <c r="A23042"/>
      <c r="B23042"/>
    </row>
    <row r="23043" spans="1:2" x14ac:dyDescent="0.25">
      <c r="A23043"/>
      <c r="B23043"/>
    </row>
    <row r="23044" spans="1:2" x14ac:dyDescent="0.25">
      <c r="A23044"/>
      <c r="B23044"/>
    </row>
    <row r="23045" spans="1:2" x14ac:dyDescent="0.25">
      <c r="A23045"/>
      <c r="B23045"/>
    </row>
    <row r="23046" spans="1:2" x14ac:dyDescent="0.25">
      <c r="A23046"/>
      <c r="B23046"/>
    </row>
    <row r="23047" spans="1:2" x14ac:dyDescent="0.25">
      <c r="A23047"/>
      <c r="B23047"/>
    </row>
    <row r="23048" spans="1:2" x14ac:dyDescent="0.25">
      <c r="A23048"/>
      <c r="B23048"/>
    </row>
    <row r="23049" spans="1:2" x14ac:dyDescent="0.25">
      <c r="A23049"/>
      <c r="B23049"/>
    </row>
    <row r="23050" spans="1:2" x14ac:dyDescent="0.25">
      <c r="A23050"/>
      <c r="B23050"/>
    </row>
    <row r="23051" spans="1:2" x14ac:dyDescent="0.25">
      <c r="A23051"/>
      <c r="B23051"/>
    </row>
    <row r="23052" spans="1:2" x14ac:dyDescent="0.25">
      <c r="A23052"/>
      <c r="B23052"/>
    </row>
    <row r="23053" spans="1:2" x14ac:dyDescent="0.25">
      <c r="A23053"/>
      <c r="B23053"/>
    </row>
    <row r="23054" spans="1:2" x14ac:dyDescent="0.25">
      <c r="A23054"/>
      <c r="B23054"/>
    </row>
    <row r="23055" spans="1:2" x14ac:dyDescent="0.25">
      <c r="A23055"/>
      <c r="B23055"/>
    </row>
    <row r="23056" spans="1:2" x14ac:dyDescent="0.25">
      <c r="A23056"/>
      <c r="B23056"/>
    </row>
    <row r="23057" spans="1:2" x14ac:dyDescent="0.25">
      <c r="A23057"/>
      <c r="B23057"/>
    </row>
    <row r="23058" spans="1:2" x14ac:dyDescent="0.25">
      <c r="A23058"/>
      <c r="B23058"/>
    </row>
    <row r="23059" spans="1:2" x14ac:dyDescent="0.25">
      <c r="A23059"/>
      <c r="B23059"/>
    </row>
    <row r="23060" spans="1:2" x14ac:dyDescent="0.25">
      <c r="A23060"/>
      <c r="B23060"/>
    </row>
    <row r="23061" spans="1:2" x14ac:dyDescent="0.25">
      <c r="A23061"/>
      <c r="B23061"/>
    </row>
    <row r="23062" spans="1:2" x14ac:dyDescent="0.25">
      <c r="A23062"/>
      <c r="B23062"/>
    </row>
    <row r="23063" spans="1:2" x14ac:dyDescent="0.25">
      <c r="A23063"/>
      <c r="B23063"/>
    </row>
    <row r="23064" spans="1:2" x14ac:dyDescent="0.25">
      <c r="A23064"/>
      <c r="B23064"/>
    </row>
    <row r="23065" spans="1:2" x14ac:dyDescent="0.25">
      <c r="A23065"/>
      <c r="B23065"/>
    </row>
    <row r="23066" spans="1:2" x14ac:dyDescent="0.25">
      <c r="A23066"/>
      <c r="B23066"/>
    </row>
    <row r="23067" spans="1:2" x14ac:dyDescent="0.25">
      <c r="A23067"/>
      <c r="B23067"/>
    </row>
    <row r="23068" spans="1:2" x14ac:dyDescent="0.25">
      <c r="A23068"/>
      <c r="B23068"/>
    </row>
    <row r="23069" spans="1:2" x14ac:dyDescent="0.25">
      <c r="A23069"/>
      <c r="B23069"/>
    </row>
    <row r="23070" spans="1:2" x14ac:dyDescent="0.25">
      <c r="A23070"/>
      <c r="B23070"/>
    </row>
    <row r="23071" spans="1:2" x14ac:dyDescent="0.25">
      <c r="A23071"/>
      <c r="B23071"/>
    </row>
    <row r="23072" spans="1:2" x14ac:dyDescent="0.25">
      <c r="A23072"/>
      <c r="B23072"/>
    </row>
    <row r="23073" spans="1:2" x14ac:dyDescent="0.25">
      <c r="A23073"/>
      <c r="B23073"/>
    </row>
    <row r="23074" spans="1:2" x14ac:dyDescent="0.25">
      <c r="A23074"/>
      <c r="B23074"/>
    </row>
    <row r="23075" spans="1:2" x14ac:dyDescent="0.25">
      <c r="A23075"/>
      <c r="B23075"/>
    </row>
    <row r="23076" spans="1:2" x14ac:dyDescent="0.25">
      <c r="A23076"/>
      <c r="B23076"/>
    </row>
    <row r="23077" spans="1:2" x14ac:dyDescent="0.25">
      <c r="A23077"/>
      <c r="B23077"/>
    </row>
    <row r="23078" spans="1:2" x14ac:dyDescent="0.25">
      <c r="A23078"/>
      <c r="B23078"/>
    </row>
    <row r="23079" spans="1:2" x14ac:dyDescent="0.25">
      <c r="A23079"/>
      <c r="B23079"/>
    </row>
    <row r="23080" spans="1:2" x14ac:dyDescent="0.25">
      <c r="A23080"/>
      <c r="B23080"/>
    </row>
    <row r="23081" spans="1:2" x14ac:dyDescent="0.25">
      <c r="A23081"/>
      <c r="B23081"/>
    </row>
    <row r="23082" spans="1:2" x14ac:dyDescent="0.25">
      <c r="A23082"/>
      <c r="B23082"/>
    </row>
    <row r="23083" spans="1:2" x14ac:dyDescent="0.25">
      <c r="A23083"/>
      <c r="B23083"/>
    </row>
    <row r="23084" spans="1:2" x14ac:dyDescent="0.25">
      <c r="A23084"/>
      <c r="B23084"/>
    </row>
    <row r="23085" spans="1:2" x14ac:dyDescent="0.25">
      <c r="A23085"/>
      <c r="B23085"/>
    </row>
    <row r="23086" spans="1:2" x14ac:dyDescent="0.25">
      <c r="A23086"/>
      <c r="B23086"/>
    </row>
    <row r="23087" spans="1:2" x14ac:dyDescent="0.25">
      <c r="A23087"/>
      <c r="B23087"/>
    </row>
    <row r="23088" spans="1:2" x14ac:dyDescent="0.25">
      <c r="A23088"/>
      <c r="B23088"/>
    </row>
    <row r="23089" spans="1:2" x14ac:dyDescent="0.25">
      <c r="A23089"/>
      <c r="B23089"/>
    </row>
    <row r="23090" spans="1:2" x14ac:dyDescent="0.25">
      <c r="A23090"/>
      <c r="B23090"/>
    </row>
    <row r="23091" spans="1:2" x14ac:dyDescent="0.25">
      <c r="A23091"/>
      <c r="B23091"/>
    </row>
    <row r="23092" spans="1:2" x14ac:dyDescent="0.25">
      <c r="A23092"/>
      <c r="B23092"/>
    </row>
    <row r="23093" spans="1:2" x14ac:dyDescent="0.25">
      <c r="A23093"/>
      <c r="B23093"/>
    </row>
    <row r="23094" spans="1:2" x14ac:dyDescent="0.25">
      <c r="A23094"/>
      <c r="B23094"/>
    </row>
    <row r="23095" spans="1:2" x14ac:dyDescent="0.25">
      <c r="A23095"/>
      <c r="B23095"/>
    </row>
    <row r="23096" spans="1:2" x14ac:dyDescent="0.25">
      <c r="A23096"/>
      <c r="B23096"/>
    </row>
    <row r="23097" spans="1:2" x14ac:dyDescent="0.25">
      <c r="A23097"/>
      <c r="B23097"/>
    </row>
    <row r="23098" spans="1:2" x14ac:dyDescent="0.25">
      <c r="A23098"/>
      <c r="B23098"/>
    </row>
    <row r="23099" spans="1:2" x14ac:dyDescent="0.25">
      <c r="A23099"/>
      <c r="B23099"/>
    </row>
    <row r="23100" spans="1:2" x14ac:dyDescent="0.25">
      <c r="A23100"/>
      <c r="B23100"/>
    </row>
    <row r="23101" spans="1:2" x14ac:dyDescent="0.25">
      <c r="A23101"/>
      <c r="B23101"/>
    </row>
    <row r="23102" spans="1:2" x14ac:dyDescent="0.25">
      <c r="A23102"/>
      <c r="B23102"/>
    </row>
    <row r="23103" spans="1:2" x14ac:dyDescent="0.25">
      <c r="A23103"/>
      <c r="B23103"/>
    </row>
    <row r="23104" spans="1:2" x14ac:dyDescent="0.25">
      <c r="A23104"/>
      <c r="B23104"/>
    </row>
    <row r="23105" spans="1:2" x14ac:dyDescent="0.25">
      <c r="A23105"/>
      <c r="B23105"/>
    </row>
    <row r="23106" spans="1:2" x14ac:dyDescent="0.25">
      <c r="A23106"/>
      <c r="B23106"/>
    </row>
    <row r="23107" spans="1:2" x14ac:dyDescent="0.25">
      <c r="A23107"/>
      <c r="B23107"/>
    </row>
    <row r="23108" spans="1:2" x14ac:dyDescent="0.25">
      <c r="A23108"/>
      <c r="B23108"/>
    </row>
    <row r="23109" spans="1:2" x14ac:dyDescent="0.25">
      <c r="A23109"/>
      <c r="B23109"/>
    </row>
    <row r="23110" spans="1:2" x14ac:dyDescent="0.25">
      <c r="A23110"/>
      <c r="B23110"/>
    </row>
    <row r="23111" spans="1:2" x14ac:dyDescent="0.25">
      <c r="A23111"/>
      <c r="B23111"/>
    </row>
    <row r="23112" spans="1:2" x14ac:dyDescent="0.25">
      <c r="A23112"/>
      <c r="B23112"/>
    </row>
    <row r="23113" spans="1:2" x14ac:dyDescent="0.25">
      <c r="A23113"/>
      <c r="B23113"/>
    </row>
    <row r="23114" spans="1:2" x14ac:dyDescent="0.25">
      <c r="A23114"/>
      <c r="B23114"/>
    </row>
    <row r="23115" spans="1:2" x14ac:dyDescent="0.25">
      <c r="A23115"/>
      <c r="B23115"/>
    </row>
    <row r="23116" spans="1:2" x14ac:dyDescent="0.25">
      <c r="A23116"/>
      <c r="B23116"/>
    </row>
    <row r="23117" spans="1:2" x14ac:dyDescent="0.25">
      <c r="A23117"/>
      <c r="B23117"/>
    </row>
    <row r="23118" spans="1:2" x14ac:dyDescent="0.25">
      <c r="A23118"/>
      <c r="B23118"/>
    </row>
    <row r="23119" spans="1:2" x14ac:dyDescent="0.25">
      <c r="A23119"/>
      <c r="B23119"/>
    </row>
    <row r="23120" spans="1:2" x14ac:dyDescent="0.25">
      <c r="A23120"/>
      <c r="B23120"/>
    </row>
    <row r="23121" spans="1:2" x14ac:dyDescent="0.25">
      <c r="A23121"/>
      <c r="B23121"/>
    </row>
    <row r="23122" spans="1:2" x14ac:dyDescent="0.25">
      <c r="A23122"/>
      <c r="B23122"/>
    </row>
    <row r="23123" spans="1:2" x14ac:dyDescent="0.25">
      <c r="A23123"/>
      <c r="B23123"/>
    </row>
    <row r="23124" spans="1:2" x14ac:dyDescent="0.25">
      <c r="A23124"/>
      <c r="B23124"/>
    </row>
    <row r="23125" spans="1:2" x14ac:dyDescent="0.25">
      <c r="A23125"/>
      <c r="B23125"/>
    </row>
    <row r="23126" spans="1:2" x14ac:dyDescent="0.25">
      <c r="A23126"/>
      <c r="B23126"/>
    </row>
    <row r="23127" spans="1:2" x14ac:dyDescent="0.25">
      <c r="A23127"/>
      <c r="B23127"/>
    </row>
    <row r="23128" spans="1:2" x14ac:dyDescent="0.25">
      <c r="A23128"/>
      <c r="B23128"/>
    </row>
    <row r="23129" spans="1:2" x14ac:dyDescent="0.25">
      <c r="A23129"/>
      <c r="B23129"/>
    </row>
    <row r="23130" spans="1:2" x14ac:dyDescent="0.25">
      <c r="A23130"/>
      <c r="B23130"/>
    </row>
    <row r="23131" spans="1:2" x14ac:dyDescent="0.25">
      <c r="A23131"/>
      <c r="B23131"/>
    </row>
    <row r="23132" spans="1:2" x14ac:dyDescent="0.25">
      <c r="A23132"/>
      <c r="B23132"/>
    </row>
    <row r="23133" spans="1:2" x14ac:dyDescent="0.25">
      <c r="A23133"/>
      <c r="B23133"/>
    </row>
    <row r="23134" spans="1:2" x14ac:dyDescent="0.25">
      <c r="A23134"/>
      <c r="B23134"/>
    </row>
    <row r="23135" spans="1:2" x14ac:dyDescent="0.25">
      <c r="A23135"/>
      <c r="B23135"/>
    </row>
    <row r="23136" spans="1:2" x14ac:dyDescent="0.25">
      <c r="A23136"/>
      <c r="B23136"/>
    </row>
    <row r="23137" spans="1:2" x14ac:dyDescent="0.25">
      <c r="A23137"/>
      <c r="B23137"/>
    </row>
    <row r="23138" spans="1:2" x14ac:dyDescent="0.25">
      <c r="A23138"/>
      <c r="B23138"/>
    </row>
    <row r="23139" spans="1:2" x14ac:dyDescent="0.25">
      <c r="A23139"/>
      <c r="B23139"/>
    </row>
    <row r="23140" spans="1:2" x14ac:dyDescent="0.25">
      <c r="A23140"/>
      <c r="B23140"/>
    </row>
    <row r="23141" spans="1:2" x14ac:dyDescent="0.25">
      <c r="A23141"/>
      <c r="B23141"/>
    </row>
    <row r="23142" spans="1:2" x14ac:dyDescent="0.25">
      <c r="A23142"/>
      <c r="B23142"/>
    </row>
    <row r="23143" spans="1:2" x14ac:dyDescent="0.25">
      <c r="A23143"/>
      <c r="B23143"/>
    </row>
    <row r="23144" spans="1:2" x14ac:dyDescent="0.25">
      <c r="A23144"/>
      <c r="B23144"/>
    </row>
    <row r="23145" spans="1:2" x14ac:dyDescent="0.25">
      <c r="A23145"/>
      <c r="B23145"/>
    </row>
    <row r="23146" spans="1:2" x14ac:dyDescent="0.25">
      <c r="A23146"/>
      <c r="B23146"/>
    </row>
    <row r="23147" spans="1:2" x14ac:dyDescent="0.25">
      <c r="A23147"/>
      <c r="B23147"/>
    </row>
    <row r="23148" spans="1:2" x14ac:dyDescent="0.25">
      <c r="A23148"/>
      <c r="B23148"/>
    </row>
    <row r="23149" spans="1:2" x14ac:dyDescent="0.25">
      <c r="A23149"/>
      <c r="B23149"/>
    </row>
    <row r="23150" spans="1:2" x14ac:dyDescent="0.25">
      <c r="A23150"/>
      <c r="B23150"/>
    </row>
    <row r="23151" spans="1:2" x14ac:dyDescent="0.25">
      <c r="A23151"/>
      <c r="B23151"/>
    </row>
    <row r="23152" spans="1:2" x14ac:dyDescent="0.25">
      <c r="A23152"/>
      <c r="B23152"/>
    </row>
    <row r="23153" spans="1:2" x14ac:dyDescent="0.25">
      <c r="A23153"/>
      <c r="B23153"/>
    </row>
    <row r="23154" spans="1:2" x14ac:dyDescent="0.25">
      <c r="A23154"/>
      <c r="B23154"/>
    </row>
    <row r="23155" spans="1:2" x14ac:dyDescent="0.25">
      <c r="A23155"/>
      <c r="B23155"/>
    </row>
    <row r="23156" spans="1:2" x14ac:dyDescent="0.25">
      <c r="A23156"/>
      <c r="B23156"/>
    </row>
    <row r="23157" spans="1:2" x14ac:dyDescent="0.25">
      <c r="A23157"/>
      <c r="B23157"/>
    </row>
    <row r="23158" spans="1:2" x14ac:dyDescent="0.25">
      <c r="A23158"/>
      <c r="B23158"/>
    </row>
    <row r="23159" spans="1:2" x14ac:dyDescent="0.25">
      <c r="A23159"/>
      <c r="B23159"/>
    </row>
    <row r="23160" spans="1:2" x14ac:dyDescent="0.25">
      <c r="A23160"/>
      <c r="B23160"/>
    </row>
    <row r="23161" spans="1:2" x14ac:dyDescent="0.25">
      <c r="A23161"/>
      <c r="B23161"/>
    </row>
    <row r="23162" spans="1:2" x14ac:dyDescent="0.25">
      <c r="A23162"/>
      <c r="B23162"/>
    </row>
    <row r="23163" spans="1:2" x14ac:dyDescent="0.25">
      <c r="A23163"/>
      <c r="B23163"/>
    </row>
    <row r="23164" spans="1:2" x14ac:dyDescent="0.25">
      <c r="A23164"/>
      <c r="B23164"/>
    </row>
    <row r="23165" spans="1:2" x14ac:dyDescent="0.25">
      <c r="A23165"/>
      <c r="B23165"/>
    </row>
    <row r="23166" spans="1:2" x14ac:dyDescent="0.25">
      <c r="A23166"/>
      <c r="B23166"/>
    </row>
    <row r="23167" spans="1:2" x14ac:dyDescent="0.25">
      <c r="A23167"/>
      <c r="B23167"/>
    </row>
    <row r="23168" spans="1:2" x14ac:dyDescent="0.25">
      <c r="A23168"/>
      <c r="B23168"/>
    </row>
    <row r="23169" spans="1:2" x14ac:dyDescent="0.25">
      <c r="A23169"/>
      <c r="B23169"/>
    </row>
    <row r="23170" spans="1:2" x14ac:dyDescent="0.25">
      <c r="A23170"/>
      <c r="B23170"/>
    </row>
    <row r="23171" spans="1:2" x14ac:dyDescent="0.25">
      <c r="A23171"/>
      <c r="B23171"/>
    </row>
    <row r="23172" spans="1:2" x14ac:dyDescent="0.25">
      <c r="A23172"/>
      <c r="B23172"/>
    </row>
    <row r="23173" spans="1:2" x14ac:dyDescent="0.25">
      <c r="A23173"/>
      <c r="B23173"/>
    </row>
    <row r="23174" spans="1:2" x14ac:dyDescent="0.25">
      <c r="A23174"/>
      <c r="B23174"/>
    </row>
    <row r="23175" spans="1:2" x14ac:dyDescent="0.25">
      <c r="A23175"/>
      <c r="B23175"/>
    </row>
    <row r="23176" spans="1:2" x14ac:dyDescent="0.25">
      <c r="A23176"/>
      <c r="B23176"/>
    </row>
    <row r="23177" spans="1:2" x14ac:dyDescent="0.25">
      <c r="A23177"/>
      <c r="B23177"/>
    </row>
    <row r="23178" spans="1:2" x14ac:dyDescent="0.25">
      <c r="A23178"/>
      <c r="B23178"/>
    </row>
    <row r="23179" spans="1:2" x14ac:dyDescent="0.25">
      <c r="A23179"/>
      <c r="B23179"/>
    </row>
    <row r="23180" spans="1:2" x14ac:dyDescent="0.25">
      <c r="A23180"/>
      <c r="B23180"/>
    </row>
    <row r="23181" spans="1:2" x14ac:dyDescent="0.25">
      <c r="A23181"/>
      <c r="B23181"/>
    </row>
    <row r="23182" spans="1:2" x14ac:dyDescent="0.25">
      <c r="A23182"/>
      <c r="B23182"/>
    </row>
    <row r="23183" spans="1:2" x14ac:dyDescent="0.25">
      <c r="A23183"/>
      <c r="B23183"/>
    </row>
    <row r="23184" spans="1:2" x14ac:dyDescent="0.25">
      <c r="A23184"/>
      <c r="B23184"/>
    </row>
    <row r="23185" spans="1:2" x14ac:dyDescent="0.25">
      <c r="A23185"/>
      <c r="B23185"/>
    </row>
    <row r="23186" spans="1:2" x14ac:dyDescent="0.25">
      <c r="A23186"/>
      <c r="B23186"/>
    </row>
    <row r="23187" spans="1:2" x14ac:dyDescent="0.25">
      <c r="A23187"/>
      <c r="B23187"/>
    </row>
    <row r="23188" spans="1:2" x14ac:dyDescent="0.25">
      <c r="A23188"/>
      <c r="B23188"/>
    </row>
    <row r="23189" spans="1:2" x14ac:dyDescent="0.25">
      <c r="A23189"/>
      <c r="B23189"/>
    </row>
    <row r="23190" spans="1:2" x14ac:dyDescent="0.25">
      <c r="A23190"/>
      <c r="B23190"/>
    </row>
    <row r="23191" spans="1:2" x14ac:dyDescent="0.25">
      <c r="A23191"/>
      <c r="B23191"/>
    </row>
    <row r="23192" spans="1:2" x14ac:dyDescent="0.25">
      <c r="A23192"/>
      <c r="B23192"/>
    </row>
    <row r="23193" spans="1:2" x14ac:dyDescent="0.25">
      <c r="A23193"/>
      <c r="B23193"/>
    </row>
    <row r="23194" spans="1:2" x14ac:dyDescent="0.25">
      <c r="A23194"/>
      <c r="B23194"/>
    </row>
    <row r="23195" spans="1:2" x14ac:dyDescent="0.25">
      <c r="A23195"/>
      <c r="B23195"/>
    </row>
    <row r="23196" spans="1:2" x14ac:dyDescent="0.25">
      <c r="A23196"/>
      <c r="B23196"/>
    </row>
    <row r="23197" spans="1:2" x14ac:dyDescent="0.25">
      <c r="A23197"/>
      <c r="B23197"/>
    </row>
    <row r="23198" spans="1:2" x14ac:dyDescent="0.25">
      <c r="A23198"/>
      <c r="B23198"/>
    </row>
    <row r="23199" spans="1:2" x14ac:dyDescent="0.25">
      <c r="A23199"/>
      <c r="B23199"/>
    </row>
    <row r="23200" spans="1:2" x14ac:dyDescent="0.25">
      <c r="A23200"/>
      <c r="B23200"/>
    </row>
    <row r="23201" spans="1:2" x14ac:dyDescent="0.25">
      <c r="A23201"/>
      <c r="B23201"/>
    </row>
    <row r="23202" spans="1:2" x14ac:dyDescent="0.25">
      <c r="A23202"/>
      <c r="B23202"/>
    </row>
    <row r="23203" spans="1:2" x14ac:dyDescent="0.25">
      <c r="A23203"/>
      <c r="B23203"/>
    </row>
    <row r="23204" spans="1:2" x14ac:dyDescent="0.25">
      <c r="A23204"/>
      <c r="B23204"/>
    </row>
    <row r="23205" spans="1:2" x14ac:dyDescent="0.25">
      <c r="A23205"/>
      <c r="B23205"/>
    </row>
    <row r="23206" spans="1:2" x14ac:dyDescent="0.25">
      <c r="A23206"/>
      <c r="B23206"/>
    </row>
    <row r="23207" spans="1:2" x14ac:dyDescent="0.25">
      <c r="A23207"/>
      <c r="B23207"/>
    </row>
    <row r="23208" spans="1:2" x14ac:dyDescent="0.25">
      <c r="A23208"/>
      <c r="B23208"/>
    </row>
    <row r="23209" spans="1:2" x14ac:dyDescent="0.25">
      <c r="A23209"/>
      <c r="B23209"/>
    </row>
    <row r="23210" spans="1:2" x14ac:dyDescent="0.25">
      <c r="A23210"/>
      <c r="B23210"/>
    </row>
    <row r="23211" spans="1:2" x14ac:dyDescent="0.25">
      <c r="A23211"/>
      <c r="B23211"/>
    </row>
    <row r="23212" spans="1:2" x14ac:dyDescent="0.25">
      <c r="A23212"/>
      <c r="B23212"/>
    </row>
    <row r="23213" spans="1:2" x14ac:dyDescent="0.25">
      <c r="A23213"/>
      <c r="B23213"/>
    </row>
    <row r="23214" spans="1:2" x14ac:dyDescent="0.25">
      <c r="A23214"/>
      <c r="B23214"/>
    </row>
    <row r="23215" spans="1:2" x14ac:dyDescent="0.25">
      <c r="A23215"/>
      <c r="B23215"/>
    </row>
    <row r="23216" spans="1:2" x14ac:dyDescent="0.25">
      <c r="A23216"/>
      <c r="B23216"/>
    </row>
    <row r="23217" spans="1:2" x14ac:dyDescent="0.25">
      <c r="A23217"/>
      <c r="B23217"/>
    </row>
    <row r="23218" spans="1:2" x14ac:dyDescent="0.25">
      <c r="A23218"/>
      <c r="B23218"/>
    </row>
    <row r="23219" spans="1:2" x14ac:dyDescent="0.25">
      <c r="A23219"/>
      <c r="B23219"/>
    </row>
    <row r="23220" spans="1:2" x14ac:dyDescent="0.25">
      <c r="A23220"/>
      <c r="B23220"/>
    </row>
    <row r="23221" spans="1:2" x14ac:dyDescent="0.25">
      <c r="A23221"/>
      <c r="B23221"/>
    </row>
    <row r="23222" spans="1:2" x14ac:dyDescent="0.25">
      <c r="A23222"/>
      <c r="B23222"/>
    </row>
    <row r="23223" spans="1:2" x14ac:dyDescent="0.25">
      <c r="A23223"/>
      <c r="B23223"/>
    </row>
    <row r="23224" spans="1:2" x14ac:dyDescent="0.25">
      <c r="A23224"/>
      <c r="B23224"/>
    </row>
    <row r="23225" spans="1:2" x14ac:dyDescent="0.25">
      <c r="A23225"/>
      <c r="B23225"/>
    </row>
    <row r="23226" spans="1:2" x14ac:dyDescent="0.25">
      <c r="A23226"/>
      <c r="B23226"/>
    </row>
    <row r="23227" spans="1:2" x14ac:dyDescent="0.25">
      <c r="A23227"/>
      <c r="B23227"/>
    </row>
    <row r="23228" spans="1:2" x14ac:dyDescent="0.25">
      <c r="A23228"/>
      <c r="B23228"/>
    </row>
    <row r="23229" spans="1:2" x14ac:dyDescent="0.25">
      <c r="A23229"/>
      <c r="B23229"/>
    </row>
    <row r="23230" spans="1:2" x14ac:dyDescent="0.25">
      <c r="A23230"/>
      <c r="B23230"/>
    </row>
    <row r="23231" spans="1:2" x14ac:dyDescent="0.25">
      <c r="A23231"/>
      <c r="B23231"/>
    </row>
    <row r="23232" spans="1:2" x14ac:dyDescent="0.25">
      <c r="A23232"/>
      <c r="B23232"/>
    </row>
    <row r="23233" spans="1:2" x14ac:dyDescent="0.25">
      <c r="A23233"/>
      <c r="B23233"/>
    </row>
    <row r="23234" spans="1:2" x14ac:dyDescent="0.25">
      <c r="A23234"/>
      <c r="B23234"/>
    </row>
    <row r="23235" spans="1:2" x14ac:dyDescent="0.25">
      <c r="A23235"/>
      <c r="B23235"/>
    </row>
    <row r="23236" spans="1:2" x14ac:dyDescent="0.25">
      <c r="A23236"/>
      <c r="B23236"/>
    </row>
    <row r="23237" spans="1:2" x14ac:dyDescent="0.25">
      <c r="A23237"/>
      <c r="B23237"/>
    </row>
    <row r="23238" spans="1:2" x14ac:dyDescent="0.25">
      <c r="A23238"/>
      <c r="B23238"/>
    </row>
    <row r="23239" spans="1:2" x14ac:dyDescent="0.25">
      <c r="A23239"/>
      <c r="B23239"/>
    </row>
    <row r="23240" spans="1:2" x14ac:dyDescent="0.25">
      <c r="A23240"/>
      <c r="B23240"/>
    </row>
    <row r="23241" spans="1:2" x14ac:dyDescent="0.25">
      <c r="A23241"/>
      <c r="B23241"/>
    </row>
    <row r="23242" spans="1:2" x14ac:dyDescent="0.25">
      <c r="A23242"/>
      <c r="B23242"/>
    </row>
    <row r="23243" spans="1:2" x14ac:dyDescent="0.25">
      <c r="A23243"/>
      <c r="B23243"/>
    </row>
    <row r="23244" spans="1:2" x14ac:dyDescent="0.25">
      <c r="A23244"/>
      <c r="B23244"/>
    </row>
    <row r="23245" spans="1:2" x14ac:dyDescent="0.25">
      <c r="A23245"/>
      <c r="B23245"/>
    </row>
    <row r="23246" spans="1:2" x14ac:dyDescent="0.25">
      <c r="A23246"/>
      <c r="B23246"/>
    </row>
    <row r="23247" spans="1:2" x14ac:dyDescent="0.25">
      <c r="A23247"/>
      <c r="B23247"/>
    </row>
    <row r="23248" spans="1:2" x14ac:dyDescent="0.25">
      <c r="A23248"/>
      <c r="B23248"/>
    </row>
    <row r="23249" spans="1:2" x14ac:dyDescent="0.25">
      <c r="A23249"/>
      <c r="B23249"/>
    </row>
    <row r="23250" spans="1:2" x14ac:dyDescent="0.25">
      <c r="A23250"/>
      <c r="B23250"/>
    </row>
    <row r="23251" spans="1:2" x14ac:dyDescent="0.25">
      <c r="A23251"/>
      <c r="B23251"/>
    </row>
    <row r="23252" spans="1:2" x14ac:dyDescent="0.25">
      <c r="A23252"/>
      <c r="B23252"/>
    </row>
    <row r="23253" spans="1:2" x14ac:dyDescent="0.25">
      <c r="A23253"/>
      <c r="B23253"/>
    </row>
    <row r="23254" spans="1:2" x14ac:dyDescent="0.25">
      <c r="A23254"/>
      <c r="B23254"/>
    </row>
    <row r="23255" spans="1:2" x14ac:dyDescent="0.25">
      <c r="A23255"/>
      <c r="B23255"/>
    </row>
    <row r="23256" spans="1:2" x14ac:dyDescent="0.25">
      <c r="A23256"/>
      <c r="B23256"/>
    </row>
    <row r="23257" spans="1:2" x14ac:dyDescent="0.25">
      <c r="A23257"/>
      <c r="B23257"/>
    </row>
    <row r="23258" spans="1:2" x14ac:dyDescent="0.25">
      <c r="A23258"/>
      <c r="B23258"/>
    </row>
    <row r="23259" spans="1:2" x14ac:dyDescent="0.25">
      <c r="A23259"/>
      <c r="B23259"/>
    </row>
    <row r="23260" spans="1:2" x14ac:dyDescent="0.25">
      <c r="A23260"/>
      <c r="B23260"/>
    </row>
    <row r="23261" spans="1:2" x14ac:dyDescent="0.25">
      <c r="A23261"/>
      <c r="B23261"/>
    </row>
    <row r="23262" spans="1:2" x14ac:dyDescent="0.25">
      <c r="A23262"/>
      <c r="B23262"/>
    </row>
    <row r="23263" spans="1:2" x14ac:dyDescent="0.25">
      <c r="A23263"/>
      <c r="B23263"/>
    </row>
    <row r="23264" spans="1:2" x14ac:dyDescent="0.25">
      <c r="A23264"/>
      <c r="B23264"/>
    </row>
    <row r="23265" spans="1:2" x14ac:dyDescent="0.25">
      <c r="A23265"/>
      <c r="B23265"/>
    </row>
    <row r="23266" spans="1:2" x14ac:dyDescent="0.25">
      <c r="A23266"/>
      <c r="B23266"/>
    </row>
    <row r="23267" spans="1:2" x14ac:dyDescent="0.25">
      <c r="A23267"/>
      <c r="B23267"/>
    </row>
    <row r="23268" spans="1:2" x14ac:dyDescent="0.25">
      <c r="A23268"/>
      <c r="B23268"/>
    </row>
    <row r="23269" spans="1:2" x14ac:dyDescent="0.25">
      <c r="A23269"/>
      <c r="B23269"/>
    </row>
    <row r="23270" spans="1:2" x14ac:dyDescent="0.25">
      <c r="A23270"/>
      <c r="B23270"/>
    </row>
    <row r="23271" spans="1:2" x14ac:dyDescent="0.25">
      <c r="A23271"/>
      <c r="B23271"/>
    </row>
    <row r="23272" spans="1:2" x14ac:dyDescent="0.25">
      <c r="A23272"/>
      <c r="B23272"/>
    </row>
    <row r="23273" spans="1:2" x14ac:dyDescent="0.25">
      <c r="A23273"/>
      <c r="B23273"/>
    </row>
    <row r="23274" spans="1:2" x14ac:dyDescent="0.25">
      <c r="A23274"/>
      <c r="B23274"/>
    </row>
    <row r="23275" spans="1:2" x14ac:dyDescent="0.25">
      <c r="A23275"/>
      <c r="B23275"/>
    </row>
    <row r="23276" spans="1:2" x14ac:dyDescent="0.25">
      <c r="A23276"/>
      <c r="B23276"/>
    </row>
    <row r="23277" spans="1:2" x14ac:dyDescent="0.25">
      <c r="A23277"/>
      <c r="B23277"/>
    </row>
    <row r="23278" spans="1:2" x14ac:dyDescent="0.25">
      <c r="A23278"/>
      <c r="B23278"/>
    </row>
    <row r="23279" spans="1:2" x14ac:dyDescent="0.25">
      <c r="A23279"/>
      <c r="B23279"/>
    </row>
    <row r="23280" spans="1:2" x14ac:dyDescent="0.25">
      <c r="A23280"/>
      <c r="B23280"/>
    </row>
    <row r="23281" spans="1:2" x14ac:dyDescent="0.25">
      <c r="A23281"/>
      <c r="B23281"/>
    </row>
    <row r="23282" spans="1:2" x14ac:dyDescent="0.25">
      <c r="A23282"/>
      <c r="B23282"/>
    </row>
    <row r="23283" spans="1:2" x14ac:dyDescent="0.25">
      <c r="A23283"/>
      <c r="B23283"/>
    </row>
    <row r="23284" spans="1:2" x14ac:dyDescent="0.25">
      <c r="A23284"/>
      <c r="B23284"/>
    </row>
    <row r="23285" spans="1:2" x14ac:dyDescent="0.25">
      <c r="A23285"/>
      <c r="B23285"/>
    </row>
    <row r="23286" spans="1:2" x14ac:dyDescent="0.25">
      <c r="A23286"/>
      <c r="B23286"/>
    </row>
    <row r="23287" spans="1:2" x14ac:dyDescent="0.25">
      <c r="A23287"/>
      <c r="B23287"/>
    </row>
    <row r="23288" spans="1:2" x14ac:dyDescent="0.25">
      <c r="A23288"/>
      <c r="B23288"/>
    </row>
    <row r="23289" spans="1:2" x14ac:dyDescent="0.25">
      <c r="A23289"/>
      <c r="B23289"/>
    </row>
    <row r="23290" spans="1:2" x14ac:dyDescent="0.25">
      <c r="A23290"/>
      <c r="B23290"/>
    </row>
    <row r="23291" spans="1:2" x14ac:dyDescent="0.25">
      <c r="A23291"/>
      <c r="B23291"/>
    </row>
    <row r="23292" spans="1:2" x14ac:dyDescent="0.25">
      <c r="A23292"/>
      <c r="B23292"/>
    </row>
    <row r="23293" spans="1:2" x14ac:dyDescent="0.25">
      <c r="A23293"/>
      <c r="B23293"/>
    </row>
    <row r="23294" spans="1:2" x14ac:dyDescent="0.25">
      <c r="A23294"/>
      <c r="B23294"/>
    </row>
    <row r="23295" spans="1:2" x14ac:dyDescent="0.25">
      <c r="A23295"/>
      <c r="B23295"/>
    </row>
    <row r="23296" spans="1:2" x14ac:dyDescent="0.25">
      <c r="A23296"/>
      <c r="B23296"/>
    </row>
    <row r="23297" spans="1:2" x14ac:dyDescent="0.25">
      <c r="A23297"/>
      <c r="B23297"/>
    </row>
    <row r="23298" spans="1:2" x14ac:dyDescent="0.25">
      <c r="A23298"/>
      <c r="B23298"/>
    </row>
    <row r="23299" spans="1:2" x14ac:dyDescent="0.25">
      <c r="A23299"/>
      <c r="B23299"/>
    </row>
    <row r="23300" spans="1:2" x14ac:dyDescent="0.25">
      <c r="A23300"/>
      <c r="B23300"/>
    </row>
    <row r="23301" spans="1:2" x14ac:dyDescent="0.25">
      <c r="A23301"/>
      <c r="B23301"/>
    </row>
    <row r="23302" spans="1:2" x14ac:dyDescent="0.25">
      <c r="A23302"/>
      <c r="B23302"/>
    </row>
    <row r="23303" spans="1:2" x14ac:dyDescent="0.25">
      <c r="A23303"/>
      <c r="B23303"/>
    </row>
    <row r="23304" spans="1:2" x14ac:dyDescent="0.25">
      <c r="A23304"/>
      <c r="B23304"/>
    </row>
    <row r="23305" spans="1:2" x14ac:dyDescent="0.25">
      <c r="A23305"/>
      <c r="B23305"/>
    </row>
    <row r="23306" spans="1:2" x14ac:dyDescent="0.25">
      <c r="A23306"/>
      <c r="B23306"/>
    </row>
    <row r="23307" spans="1:2" x14ac:dyDescent="0.25">
      <c r="A23307"/>
      <c r="B23307"/>
    </row>
    <row r="23308" spans="1:2" x14ac:dyDescent="0.25">
      <c r="A23308"/>
      <c r="B23308"/>
    </row>
    <row r="23309" spans="1:2" x14ac:dyDescent="0.25">
      <c r="A23309"/>
      <c r="B23309"/>
    </row>
    <row r="23310" spans="1:2" x14ac:dyDescent="0.25">
      <c r="A23310"/>
      <c r="B23310"/>
    </row>
    <row r="23311" spans="1:2" x14ac:dyDescent="0.25">
      <c r="A23311"/>
      <c r="B23311"/>
    </row>
    <row r="23312" spans="1:2" x14ac:dyDescent="0.25">
      <c r="A23312"/>
      <c r="B23312"/>
    </row>
    <row r="23313" spans="1:2" x14ac:dyDescent="0.25">
      <c r="A23313"/>
      <c r="B23313"/>
    </row>
    <row r="23314" spans="1:2" x14ac:dyDescent="0.25">
      <c r="A23314"/>
      <c r="B23314"/>
    </row>
    <row r="23315" spans="1:2" x14ac:dyDescent="0.25">
      <c r="A23315"/>
      <c r="B23315"/>
    </row>
    <row r="23316" spans="1:2" x14ac:dyDescent="0.25">
      <c r="A23316"/>
      <c r="B23316"/>
    </row>
    <row r="23317" spans="1:2" x14ac:dyDescent="0.25">
      <c r="A23317"/>
      <c r="B23317"/>
    </row>
    <row r="23318" spans="1:2" x14ac:dyDescent="0.25">
      <c r="A23318"/>
      <c r="B23318"/>
    </row>
    <row r="23319" spans="1:2" x14ac:dyDescent="0.25">
      <c r="A23319"/>
      <c r="B23319"/>
    </row>
    <row r="23320" spans="1:2" x14ac:dyDescent="0.25">
      <c r="A23320"/>
      <c r="B23320"/>
    </row>
    <row r="23321" spans="1:2" x14ac:dyDescent="0.25">
      <c r="A23321"/>
      <c r="B23321"/>
    </row>
    <row r="23322" spans="1:2" x14ac:dyDescent="0.25">
      <c r="A23322"/>
      <c r="B23322"/>
    </row>
    <row r="23323" spans="1:2" x14ac:dyDescent="0.25">
      <c r="A23323"/>
      <c r="B23323"/>
    </row>
    <row r="23324" spans="1:2" x14ac:dyDescent="0.25">
      <c r="A23324"/>
      <c r="B23324"/>
    </row>
    <row r="23325" spans="1:2" x14ac:dyDescent="0.25">
      <c r="A23325"/>
      <c r="B23325"/>
    </row>
    <row r="23326" spans="1:2" x14ac:dyDescent="0.25">
      <c r="A23326"/>
      <c r="B23326"/>
    </row>
    <row r="23327" spans="1:2" x14ac:dyDescent="0.25">
      <c r="A23327"/>
      <c r="B23327"/>
    </row>
    <row r="23328" spans="1:2" x14ac:dyDescent="0.25">
      <c r="A23328"/>
      <c r="B23328"/>
    </row>
    <row r="23329" spans="1:2" x14ac:dyDescent="0.25">
      <c r="A23329"/>
      <c r="B23329"/>
    </row>
    <row r="23330" spans="1:2" x14ac:dyDescent="0.25">
      <c r="A23330"/>
      <c r="B23330"/>
    </row>
    <row r="23331" spans="1:2" x14ac:dyDescent="0.25">
      <c r="A23331"/>
      <c r="B23331"/>
    </row>
    <row r="23332" spans="1:2" x14ac:dyDescent="0.25">
      <c r="A23332"/>
      <c r="B23332"/>
    </row>
    <row r="23333" spans="1:2" x14ac:dyDescent="0.25">
      <c r="A23333"/>
      <c r="B23333"/>
    </row>
    <row r="23334" spans="1:2" x14ac:dyDescent="0.25">
      <c r="A23334"/>
      <c r="B23334"/>
    </row>
    <row r="23335" spans="1:2" x14ac:dyDescent="0.25">
      <c r="A23335"/>
      <c r="B23335"/>
    </row>
    <row r="23336" spans="1:2" x14ac:dyDescent="0.25">
      <c r="A23336"/>
      <c r="B23336"/>
    </row>
    <row r="23337" spans="1:2" x14ac:dyDescent="0.25">
      <c r="A23337"/>
      <c r="B23337"/>
    </row>
    <row r="23338" spans="1:2" x14ac:dyDescent="0.25">
      <c r="A23338"/>
      <c r="B23338"/>
    </row>
    <row r="23339" spans="1:2" x14ac:dyDescent="0.25">
      <c r="A23339"/>
      <c r="B23339"/>
    </row>
    <row r="23340" spans="1:2" x14ac:dyDescent="0.25">
      <c r="A23340"/>
      <c r="B23340"/>
    </row>
    <row r="23341" spans="1:2" x14ac:dyDescent="0.25">
      <c r="A23341"/>
      <c r="B23341"/>
    </row>
    <row r="23342" spans="1:2" x14ac:dyDescent="0.25">
      <c r="A23342"/>
      <c r="B23342"/>
    </row>
    <row r="23343" spans="1:2" x14ac:dyDescent="0.25">
      <c r="A23343"/>
      <c r="B23343"/>
    </row>
    <row r="23344" spans="1:2" x14ac:dyDescent="0.25">
      <c r="A23344"/>
      <c r="B23344"/>
    </row>
    <row r="23345" spans="1:2" x14ac:dyDescent="0.25">
      <c r="A23345"/>
      <c r="B23345"/>
    </row>
    <row r="23346" spans="1:2" x14ac:dyDescent="0.25">
      <c r="A23346"/>
      <c r="B23346"/>
    </row>
    <row r="23347" spans="1:2" x14ac:dyDescent="0.25">
      <c r="A23347"/>
      <c r="B23347"/>
    </row>
    <row r="23348" spans="1:2" x14ac:dyDescent="0.25">
      <c r="A23348"/>
      <c r="B23348"/>
    </row>
    <row r="23349" spans="1:2" x14ac:dyDescent="0.25">
      <c r="A23349"/>
      <c r="B23349"/>
    </row>
    <row r="23350" spans="1:2" x14ac:dyDescent="0.25">
      <c r="A23350"/>
      <c r="B23350"/>
    </row>
    <row r="23351" spans="1:2" x14ac:dyDescent="0.25">
      <c r="A23351"/>
      <c r="B23351"/>
    </row>
    <row r="23352" spans="1:2" x14ac:dyDescent="0.25">
      <c r="A23352"/>
      <c r="B23352"/>
    </row>
    <row r="23353" spans="1:2" x14ac:dyDescent="0.25">
      <c r="A23353"/>
      <c r="B23353"/>
    </row>
    <row r="23354" spans="1:2" x14ac:dyDescent="0.25">
      <c r="A23354"/>
      <c r="B23354"/>
    </row>
    <row r="23355" spans="1:2" x14ac:dyDescent="0.25">
      <c r="A23355"/>
      <c r="B23355"/>
    </row>
    <row r="23356" spans="1:2" x14ac:dyDescent="0.25">
      <c r="A23356"/>
      <c r="B23356"/>
    </row>
    <row r="23357" spans="1:2" x14ac:dyDescent="0.25">
      <c r="A23357"/>
      <c r="B23357"/>
    </row>
    <row r="23358" spans="1:2" x14ac:dyDescent="0.25">
      <c r="A23358"/>
      <c r="B23358"/>
    </row>
    <row r="23359" spans="1:2" x14ac:dyDescent="0.25">
      <c r="A23359"/>
      <c r="B23359"/>
    </row>
    <row r="23360" spans="1:2" x14ac:dyDescent="0.25">
      <c r="A23360"/>
      <c r="B23360"/>
    </row>
    <row r="23361" spans="1:2" x14ac:dyDescent="0.25">
      <c r="A23361"/>
      <c r="B23361"/>
    </row>
    <row r="23362" spans="1:2" x14ac:dyDescent="0.25">
      <c r="A23362"/>
      <c r="B23362"/>
    </row>
    <row r="23363" spans="1:2" x14ac:dyDescent="0.25">
      <c r="A23363"/>
      <c r="B23363"/>
    </row>
    <row r="23364" spans="1:2" x14ac:dyDescent="0.25">
      <c r="A23364"/>
      <c r="B23364"/>
    </row>
    <row r="23365" spans="1:2" x14ac:dyDescent="0.25">
      <c r="A23365"/>
      <c r="B23365"/>
    </row>
    <row r="23366" spans="1:2" x14ac:dyDescent="0.25">
      <c r="A23366"/>
      <c r="B23366"/>
    </row>
    <row r="23367" spans="1:2" x14ac:dyDescent="0.25">
      <c r="A23367"/>
      <c r="B23367"/>
    </row>
    <row r="23368" spans="1:2" x14ac:dyDescent="0.25">
      <c r="A23368"/>
      <c r="B23368"/>
    </row>
    <row r="23369" spans="1:2" x14ac:dyDescent="0.25">
      <c r="A23369"/>
      <c r="B23369"/>
    </row>
    <row r="23370" spans="1:2" x14ac:dyDescent="0.25">
      <c r="A23370"/>
      <c r="B23370"/>
    </row>
    <row r="23371" spans="1:2" x14ac:dyDescent="0.25">
      <c r="A23371"/>
      <c r="B23371"/>
    </row>
    <row r="23372" spans="1:2" x14ac:dyDescent="0.25">
      <c r="A23372"/>
      <c r="B23372"/>
    </row>
    <row r="23373" spans="1:2" x14ac:dyDescent="0.25">
      <c r="A23373"/>
      <c r="B23373"/>
    </row>
    <row r="23374" spans="1:2" x14ac:dyDescent="0.25">
      <c r="A23374"/>
      <c r="B23374"/>
    </row>
    <row r="23375" spans="1:2" x14ac:dyDescent="0.25">
      <c r="A23375"/>
      <c r="B23375"/>
    </row>
    <row r="23376" spans="1:2" x14ac:dyDescent="0.25">
      <c r="A23376"/>
      <c r="B23376"/>
    </row>
    <row r="23377" spans="1:2" x14ac:dyDescent="0.25">
      <c r="A23377"/>
      <c r="B23377"/>
    </row>
    <row r="23378" spans="1:2" x14ac:dyDescent="0.25">
      <c r="A23378"/>
      <c r="B23378"/>
    </row>
    <row r="23379" spans="1:2" x14ac:dyDescent="0.25">
      <c r="A23379"/>
      <c r="B23379"/>
    </row>
    <row r="23380" spans="1:2" x14ac:dyDescent="0.25">
      <c r="A23380"/>
      <c r="B23380"/>
    </row>
    <row r="23381" spans="1:2" x14ac:dyDescent="0.25">
      <c r="A23381"/>
      <c r="B23381"/>
    </row>
    <row r="23382" spans="1:2" x14ac:dyDescent="0.25">
      <c r="A23382"/>
      <c r="B23382"/>
    </row>
    <row r="23383" spans="1:2" x14ac:dyDescent="0.25">
      <c r="A23383"/>
      <c r="B23383"/>
    </row>
    <row r="23384" spans="1:2" x14ac:dyDescent="0.25">
      <c r="A23384"/>
      <c r="B23384"/>
    </row>
    <row r="23385" spans="1:2" x14ac:dyDescent="0.25">
      <c r="A23385"/>
      <c r="B23385"/>
    </row>
    <row r="23386" spans="1:2" x14ac:dyDescent="0.25">
      <c r="A23386"/>
      <c r="B23386"/>
    </row>
    <row r="23387" spans="1:2" x14ac:dyDescent="0.25">
      <c r="A23387"/>
      <c r="B23387"/>
    </row>
    <row r="23388" spans="1:2" x14ac:dyDescent="0.25">
      <c r="A23388"/>
      <c r="B23388"/>
    </row>
    <row r="23389" spans="1:2" x14ac:dyDescent="0.25">
      <c r="A23389"/>
      <c r="B23389"/>
    </row>
    <row r="23390" spans="1:2" x14ac:dyDescent="0.25">
      <c r="A23390"/>
      <c r="B23390"/>
    </row>
    <row r="23391" spans="1:2" x14ac:dyDescent="0.25">
      <c r="A23391"/>
      <c r="B23391"/>
    </row>
    <row r="23392" spans="1:2" x14ac:dyDescent="0.25">
      <c r="A23392"/>
      <c r="B23392"/>
    </row>
    <row r="23393" spans="1:2" x14ac:dyDescent="0.25">
      <c r="A23393"/>
      <c r="B23393"/>
    </row>
    <row r="23394" spans="1:2" x14ac:dyDescent="0.25">
      <c r="A23394"/>
      <c r="B23394"/>
    </row>
    <row r="23395" spans="1:2" x14ac:dyDescent="0.25">
      <c r="A23395"/>
      <c r="B23395"/>
    </row>
    <row r="23396" spans="1:2" x14ac:dyDescent="0.25">
      <c r="A23396"/>
      <c r="B23396"/>
    </row>
    <row r="23397" spans="1:2" x14ac:dyDescent="0.25">
      <c r="A23397"/>
      <c r="B23397"/>
    </row>
    <row r="23398" spans="1:2" x14ac:dyDescent="0.25">
      <c r="A23398"/>
      <c r="B23398"/>
    </row>
    <row r="23399" spans="1:2" x14ac:dyDescent="0.25">
      <c r="A23399"/>
      <c r="B23399"/>
    </row>
    <row r="23400" spans="1:2" x14ac:dyDescent="0.25">
      <c r="A23400"/>
      <c r="B23400"/>
    </row>
    <row r="23401" spans="1:2" x14ac:dyDescent="0.25">
      <c r="A23401"/>
      <c r="B23401"/>
    </row>
    <row r="23402" spans="1:2" x14ac:dyDescent="0.25">
      <c r="A23402"/>
      <c r="B23402"/>
    </row>
    <row r="23403" spans="1:2" x14ac:dyDescent="0.25">
      <c r="A23403"/>
      <c r="B23403"/>
    </row>
    <row r="23404" spans="1:2" x14ac:dyDescent="0.25">
      <c r="A23404"/>
      <c r="B23404"/>
    </row>
    <row r="23405" spans="1:2" x14ac:dyDescent="0.25">
      <c r="A23405"/>
      <c r="B23405"/>
    </row>
    <row r="23406" spans="1:2" x14ac:dyDescent="0.25">
      <c r="A23406"/>
      <c r="B23406"/>
    </row>
    <row r="23407" spans="1:2" x14ac:dyDescent="0.25">
      <c r="A23407"/>
      <c r="B23407"/>
    </row>
    <row r="23408" spans="1:2" x14ac:dyDescent="0.25">
      <c r="A23408"/>
      <c r="B23408"/>
    </row>
    <row r="23409" spans="1:2" x14ac:dyDescent="0.25">
      <c r="A23409"/>
      <c r="B23409"/>
    </row>
    <row r="23410" spans="1:2" x14ac:dyDescent="0.25">
      <c r="A23410"/>
      <c r="B23410"/>
    </row>
    <row r="23411" spans="1:2" x14ac:dyDescent="0.25">
      <c r="A23411"/>
      <c r="B23411"/>
    </row>
    <row r="23412" spans="1:2" x14ac:dyDescent="0.25">
      <c r="A23412"/>
      <c r="B23412"/>
    </row>
    <row r="23413" spans="1:2" x14ac:dyDescent="0.25">
      <c r="A23413"/>
      <c r="B23413"/>
    </row>
    <row r="23414" spans="1:2" x14ac:dyDescent="0.25">
      <c r="A23414"/>
      <c r="B23414"/>
    </row>
    <row r="23415" spans="1:2" x14ac:dyDescent="0.25">
      <c r="A23415"/>
      <c r="B23415"/>
    </row>
    <row r="23416" spans="1:2" x14ac:dyDescent="0.25">
      <c r="A23416"/>
      <c r="B23416"/>
    </row>
    <row r="23417" spans="1:2" x14ac:dyDescent="0.25">
      <c r="A23417"/>
      <c r="B23417"/>
    </row>
    <row r="23418" spans="1:2" x14ac:dyDescent="0.25">
      <c r="A23418"/>
      <c r="B23418"/>
    </row>
    <row r="23419" spans="1:2" x14ac:dyDescent="0.25">
      <c r="A23419"/>
      <c r="B23419"/>
    </row>
    <row r="23420" spans="1:2" x14ac:dyDescent="0.25">
      <c r="A23420"/>
      <c r="B23420"/>
    </row>
    <row r="23421" spans="1:2" x14ac:dyDescent="0.25">
      <c r="A23421"/>
      <c r="B23421"/>
    </row>
    <row r="23422" spans="1:2" x14ac:dyDescent="0.25">
      <c r="A23422"/>
      <c r="B23422"/>
    </row>
    <row r="23423" spans="1:2" x14ac:dyDescent="0.25">
      <c r="A23423"/>
      <c r="B23423"/>
    </row>
    <row r="23424" spans="1:2" x14ac:dyDescent="0.25">
      <c r="A23424"/>
      <c r="B23424"/>
    </row>
    <row r="23425" spans="1:2" x14ac:dyDescent="0.25">
      <c r="A23425"/>
      <c r="B23425"/>
    </row>
    <row r="23426" spans="1:2" x14ac:dyDescent="0.25">
      <c r="A23426"/>
      <c r="B23426"/>
    </row>
    <row r="23427" spans="1:2" x14ac:dyDescent="0.25">
      <c r="A23427"/>
      <c r="B23427"/>
    </row>
    <row r="23428" spans="1:2" x14ac:dyDescent="0.25">
      <c r="A23428"/>
      <c r="B23428"/>
    </row>
    <row r="23429" spans="1:2" x14ac:dyDescent="0.25">
      <c r="A23429"/>
      <c r="B23429"/>
    </row>
    <row r="23430" spans="1:2" x14ac:dyDescent="0.25">
      <c r="A23430"/>
      <c r="B23430"/>
    </row>
    <row r="23431" spans="1:2" x14ac:dyDescent="0.25">
      <c r="A23431"/>
      <c r="B23431"/>
    </row>
    <row r="23432" spans="1:2" x14ac:dyDescent="0.25">
      <c r="A23432"/>
      <c r="B23432"/>
    </row>
    <row r="23433" spans="1:2" x14ac:dyDescent="0.25">
      <c r="A23433"/>
      <c r="B23433"/>
    </row>
    <row r="23434" spans="1:2" x14ac:dyDescent="0.25">
      <c r="A23434"/>
      <c r="B23434"/>
    </row>
    <row r="23435" spans="1:2" x14ac:dyDescent="0.25">
      <c r="A23435"/>
      <c r="B23435"/>
    </row>
    <row r="23436" spans="1:2" x14ac:dyDescent="0.25">
      <c r="A23436"/>
      <c r="B23436"/>
    </row>
    <row r="23437" spans="1:2" x14ac:dyDescent="0.25">
      <c r="A23437"/>
      <c r="B23437"/>
    </row>
    <row r="23438" spans="1:2" x14ac:dyDescent="0.25">
      <c r="A23438"/>
      <c r="B23438"/>
    </row>
    <row r="23439" spans="1:2" x14ac:dyDescent="0.25">
      <c r="A23439"/>
      <c r="B23439"/>
    </row>
    <row r="23440" spans="1:2" x14ac:dyDescent="0.25">
      <c r="A23440"/>
      <c r="B23440"/>
    </row>
    <row r="23441" spans="1:2" x14ac:dyDescent="0.25">
      <c r="A23441"/>
      <c r="B23441"/>
    </row>
    <row r="23442" spans="1:2" x14ac:dyDescent="0.25">
      <c r="A23442"/>
      <c r="B23442"/>
    </row>
    <row r="23443" spans="1:2" x14ac:dyDescent="0.25">
      <c r="A23443"/>
      <c r="B23443"/>
    </row>
    <row r="23444" spans="1:2" x14ac:dyDescent="0.25">
      <c r="A23444"/>
      <c r="B23444"/>
    </row>
    <row r="23445" spans="1:2" x14ac:dyDescent="0.25">
      <c r="A23445"/>
      <c r="B23445"/>
    </row>
    <row r="23446" spans="1:2" x14ac:dyDescent="0.25">
      <c r="A23446"/>
      <c r="B23446"/>
    </row>
    <row r="23447" spans="1:2" x14ac:dyDescent="0.25">
      <c r="A23447"/>
      <c r="B23447"/>
    </row>
    <row r="23448" spans="1:2" x14ac:dyDescent="0.25">
      <c r="A23448"/>
      <c r="B23448"/>
    </row>
    <row r="23449" spans="1:2" x14ac:dyDescent="0.25">
      <c r="A23449"/>
      <c r="B23449"/>
    </row>
    <row r="23450" spans="1:2" x14ac:dyDescent="0.25">
      <c r="A23450"/>
      <c r="B23450"/>
    </row>
    <row r="23451" spans="1:2" x14ac:dyDescent="0.25">
      <c r="A23451"/>
      <c r="B23451"/>
    </row>
    <row r="23452" spans="1:2" x14ac:dyDescent="0.25">
      <c r="A23452"/>
      <c r="B23452"/>
    </row>
    <row r="23453" spans="1:2" x14ac:dyDescent="0.25">
      <c r="A23453"/>
      <c r="B23453"/>
    </row>
    <row r="23454" spans="1:2" x14ac:dyDescent="0.25">
      <c r="A23454"/>
      <c r="B23454"/>
    </row>
    <row r="23455" spans="1:2" x14ac:dyDescent="0.25">
      <c r="A23455"/>
      <c r="B23455"/>
    </row>
    <row r="23456" spans="1:2" x14ac:dyDescent="0.25">
      <c r="A23456"/>
      <c r="B23456"/>
    </row>
    <row r="23457" spans="1:2" x14ac:dyDescent="0.25">
      <c r="A23457"/>
      <c r="B23457"/>
    </row>
    <row r="23458" spans="1:2" x14ac:dyDescent="0.25">
      <c r="A23458"/>
      <c r="B23458"/>
    </row>
    <row r="23459" spans="1:2" x14ac:dyDescent="0.25">
      <c r="A23459"/>
      <c r="B23459"/>
    </row>
    <row r="23460" spans="1:2" x14ac:dyDescent="0.25">
      <c r="A23460"/>
      <c r="B23460"/>
    </row>
    <row r="23461" spans="1:2" x14ac:dyDescent="0.25">
      <c r="A23461"/>
      <c r="B23461"/>
    </row>
    <row r="23462" spans="1:2" x14ac:dyDescent="0.25">
      <c r="A23462"/>
      <c r="B23462"/>
    </row>
    <row r="23463" spans="1:2" x14ac:dyDescent="0.25">
      <c r="A23463"/>
      <c r="B23463"/>
    </row>
    <row r="23464" spans="1:2" x14ac:dyDescent="0.25">
      <c r="A23464"/>
      <c r="B23464"/>
    </row>
    <row r="23465" spans="1:2" x14ac:dyDescent="0.25">
      <c r="A23465"/>
      <c r="B23465"/>
    </row>
    <row r="23466" spans="1:2" x14ac:dyDescent="0.25">
      <c r="A23466"/>
      <c r="B23466"/>
    </row>
    <row r="23467" spans="1:2" x14ac:dyDescent="0.25">
      <c r="A23467"/>
      <c r="B23467"/>
    </row>
    <row r="23468" spans="1:2" x14ac:dyDescent="0.25">
      <c r="A23468"/>
      <c r="B23468"/>
    </row>
    <row r="23469" spans="1:2" x14ac:dyDescent="0.25">
      <c r="A23469"/>
      <c r="B23469"/>
    </row>
    <row r="23470" spans="1:2" x14ac:dyDescent="0.25">
      <c r="A23470"/>
      <c r="B23470"/>
    </row>
    <row r="23471" spans="1:2" x14ac:dyDescent="0.25">
      <c r="A23471"/>
      <c r="B23471"/>
    </row>
    <row r="23472" spans="1:2" x14ac:dyDescent="0.25">
      <c r="A23472"/>
      <c r="B23472"/>
    </row>
    <row r="23473" spans="1:2" x14ac:dyDescent="0.25">
      <c r="A23473"/>
      <c r="B23473"/>
    </row>
    <row r="23474" spans="1:2" x14ac:dyDescent="0.25">
      <c r="A23474"/>
      <c r="B23474"/>
    </row>
    <row r="23475" spans="1:2" x14ac:dyDescent="0.25">
      <c r="A23475"/>
      <c r="B23475"/>
    </row>
    <row r="23476" spans="1:2" x14ac:dyDescent="0.25">
      <c r="A23476"/>
      <c r="B23476"/>
    </row>
    <row r="23477" spans="1:2" x14ac:dyDescent="0.25">
      <c r="A23477"/>
      <c r="B23477"/>
    </row>
    <row r="23478" spans="1:2" x14ac:dyDescent="0.25">
      <c r="A23478"/>
      <c r="B23478"/>
    </row>
    <row r="23479" spans="1:2" x14ac:dyDescent="0.25">
      <c r="A23479"/>
      <c r="B23479"/>
    </row>
    <row r="23480" spans="1:2" x14ac:dyDescent="0.25">
      <c r="A23480"/>
      <c r="B23480"/>
    </row>
    <row r="23481" spans="1:2" x14ac:dyDescent="0.25">
      <c r="A23481"/>
      <c r="B23481"/>
    </row>
    <row r="23482" spans="1:2" x14ac:dyDescent="0.25">
      <c r="A23482"/>
      <c r="B23482"/>
    </row>
    <row r="23483" spans="1:2" x14ac:dyDescent="0.25">
      <c r="A23483"/>
      <c r="B23483"/>
    </row>
    <row r="23484" spans="1:2" x14ac:dyDescent="0.25">
      <c r="A23484"/>
      <c r="B23484"/>
    </row>
    <row r="23485" spans="1:2" x14ac:dyDescent="0.25">
      <c r="A23485"/>
      <c r="B23485"/>
    </row>
    <row r="23486" spans="1:2" x14ac:dyDescent="0.25">
      <c r="A23486"/>
      <c r="B23486"/>
    </row>
    <row r="23487" spans="1:2" x14ac:dyDescent="0.25">
      <c r="A23487"/>
      <c r="B23487"/>
    </row>
    <row r="23488" spans="1:2" x14ac:dyDescent="0.25">
      <c r="A23488"/>
      <c r="B23488"/>
    </row>
    <row r="23489" spans="1:2" x14ac:dyDescent="0.25">
      <c r="A23489"/>
      <c r="B23489"/>
    </row>
    <row r="23490" spans="1:2" x14ac:dyDescent="0.25">
      <c r="A23490"/>
      <c r="B23490"/>
    </row>
    <row r="23491" spans="1:2" x14ac:dyDescent="0.25">
      <c r="A23491"/>
      <c r="B23491"/>
    </row>
    <row r="23492" spans="1:2" x14ac:dyDescent="0.25">
      <c r="A23492"/>
      <c r="B23492"/>
    </row>
    <row r="23493" spans="1:2" x14ac:dyDescent="0.25">
      <c r="A23493"/>
      <c r="B23493"/>
    </row>
    <row r="23494" spans="1:2" x14ac:dyDescent="0.25">
      <c r="A23494"/>
      <c r="B23494"/>
    </row>
    <row r="23495" spans="1:2" x14ac:dyDescent="0.25">
      <c r="A23495"/>
      <c r="B23495"/>
    </row>
    <row r="23496" spans="1:2" x14ac:dyDescent="0.25">
      <c r="A23496"/>
      <c r="B23496"/>
    </row>
    <row r="23497" spans="1:2" x14ac:dyDescent="0.25">
      <c r="A23497"/>
      <c r="B23497"/>
    </row>
    <row r="23498" spans="1:2" x14ac:dyDescent="0.25">
      <c r="A23498"/>
      <c r="B23498"/>
    </row>
    <row r="23499" spans="1:2" x14ac:dyDescent="0.25">
      <c r="A23499"/>
      <c r="B23499"/>
    </row>
    <row r="23500" spans="1:2" x14ac:dyDescent="0.25">
      <c r="A23500"/>
      <c r="B23500"/>
    </row>
    <row r="23501" spans="1:2" x14ac:dyDescent="0.25">
      <c r="A23501"/>
      <c r="B23501"/>
    </row>
    <row r="23502" spans="1:2" x14ac:dyDescent="0.25">
      <c r="A23502"/>
      <c r="B23502"/>
    </row>
    <row r="23503" spans="1:2" x14ac:dyDescent="0.25">
      <c r="A23503"/>
      <c r="B23503"/>
    </row>
    <row r="23504" spans="1:2" x14ac:dyDescent="0.25">
      <c r="A23504"/>
      <c r="B23504"/>
    </row>
    <row r="23505" spans="1:2" x14ac:dyDescent="0.25">
      <c r="A23505"/>
      <c r="B23505"/>
    </row>
    <row r="23506" spans="1:2" x14ac:dyDescent="0.25">
      <c r="A23506"/>
      <c r="B23506"/>
    </row>
    <row r="23507" spans="1:2" x14ac:dyDescent="0.25">
      <c r="A23507"/>
      <c r="B23507"/>
    </row>
    <row r="23508" spans="1:2" x14ac:dyDescent="0.25">
      <c r="A23508"/>
      <c r="B23508"/>
    </row>
    <row r="23509" spans="1:2" x14ac:dyDescent="0.25">
      <c r="A23509"/>
      <c r="B23509"/>
    </row>
    <row r="23510" spans="1:2" x14ac:dyDescent="0.25">
      <c r="A23510"/>
      <c r="B23510"/>
    </row>
    <row r="23511" spans="1:2" x14ac:dyDescent="0.25">
      <c r="A23511"/>
      <c r="B23511"/>
    </row>
    <row r="23512" spans="1:2" x14ac:dyDescent="0.25">
      <c r="A23512"/>
      <c r="B23512"/>
    </row>
    <row r="23513" spans="1:2" x14ac:dyDescent="0.25">
      <c r="A23513"/>
      <c r="B23513"/>
    </row>
    <row r="23514" spans="1:2" x14ac:dyDescent="0.25">
      <c r="A23514"/>
      <c r="B23514"/>
    </row>
    <row r="23515" spans="1:2" x14ac:dyDescent="0.25">
      <c r="A23515"/>
      <c r="B23515"/>
    </row>
    <row r="23516" spans="1:2" x14ac:dyDescent="0.25">
      <c r="A23516"/>
      <c r="B23516"/>
    </row>
    <row r="23517" spans="1:2" x14ac:dyDescent="0.25">
      <c r="A23517"/>
      <c r="B23517"/>
    </row>
    <row r="23518" spans="1:2" x14ac:dyDescent="0.25">
      <c r="A23518"/>
      <c r="B23518"/>
    </row>
    <row r="23519" spans="1:2" x14ac:dyDescent="0.25">
      <c r="A23519"/>
      <c r="B23519"/>
    </row>
    <row r="23520" spans="1:2" x14ac:dyDescent="0.25">
      <c r="A23520"/>
      <c r="B23520"/>
    </row>
    <row r="23521" spans="1:2" x14ac:dyDescent="0.25">
      <c r="A23521"/>
      <c r="B23521"/>
    </row>
    <row r="23522" spans="1:2" x14ac:dyDescent="0.25">
      <c r="A23522"/>
      <c r="B23522"/>
    </row>
    <row r="23523" spans="1:2" x14ac:dyDescent="0.25">
      <c r="A23523"/>
      <c r="B23523"/>
    </row>
    <row r="23524" spans="1:2" x14ac:dyDescent="0.25">
      <c r="A23524"/>
      <c r="B23524"/>
    </row>
    <row r="23525" spans="1:2" x14ac:dyDescent="0.25">
      <c r="A23525"/>
      <c r="B23525"/>
    </row>
    <row r="23526" spans="1:2" x14ac:dyDescent="0.25">
      <c r="A23526"/>
      <c r="B23526"/>
    </row>
    <row r="23527" spans="1:2" x14ac:dyDescent="0.25">
      <c r="A23527"/>
      <c r="B23527"/>
    </row>
    <row r="23528" spans="1:2" x14ac:dyDescent="0.25">
      <c r="A23528"/>
      <c r="B23528"/>
    </row>
    <row r="23529" spans="1:2" x14ac:dyDescent="0.25">
      <c r="A23529"/>
      <c r="B23529"/>
    </row>
    <row r="23530" spans="1:2" x14ac:dyDescent="0.25">
      <c r="A23530"/>
      <c r="B23530"/>
    </row>
    <row r="23531" spans="1:2" x14ac:dyDescent="0.25">
      <c r="A23531"/>
      <c r="B23531"/>
    </row>
    <row r="23532" spans="1:2" x14ac:dyDescent="0.25">
      <c r="A23532"/>
      <c r="B23532"/>
    </row>
    <row r="23533" spans="1:2" x14ac:dyDescent="0.25">
      <c r="A23533"/>
      <c r="B23533"/>
    </row>
    <row r="23534" spans="1:2" x14ac:dyDescent="0.25">
      <c r="A23534"/>
      <c r="B23534"/>
    </row>
    <row r="23535" spans="1:2" x14ac:dyDescent="0.25">
      <c r="A23535"/>
      <c r="B23535"/>
    </row>
    <row r="23536" spans="1:2" x14ac:dyDescent="0.25">
      <c r="A23536"/>
      <c r="B23536"/>
    </row>
    <row r="23537" spans="1:2" x14ac:dyDescent="0.25">
      <c r="A23537"/>
      <c r="B23537"/>
    </row>
    <row r="23538" spans="1:2" x14ac:dyDescent="0.25">
      <c r="A23538"/>
      <c r="B23538"/>
    </row>
    <row r="23539" spans="1:2" x14ac:dyDescent="0.25">
      <c r="A23539"/>
      <c r="B23539"/>
    </row>
    <row r="23540" spans="1:2" x14ac:dyDescent="0.25">
      <c r="A23540"/>
      <c r="B23540"/>
    </row>
    <row r="23541" spans="1:2" x14ac:dyDescent="0.25">
      <c r="A23541"/>
      <c r="B23541"/>
    </row>
    <row r="23542" spans="1:2" x14ac:dyDescent="0.25">
      <c r="A23542"/>
      <c r="B23542"/>
    </row>
    <row r="23543" spans="1:2" x14ac:dyDescent="0.25">
      <c r="A23543"/>
      <c r="B23543"/>
    </row>
    <row r="23544" spans="1:2" x14ac:dyDescent="0.25">
      <c r="A23544"/>
      <c r="B23544"/>
    </row>
    <row r="23545" spans="1:2" x14ac:dyDescent="0.25">
      <c r="A23545"/>
      <c r="B23545"/>
    </row>
    <row r="23546" spans="1:2" x14ac:dyDescent="0.25">
      <c r="A23546"/>
      <c r="B23546"/>
    </row>
    <row r="23547" spans="1:2" x14ac:dyDescent="0.25">
      <c r="A23547"/>
      <c r="B23547"/>
    </row>
    <row r="23548" spans="1:2" x14ac:dyDescent="0.25">
      <c r="A23548"/>
      <c r="B23548"/>
    </row>
    <row r="23549" spans="1:2" x14ac:dyDescent="0.25">
      <c r="A23549"/>
      <c r="B23549"/>
    </row>
    <row r="23550" spans="1:2" x14ac:dyDescent="0.25">
      <c r="A23550"/>
      <c r="B23550"/>
    </row>
    <row r="23551" spans="1:2" x14ac:dyDescent="0.25">
      <c r="A23551"/>
      <c r="B23551"/>
    </row>
    <row r="23552" spans="1:2" x14ac:dyDescent="0.25">
      <c r="A23552"/>
      <c r="B23552"/>
    </row>
    <row r="23553" spans="1:2" x14ac:dyDescent="0.25">
      <c r="A23553"/>
      <c r="B23553"/>
    </row>
    <row r="23554" spans="1:2" x14ac:dyDescent="0.25">
      <c r="A23554"/>
      <c r="B23554"/>
    </row>
    <row r="23555" spans="1:2" x14ac:dyDescent="0.25">
      <c r="A23555"/>
      <c r="B23555"/>
    </row>
    <row r="23556" spans="1:2" x14ac:dyDescent="0.25">
      <c r="A23556"/>
      <c r="B23556"/>
    </row>
    <row r="23557" spans="1:2" x14ac:dyDescent="0.25">
      <c r="A23557"/>
      <c r="B23557"/>
    </row>
    <row r="23558" spans="1:2" x14ac:dyDescent="0.25">
      <c r="A23558"/>
      <c r="B23558"/>
    </row>
    <row r="23559" spans="1:2" x14ac:dyDescent="0.25">
      <c r="A23559"/>
      <c r="B23559"/>
    </row>
    <row r="23560" spans="1:2" x14ac:dyDescent="0.25">
      <c r="A23560"/>
      <c r="B23560"/>
    </row>
    <row r="23561" spans="1:2" x14ac:dyDescent="0.25">
      <c r="A23561"/>
      <c r="B23561"/>
    </row>
    <row r="23562" spans="1:2" x14ac:dyDescent="0.25">
      <c r="A23562"/>
      <c r="B23562"/>
    </row>
    <row r="23563" spans="1:2" x14ac:dyDescent="0.25">
      <c r="A23563"/>
      <c r="B23563"/>
    </row>
    <row r="23564" spans="1:2" x14ac:dyDescent="0.25">
      <c r="A23564"/>
      <c r="B23564"/>
    </row>
    <row r="23565" spans="1:2" x14ac:dyDescent="0.25">
      <c r="A23565"/>
      <c r="B23565"/>
    </row>
    <row r="23566" spans="1:2" x14ac:dyDescent="0.25">
      <c r="A23566"/>
      <c r="B23566"/>
    </row>
    <row r="23567" spans="1:2" x14ac:dyDescent="0.25">
      <c r="A23567"/>
      <c r="B23567"/>
    </row>
    <row r="23568" spans="1:2" x14ac:dyDescent="0.25">
      <c r="A23568"/>
      <c r="B23568"/>
    </row>
    <row r="23569" spans="1:2" x14ac:dyDescent="0.25">
      <c r="A23569"/>
      <c r="B23569"/>
    </row>
    <row r="23570" spans="1:2" x14ac:dyDescent="0.25">
      <c r="A23570"/>
      <c r="B23570"/>
    </row>
    <row r="23571" spans="1:2" x14ac:dyDescent="0.25">
      <c r="A23571"/>
      <c r="B23571"/>
    </row>
    <row r="23572" spans="1:2" x14ac:dyDescent="0.25">
      <c r="A23572"/>
      <c r="B23572"/>
    </row>
    <row r="23573" spans="1:2" x14ac:dyDescent="0.25">
      <c r="A23573"/>
      <c r="B23573"/>
    </row>
    <row r="23574" spans="1:2" x14ac:dyDescent="0.25">
      <c r="A23574"/>
      <c r="B23574"/>
    </row>
    <row r="23575" spans="1:2" x14ac:dyDescent="0.25">
      <c r="A23575"/>
      <c r="B23575"/>
    </row>
    <row r="23576" spans="1:2" x14ac:dyDescent="0.25">
      <c r="A23576"/>
      <c r="B23576"/>
    </row>
    <row r="23577" spans="1:2" x14ac:dyDescent="0.25">
      <c r="A23577"/>
      <c r="B23577"/>
    </row>
    <row r="23578" spans="1:2" x14ac:dyDescent="0.25">
      <c r="A23578"/>
      <c r="B23578"/>
    </row>
    <row r="23579" spans="1:2" x14ac:dyDescent="0.25">
      <c r="A23579"/>
      <c r="B23579"/>
    </row>
    <row r="23580" spans="1:2" x14ac:dyDescent="0.25">
      <c r="A23580"/>
      <c r="B23580"/>
    </row>
    <row r="23581" spans="1:2" x14ac:dyDescent="0.25">
      <c r="A23581"/>
      <c r="B23581"/>
    </row>
    <row r="23582" spans="1:2" x14ac:dyDescent="0.25">
      <c r="A23582"/>
      <c r="B23582"/>
    </row>
    <row r="23583" spans="1:2" x14ac:dyDescent="0.25">
      <c r="A23583"/>
      <c r="B23583"/>
    </row>
    <row r="23584" spans="1:2" x14ac:dyDescent="0.25">
      <c r="A23584"/>
      <c r="B23584"/>
    </row>
    <row r="23585" spans="1:2" x14ac:dyDescent="0.25">
      <c r="A23585"/>
      <c r="B23585"/>
    </row>
    <row r="23586" spans="1:2" x14ac:dyDescent="0.25">
      <c r="A23586"/>
      <c r="B23586"/>
    </row>
    <row r="23587" spans="1:2" x14ac:dyDescent="0.25">
      <c r="A23587"/>
      <c r="B23587"/>
    </row>
    <row r="23588" spans="1:2" x14ac:dyDescent="0.25">
      <c r="A23588"/>
      <c r="B23588"/>
    </row>
    <row r="23589" spans="1:2" x14ac:dyDescent="0.25">
      <c r="A23589"/>
      <c r="B23589"/>
    </row>
    <row r="23590" spans="1:2" x14ac:dyDescent="0.25">
      <c r="A23590"/>
      <c r="B23590"/>
    </row>
    <row r="23591" spans="1:2" x14ac:dyDescent="0.25">
      <c r="A23591"/>
      <c r="B23591"/>
    </row>
    <row r="23592" spans="1:2" x14ac:dyDescent="0.25">
      <c r="A23592"/>
      <c r="B23592"/>
    </row>
    <row r="23593" spans="1:2" x14ac:dyDescent="0.25">
      <c r="A23593"/>
      <c r="B23593"/>
    </row>
    <row r="23594" spans="1:2" x14ac:dyDescent="0.25">
      <c r="A23594"/>
      <c r="B23594"/>
    </row>
    <row r="23595" spans="1:2" x14ac:dyDescent="0.25">
      <c r="A23595"/>
      <c r="B23595"/>
    </row>
    <row r="23596" spans="1:2" x14ac:dyDescent="0.25">
      <c r="A23596"/>
      <c r="B23596"/>
    </row>
    <row r="23597" spans="1:2" x14ac:dyDescent="0.25">
      <c r="A23597"/>
      <c r="B23597"/>
    </row>
    <row r="23598" spans="1:2" x14ac:dyDescent="0.25">
      <c r="A23598"/>
      <c r="B23598"/>
    </row>
    <row r="23599" spans="1:2" x14ac:dyDescent="0.25">
      <c r="A23599"/>
      <c r="B23599"/>
    </row>
    <row r="23600" spans="1:2" x14ac:dyDescent="0.25">
      <c r="A23600"/>
      <c r="B23600"/>
    </row>
    <row r="23601" spans="1:2" x14ac:dyDescent="0.25">
      <c r="A23601"/>
      <c r="B23601"/>
    </row>
    <row r="23602" spans="1:2" x14ac:dyDescent="0.25">
      <c r="A23602"/>
      <c r="B23602"/>
    </row>
    <row r="23603" spans="1:2" x14ac:dyDescent="0.25">
      <c r="A23603"/>
      <c r="B23603"/>
    </row>
    <row r="23604" spans="1:2" x14ac:dyDescent="0.25">
      <c r="A23604"/>
      <c r="B23604"/>
    </row>
    <row r="23605" spans="1:2" x14ac:dyDescent="0.25">
      <c r="A23605"/>
      <c r="B23605"/>
    </row>
    <row r="23606" spans="1:2" x14ac:dyDescent="0.25">
      <c r="A23606"/>
      <c r="B23606"/>
    </row>
    <row r="23607" spans="1:2" x14ac:dyDescent="0.25">
      <c r="A23607"/>
      <c r="B23607"/>
    </row>
    <row r="23608" spans="1:2" x14ac:dyDescent="0.25">
      <c r="A23608"/>
      <c r="B23608"/>
    </row>
    <row r="23609" spans="1:2" x14ac:dyDescent="0.25">
      <c r="A23609"/>
      <c r="B23609"/>
    </row>
    <row r="23610" spans="1:2" x14ac:dyDescent="0.25">
      <c r="A23610"/>
      <c r="B23610"/>
    </row>
    <row r="23611" spans="1:2" x14ac:dyDescent="0.25">
      <c r="A23611"/>
      <c r="B23611"/>
    </row>
    <row r="23612" spans="1:2" x14ac:dyDescent="0.25">
      <c r="A23612"/>
      <c r="B23612"/>
    </row>
    <row r="23613" spans="1:2" x14ac:dyDescent="0.25">
      <c r="A23613"/>
      <c r="B23613"/>
    </row>
    <row r="23614" spans="1:2" x14ac:dyDescent="0.25">
      <c r="A23614"/>
      <c r="B23614"/>
    </row>
    <row r="23615" spans="1:2" x14ac:dyDescent="0.25">
      <c r="A23615"/>
      <c r="B23615"/>
    </row>
    <row r="23616" spans="1:2" x14ac:dyDescent="0.25">
      <c r="A23616"/>
      <c r="B23616"/>
    </row>
    <row r="23617" spans="1:2" x14ac:dyDescent="0.25">
      <c r="A23617"/>
      <c r="B23617"/>
    </row>
    <row r="23618" spans="1:2" x14ac:dyDescent="0.25">
      <c r="A23618"/>
      <c r="B23618"/>
    </row>
    <row r="23619" spans="1:2" x14ac:dyDescent="0.25">
      <c r="A23619"/>
      <c r="B23619"/>
    </row>
    <row r="23620" spans="1:2" x14ac:dyDescent="0.25">
      <c r="A23620"/>
      <c r="B23620"/>
    </row>
    <row r="23621" spans="1:2" x14ac:dyDescent="0.25">
      <c r="A23621"/>
      <c r="B23621"/>
    </row>
    <row r="23622" spans="1:2" x14ac:dyDescent="0.25">
      <c r="A23622"/>
      <c r="B23622"/>
    </row>
    <row r="23623" spans="1:2" x14ac:dyDescent="0.25">
      <c r="A23623"/>
      <c r="B23623"/>
    </row>
    <row r="23624" spans="1:2" x14ac:dyDescent="0.25">
      <c r="A23624"/>
      <c r="B23624"/>
    </row>
    <row r="23625" spans="1:2" x14ac:dyDescent="0.25">
      <c r="A23625"/>
      <c r="B23625"/>
    </row>
    <row r="23626" spans="1:2" x14ac:dyDescent="0.25">
      <c r="A23626"/>
      <c r="B23626"/>
    </row>
    <row r="23627" spans="1:2" x14ac:dyDescent="0.25">
      <c r="A23627"/>
      <c r="B23627"/>
    </row>
    <row r="23628" spans="1:2" x14ac:dyDescent="0.25">
      <c r="A23628"/>
      <c r="B23628"/>
    </row>
    <row r="23629" spans="1:2" x14ac:dyDescent="0.25">
      <c r="A23629"/>
      <c r="B23629"/>
    </row>
    <row r="23630" spans="1:2" x14ac:dyDescent="0.25">
      <c r="A23630"/>
      <c r="B23630"/>
    </row>
    <row r="23631" spans="1:2" x14ac:dyDescent="0.25">
      <c r="A23631"/>
      <c r="B23631"/>
    </row>
    <row r="23632" spans="1:2" x14ac:dyDescent="0.25">
      <c r="A23632"/>
      <c r="B23632"/>
    </row>
    <row r="23633" spans="1:2" x14ac:dyDescent="0.25">
      <c r="A23633"/>
      <c r="B23633"/>
    </row>
    <row r="23634" spans="1:2" x14ac:dyDescent="0.25">
      <c r="A23634"/>
      <c r="B23634"/>
    </row>
    <row r="23635" spans="1:2" x14ac:dyDescent="0.25">
      <c r="A23635"/>
      <c r="B23635"/>
    </row>
    <row r="23636" spans="1:2" x14ac:dyDescent="0.25">
      <c r="A23636"/>
      <c r="B23636"/>
    </row>
    <row r="23637" spans="1:2" x14ac:dyDescent="0.25">
      <c r="A23637"/>
      <c r="B23637"/>
    </row>
    <row r="23638" spans="1:2" x14ac:dyDescent="0.25">
      <c r="A23638"/>
      <c r="B23638"/>
    </row>
    <row r="23639" spans="1:2" x14ac:dyDescent="0.25">
      <c r="A23639"/>
      <c r="B23639"/>
    </row>
    <row r="23640" spans="1:2" x14ac:dyDescent="0.25">
      <c r="A23640"/>
      <c r="B23640"/>
    </row>
    <row r="23641" spans="1:2" x14ac:dyDescent="0.25">
      <c r="A23641"/>
      <c r="B23641"/>
    </row>
    <row r="23642" spans="1:2" x14ac:dyDescent="0.25">
      <c r="A23642"/>
      <c r="B23642"/>
    </row>
    <row r="23643" spans="1:2" x14ac:dyDescent="0.25">
      <c r="A23643"/>
      <c r="B23643"/>
    </row>
    <row r="23644" spans="1:2" x14ac:dyDescent="0.25">
      <c r="A23644"/>
      <c r="B23644"/>
    </row>
    <row r="23645" spans="1:2" x14ac:dyDescent="0.25">
      <c r="A23645"/>
      <c r="B23645"/>
    </row>
    <row r="23646" spans="1:2" x14ac:dyDescent="0.25">
      <c r="A23646"/>
      <c r="B23646"/>
    </row>
    <row r="23647" spans="1:2" x14ac:dyDescent="0.25">
      <c r="A23647"/>
      <c r="B23647"/>
    </row>
    <row r="23648" spans="1:2" x14ac:dyDescent="0.25">
      <c r="A23648"/>
      <c r="B23648"/>
    </row>
    <row r="23649" spans="1:2" x14ac:dyDescent="0.25">
      <c r="A23649"/>
      <c r="B23649"/>
    </row>
    <row r="23650" spans="1:2" x14ac:dyDescent="0.25">
      <c r="A23650"/>
      <c r="B23650"/>
    </row>
    <row r="23651" spans="1:2" x14ac:dyDescent="0.25">
      <c r="A23651"/>
      <c r="B23651"/>
    </row>
    <row r="23652" spans="1:2" x14ac:dyDescent="0.25">
      <c r="A23652"/>
      <c r="B23652"/>
    </row>
    <row r="23653" spans="1:2" x14ac:dyDescent="0.25">
      <c r="A23653"/>
      <c r="B23653"/>
    </row>
    <row r="23654" spans="1:2" x14ac:dyDescent="0.25">
      <c r="A23654"/>
      <c r="B23654"/>
    </row>
    <row r="23655" spans="1:2" x14ac:dyDescent="0.25">
      <c r="A23655"/>
      <c r="B23655"/>
    </row>
    <row r="23656" spans="1:2" x14ac:dyDescent="0.25">
      <c r="A23656"/>
      <c r="B23656"/>
    </row>
    <row r="23657" spans="1:2" x14ac:dyDescent="0.25">
      <c r="A23657"/>
      <c r="B23657"/>
    </row>
    <row r="23658" spans="1:2" x14ac:dyDescent="0.25">
      <c r="A23658"/>
      <c r="B23658"/>
    </row>
    <row r="23659" spans="1:2" x14ac:dyDescent="0.25">
      <c r="A23659"/>
      <c r="B23659"/>
    </row>
    <row r="23660" spans="1:2" x14ac:dyDescent="0.25">
      <c r="A23660"/>
      <c r="B23660"/>
    </row>
    <row r="23661" spans="1:2" x14ac:dyDescent="0.25">
      <c r="A23661"/>
      <c r="B23661"/>
    </row>
    <row r="23662" spans="1:2" x14ac:dyDescent="0.25">
      <c r="A23662"/>
      <c r="B23662"/>
    </row>
    <row r="23663" spans="1:2" x14ac:dyDescent="0.25">
      <c r="A23663"/>
      <c r="B23663"/>
    </row>
    <row r="23664" spans="1:2" x14ac:dyDescent="0.25">
      <c r="A23664"/>
      <c r="B23664"/>
    </row>
    <row r="23665" spans="1:2" x14ac:dyDescent="0.25">
      <c r="A23665"/>
      <c r="B23665"/>
    </row>
    <row r="23666" spans="1:2" x14ac:dyDescent="0.25">
      <c r="A23666"/>
      <c r="B23666"/>
    </row>
    <row r="23667" spans="1:2" x14ac:dyDescent="0.25">
      <c r="A23667"/>
      <c r="B23667"/>
    </row>
    <row r="23668" spans="1:2" x14ac:dyDescent="0.25">
      <c r="A23668"/>
      <c r="B23668"/>
    </row>
    <row r="23669" spans="1:2" x14ac:dyDescent="0.25">
      <c r="A23669"/>
      <c r="B23669"/>
    </row>
    <row r="23670" spans="1:2" x14ac:dyDescent="0.25">
      <c r="A23670"/>
      <c r="B23670"/>
    </row>
    <row r="23671" spans="1:2" x14ac:dyDescent="0.25">
      <c r="A23671"/>
      <c r="B23671"/>
    </row>
    <row r="23672" spans="1:2" x14ac:dyDescent="0.25">
      <c r="A23672"/>
      <c r="B23672"/>
    </row>
    <row r="23673" spans="1:2" x14ac:dyDescent="0.25">
      <c r="A23673"/>
      <c r="B23673"/>
    </row>
    <row r="23674" spans="1:2" x14ac:dyDescent="0.25">
      <c r="A23674"/>
      <c r="B23674"/>
    </row>
    <row r="23675" spans="1:2" x14ac:dyDescent="0.25">
      <c r="A23675"/>
      <c r="B23675"/>
    </row>
    <row r="23676" spans="1:2" x14ac:dyDescent="0.25">
      <c r="A23676"/>
      <c r="B23676"/>
    </row>
    <row r="23677" spans="1:2" x14ac:dyDescent="0.25">
      <c r="A23677"/>
      <c r="B23677"/>
    </row>
    <row r="23678" spans="1:2" x14ac:dyDescent="0.25">
      <c r="A23678"/>
      <c r="B23678"/>
    </row>
    <row r="23679" spans="1:2" x14ac:dyDescent="0.25">
      <c r="A23679"/>
      <c r="B23679"/>
    </row>
    <row r="23680" spans="1:2" x14ac:dyDescent="0.25">
      <c r="A23680"/>
      <c r="B23680"/>
    </row>
    <row r="23681" spans="1:2" x14ac:dyDescent="0.25">
      <c r="A23681"/>
      <c r="B23681"/>
    </row>
    <row r="23682" spans="1:2" x14ac:dyDescent="0.25">
      <c r="A23682"/>
      <c r="B23682"/>
    </row>
    <row r="23683" spans="1:2" x14ac:dyDescent="0.25">
      <c r="A23683"/>
      <c r="B23683"/>
    </row>
    <row r="23684" spans="1:2" x14ac:dyDescent="0.25">
      <c r="A23684"/>
      <c r="B23684"/>
    </row>
    <row r="23685" spans="1:2" x14ac:dyDescent="0.25">
      <c r="A23685"/>
      <c r="B23685"/>
    </row>
    <row r="23686" spans="1:2" x14ac:dyDescent="0.25">
      <c r="A23686"/>
      <c r="B23686"/>
    </row>
    <row r="23687" spans="1:2" x14ac:dyDescent="0.25">
      <c r="A23687"/>
      <c r="B23687"/>
    </row>
    <row r="23688" spans="1:2" x14ac:dyDescent="0.25">
      <c r="A23688"/>
      <c r="B23688"/>
    </row>
    <row r="23689" spans="1:2" x14ac:dyDescent="0.25">
      <c r="A23689"/>
      <c r="B23689"/>
    </row>
    <row r="23690" spans="1:2" x14ac:dyDescent="0.25">
      <c r="A23690"/>
      <c r="B23690"/>
    </row>
    <row r="23691" spans="1:2" x14ac:dyDescent="0.25">
      <c r="A23691"/>
      <c r="B23691"/>
    </row>
    <row r="23692" spans="1:2" x14ac:dyDescent="0.25">
      <c r="A23692"/>
      <c r="B23692"/>
    </row>
    <row r="23693" spans="1:2" x14ac:dyDescent="0.25">
      <c r="A23693"/>
      <c r="B23693"/>
    </row>
    <row r="23694" spans="1:2" x14ac:dyDescent="0.25">
      <c r="A23694"/>
      <c r="B23694"/>
    </row>
    <row r="23695" spans="1:2" x14ac:dyDescent="0.25">
      <c r="A23695"/>
      <c r="B23695"/>
    </row>
    <row r="23696" spans="1:2" x14ac:dyDescent="0.25">
      <c r="A23696"/>
      <c r="B23696"/>
    </row>
    <row r="23697" spans="1:2" x14ac:dyDescent="0.25">
      <c r="A23697"/>
      <c r="B23697"/>
    </row>
    <row r="23698" spans="1:2" x14ac:dyDescent="0.25">
      <c r="A23698"/>
      <c r="B23698"/>
    </row>
    <row r="23699" spans="1:2" x14ac:dyDescent="0.25">
      <c r="A23699"/>
      <c r="B23699"/>
    </row>
    <row r="23700" spans="1:2" x14ac:dyDescent="0.25">
      <c r="A23700"/>
      <c r="B23700"/>
    </row>
    <row r="23701" spans="1:2" x14ac:dyDescent="0.25">
      <c r="A23701"/>
      <c r="B23701"/>
    </row>
    <row r="23702" spans="1:2" x14ac:dyDescent="0.25">
      <c r="A23702"/>
      <c r="B23702"/>
    </row>
    <row r="23703" spans="1:2" x14ac:dyDescent="0.25">
      <c r="A23703"/>
      <c r="B23703"/>
    </row>
    <row r="23704" spans="1:2" x14ac:dyDescent="0.25">
      <c r="A23704"/>
      <c r="B23704"/>
    </row>
    <row r="23705" spans="1:2" x14ac:dyDescent="0.25">
      <c r="A23705"/>
      <c r="B23705"/>
    </row>
    <row r="23706" spans="1:2" x14ac:dyDescent="0.25">
      <c r="A23706"/>
      <c r="B23706"/>
    </row>
    <row r="23707" spans="1:2" x14ac:dyDescent="0.25">
      <c r="A23707"/>
      <c r="B23707"/>
    </row>
    <row r="23708" spans="1:2" x14ac:dyDescent="0.25">
      <c r="A23708"/>
      <c r="B23708"/>
    </row>
    <row r="23709" spans="1:2" x14ac:dyDescent="0.25">
      <c r="A23709"/>
      <c r="B23709"/>
    </row>
    <row r="23710" spans="1:2" x14ac:dyDescent="0.25">
      <c r="A23710"/>
      <c r="B23710"/>
    </row>
    <row r="23711" spans="1:2" x14ac:dyDescent="0.25">
      <c r="A23711"/>
      <c r="B23711"/>
    </row>
    <row r="23712" spans="1:2" x14ac:dyDescent="0.25">
      <c r="A23712"/>
      <c r="B23712"/>
    </row>
    <row r="23713" spans="1:2" x14ac:dyDescent="0.25">
      <c r="A23713"/>
      <c r="B23713"/>
    </row>
    <row r="23714" spans="1:2" x14ac:dyDescent="0.25">
      <c r="A23714"/>
      <c r="B23714"/>
    </row>
    <row r="23715" spans="1:2" x14ac:dyDescent="0.25">
      <c r="A23715"/>
      <c r="B23715"/>
    </row>
    <row r="23716" spans="1:2" x14ac:dyDescent="0.25">
      <c r="A23716"/>
      <c r="B23716"/>
    </row>
    <row r="23717" spans="1:2" x14ac:dyDescent="0.25">
      <c r="A23717"/>
      <c r="B23717"/>
    </row>
    <row r="23718" spans="1:2" x14ac:dyDescent="0.25">
      <c r="A23718"/>
      <c r="B23718"/>
    </row>
    <row r="23719" spans="1:2" x14ac:dyDescent="0.25">
      <c r="A23719"/>
      <c r="B23719"/>
    </row>
    <row r="23720" spans="1:2" x14ac:dyDescent="0.25">
      <c r="A23720"/>
      <c r="B23720"/>
    </row>
    <row r="23721" spans="1:2" x14ac:dyDescent="0.25">
      <c r="A23721"/>
      <c r="B23721"/>
    </row>
    <row r="23722" spans="1:2" x14ac:dyDescent="0.25">
      <c r="A23722"/>
      <c r="B23722"/>
    </row>
    <row r="23723" spans="1:2" x14ac:dyDescent="0.25">
      <c r="A23723"/>
      <c r="B23723"/>
    </row>
    <row r="23724" spans="1:2" x14ac:dyDescent="0.25">
      <c r="A23724"/>
      <c r="B23724"/>
    </row>
    <row r="23725" spans="1:2" x14ac:dyDescent="0.25">
      <c r="A23725"/>
      <c r="B23725"/>
    </row>
    <row r="23726" spans="1:2" x14ac:dyDescent="0.25">
      <c r="A23726"/>
      <c r="B23726"/>
    </row>
    <row r="23727" spans="1:2" x14ac:dyDescent="0.25">
      <c r="A23727"/>
      <c r="B23727"/>
    </row>
    <row r="23728" spans="1:2" x14ac:dyDescent="0.25">
      <c r="A23728"/>
      <c r="B23728"/>
    </row>
    <row r="23729" spans="1:2" x14ac:dyDescent="0.25">
      <c r="A23729"/>
      <c r="B23729"/>
    </row>
    <row r="23730" spans="1:2" x14ac:dyDescent="0.25">
      <c r="A23730"/>
      <c r="B23730"/>
    </row>
    <row r="23731" spans="1:2" x14ac:dyDescent="0.25">
      <c r="A23731"/>
      <c r="B23731"/>
    </row>
    <row r="23732" spans="1:2" x14ac:dyDescent="0.25">
      <c r="A23732"/>
      <c r="B23732"/>
    </row>
    <row r="23733" spans="1:2" x14ac:dyDescent="0.25">
      <c r="A23733"/>
      <c r="B23733"/>
    </row>
    <row r="23734" spans="1:2" x14ac:dyDescent="0.25">
      <c r="A23734"/>
      <c r="B23734"/>
    </row>
    <row r="23735" spans="1:2" x14ac:dyDescent="0.25">
      <c r="A23735"/>
      <c r="B23735"/>
    </row>
    <row r="23736" spans="1:2" x14ac:dyDescent="0.25">
      <c r="A23736"/>
      <c r="B23736"/>
    </row>
    <row r="23737" spans="1:2" x14ac:dyDescent="0.25">
      <c r="A23737"/>
      <c r="B23737"/>
    </row>
    <row r="23738" spans="1:2" x14ac:dyDescent="0.25">
      <c r="A23738"/>
      <c r="B23738"/>
    </row>
    <row r="23739" spans="1:2" x14ac:dyDescent="0.25">
      <c r="A23739"/>
      <c r="B23739"/>
    </row>
    <row r="23740" spans="1:2" x14ac:dyDescent="0.25">
      <c r="A23740"/>
      <c r="B23740"/>
    </row>
    <row r="23741" spans="1:2" x14ac:dyDescent="0.25">
      <c r="A23741"/>
      <c r="B23741"/>
    </row>
    <row r="23742" spans="1:2" x14ac:dyDescent="0.25">
      <c r="A23742"/>
      <c r="B23742"/>
    </row>
    <row r="23743" spans="1:2" x14ac:dyDescent="0.25">
      <c r="A23743"/>
      <c r="B23743"/>
    </row>
    <row r="23744" spans="1:2" x14ac:dyDescent="0.25">
      <c r="A23744"/>
      <c r="B23744"/>
    </row>
    <row r="23745" spans="1:2" x14ac:dyDescent="0.25">
      <c r="A23745"/>
      <c r="B23745"/>
    </row>
    <row r="23746" spans="1:2" x14ac:dyDescent="0.25">
      <c r="A23746"/>
      <c r="B23746"/>
    </row>
    <row r="23747" spans="1:2" x14ac:dyDescent="0.25">
      <c r="A23747"/>
      <c r="B23747"/>
    </row>
    <row r="23748" spans="1:2" x14ac:dyDescent="0.25">
      <c r="A23748"/>
      <c r="B23748"/>
    </row>
    <row r="23749" spans="1:2" x14ac:dyDescent="0.25">
      <c r="A23749"/>
      <c r="B23749"/>
    </row>
    <row r="23750" spans="1:2" x14ac:dyDescent="0.25">
      <c r="A23750"/>
      <c r="B23750"/>
    </row>
    <row r="23751" spans="1:2" x14ac:dyDescent="0.25">
      <c r="A23751"/>
      <c r="B23751"/>
    </row>
    <row r="23752" spans="1:2" x14ac:dyDescent="0.25">
      <c r="A23752"/>
      <c r="B23752"/>
    </row>
    <row r="23753" spans="1:2" x14ac:dyDescent="0.25">
      <c r="A23753"/>
      <c r="B23753"/>
    </row>
    <row r="23754" spans="1:2" x14ac:dyDescent="0.25">
      <c r="A23754"/>
      <c r="B23754"/>
    </row>
    <row r="23755" spans="1:2" x14ac:dyDescent="0.25">
      <c r="A23755"/>
      <c r="B23755"/>
    </row>
    <row r="23756" spans="1:2" x14ac:dyDescent="0.25">
      <c r="A23756"/>
      <c r="B23756"/>
    </row>
    <row r="23757" spans="1:2" x14ac:dyDescent="0.25">
      <c r="A23757"/>
      <c r="B23757"/>
    </row>
    <row r="23758" spans="1:2" x14ac:dyDescent="0.25">
      <c r="A23758"/>
      <c r="B23758"/>
    </row>
    <row r="23759" spans="1:2" x14ac:dyDescent="0.25">
      <c r="A23759"/>
      <c r="B23759"/>
    </row>
    <row r="23760" spans="1:2" x14ac:dyDescent="0.25">
      <c r="A23760"/>
      <c r="B23760"/>
    </row>
    <row r="23761" spans="1:2" x14ac:dyDescent="0.25">
      <c r="A23761"/>
      <c r="B23761"/>
    </row>
    <row r="23762" spans="1:2" x14ac:dyDescent="0.25">
      <c r="A23762"/>
      <c r="B23762"/>
    </row>
    <row r="23763" spans="1:2" x14ac:dyDescent="0.25">
      <c r="A23763"/>
      <c r="B23763"/>
    </row>
    <row r="23764" spans="1:2" x14ac:dyDescent="0.25">
      <c r="A23764"/>
      <c r="B23764"/>
    </row>
    <row r="23765" spans="1:2" x14ac:dyDescent="0.25">
      <c r="A23765"/>
      <c r="B23765"/>
    </row>
    <row r="23766" spans="1:2" x14ac:dyDescent="0.25">
      <c r="A23766"/>
      <c r="B23766"/>
    </row>
    <row r="23767" spans="1:2" x14ac:dyDescent="0.25">
      <c r="A23767"/>
      <c r="B23767"/>
    </row>
    <row r="23768" spans="1:2" x14ac:dyDescent="0.25">
      <c r="A23768"/>
      <c r="B23768"/>
    </row>
    <row r="23769" spans="1:2" x14ac:dyDescent="0.25">
      <c r="A23769"/>
      <c r="B23769"/>
    </row>
    <row r="23770" spans="1:2" x14ac:dyDescent="0.25">
      <c r="A23770"/>
      <c r="B23770"/>
    </row>
    <row r="23771" spans="1:2" x14ac:dyDescent="0.25">
      <c r="A23771"/>
      <c r="B23771"/>
    </row>
    <row r="23772" spans="1:2" x14ac:dyDescent="0.25">
      <c r="A23772"/>
      <c r="B23772"/>
    </row>
    <row r="23773" spans="1:2" x14ac:dyDescent="0.25">
      <c r="A23773"/>
      <c r="B23773"/>
    </row>
    <row r="23774" spans="1:2" x14ac:dyDescent="0.25">
      <c r="A23774"/>
      <c r="B23774"/>
    </row>
    <row r="23775" spans="1:2" x14ac:dyDescent="0.25">
      <c r="A23775"/>
      <c r="B23775"/>
    </row>
    <row r="23776" spans="1:2" x14ac:dyDescent="0.25">
      <c r="A23776"/>
      <c r="B23776"/>
    </row>
    <row r="23777" spans="1:2" x14ac:dyDescent="0.25">
      <c r="A23777"/>
      <c r="B23777"/>
    </row>
    <row r="23778" spans="1:2" x14ac:dyDescent="0.25">
      <c r="A23778"/>
      <c r="B23778"/>
    </row>
    <row r="23779" spans="1:2" x14ac:dyDescent="0.25">
      <c r="A23779"/>
      <c r="B23779"/>
    </row>
    <row r="23780" spans="1:2" x14ac:dyDescent="0.25">
      <c r="A23780"/>
      <c r="B23780"/>
    </row>
    <row r="23781" spans="1:2" x14ac:dyDescent="0.25">
      <c r="A23781"/>
      <c r="B23781"/>
    </row>
    <row r="23782" spans="1:2" x14ac:dyDescent="0.25">
      <c r="A23782"/>
      <c r="B23782"/>
    </row>
    <row r="23783" spans="1:2" x14ac:dyDescent="0.25">
      <c r="A23783"/>
      <c r="B23783"/>
    </row>
    <row r="23784" spans="1:2" x14ac:dyDescent="0.25">
      <c r="A23784"/>
      <c r="B23784"/>
    </row>
    <row r="23785" spans="1:2" x14ac:dyDescent="0.25">
      <c r="A23785"/>
      <c r="B23785"/>
    </row>
    <row r="23786" spans="1:2" x14ac:dyDescent="0.25">
      <c r="A23786"/>
      <c r="B23786"/>
    </row>
    <row r="23787" spans="1:2" x14ac:dyDescent="0.25">
      <c r="A23787"/>
      <c r="B23787"/>
    </row>
    <row r="23788" spans="1:2" x14ac:dyDescent="0.25">
      <c r="A23788"/>
      <c r="B23788"/>
    </row>
    <row r="23789" spans="1:2" x14ac:dyDescent="0.25">
      <c r="A23789"/>
      <c r="B23789"/>
    </row>
    <row r="23790" spans="1:2" x14ac:dyDescent="0.25">
      <c r="A23790"/>
      <c r="B23790"/>
    </row>
    <row r="23791" spans="1:2" x14ac:dyDescent="0.25">
      <c r="A23791"/>
      <c r="B23791"/>
    </row>
    <row r="23792" spans="1:2" x14ac:dyDescent="0.25">
      <c r="A23792"/>
      <c r="B23792"/>
    </row>
    <row r="23793" spans="1:2" x14ac:dyDescent="0.25">
      <c r="A23793"/>
      <c r="B23793"/>
    </row>
    <row r="23794" spans="1:2" x14ac:dyDescent="0.25">
      <c r="A23794"/>
      <c r="B23794"/>
    </row>
    <row r="23795" spans="1:2" x14ac:dyDescent="0.25">
      <c r="A23795"/>
      <c r="B23795"/>
    </row>
    <row r="23796" spans="1:2" x14ac:dyDescent="0.25">
      <c r="A23796"/>
      <c r="B23796"/>
    </row>
    <row r="23797" spans="1:2" x14ac:dyDescent="0.25">
      <c r="A23797"/>
      <c r="B23797"/>
    </row>
    <row r="23798" spans="1:2" x14ac:dyDescent="0.25">
      <c r="A23798"/>
      <c r="B23798"/>
    </row>
    <row r="23799" spans="1:2" x14ac:dyDescent="0.25">
      <c r="A23799"/>
      <c r="B23799"/>
    </row>
    <row r="23800" spans="1:2" x14ac:dyDescent="0.25">
      <c r="A23800"/>
      <c r="B23800"/>
    </row>
    <row r="23801" spans="1:2" x14ac:dyDescent="0.25">
      <c r="A23801"/>
      <c r="B23801"/>
    </row>
    <row r="23802" spans="1:2" x14ac:dyDescent="0.25">
      <c r="A23802"/>
      <c r="B23802"/>
    </row>
    <row r="23803" spans="1:2" x14ac:dyDescent="0.25">
      <c r="A23803"/>
      <c r="B23803"/>
    </row>
    <row r="23804" spans="1:2" x14ac:dyDescent="0.25">
      <c r="A23804"/>
      <c r="B23804"/>
    </row>
    <row r="23805" spans="1:2" x14ac:dyDescent="0.25">
      <c r="A23805"/>
      <c r="B23805"/>
    </row>
    <row r="23806" spans="1:2" x14ac:dyDescent="0.25">
      <c r="A23806"/>
      <c r="B23806"/>
    </row>
    <row r="23807" spans="1:2" x14ac:dyDescent="0.25">
      <c r="A23807"/>
      <c r="B23807"/>
    </row>
    <row r="23808" spans="1:2" x14ac:dyDescent="0.25">
      <c r="A23808"/>
      <c r="B23808"/>
    </row>
    <row r="23809" spans="1:2" x14ac:dyDescent="0.25">
      <c r="A23809"/>
      <c r="B23809"/>
    </row>
    <row r="23810" spans="1:2" x14ac:dyDescent="0.25">
      <c r="A23810"/>
      <c r="B23810"/>
    </row>
    <row r="23811" spans="1:2" x14ac:dyDescent="0.25">
      <c r="A23811"/>
      <c r="B23811"/>
    </row>
    <row r="23812" spans="1:2" x14ac:dyDescent="0.25">
      <c r="A23812"/>
      <c r="B23812"/>
    </row>
    <row r="23813" spans="1:2" x14ac:dyDescent="0.25">
      <c r="A23813"/>
      <c r="B23813"/>
    </row>
    <row r="23814" spans="1:2" x14ac:dyDescent="0.25">
      <c r="A23814"/>
      <c r="B23814"/>
    </row>
    <row r="23815" spans="1:2" x14ac:dyDescent="0.25">
      <c r="A23815"/>
      <c r="B23815"/>
    </row>
    <row r="23816" spans="1:2" x14ac:dyDescent="0.25">
      <c r="A23816"/>
      <c r="B23816"/>
    </row>
    <row r="23817" spans="1:2" x14ac:dyDescent="0.25">
      <c r="A23817"/>
      <c r="B23817"/>
    </row>
    <row r="23818" spans="1:2" x14ac:dyDescent="0.25">
      <c r="A23818"/>
      <c r="B23818"/>
    </row>
    <row r="23819" spans="1:2" x14ac:dyDescent="0.25">
      <c r="A23819"/>
      <c r="B23819"/>
    </row>
    <row r="23820" spans="1:2" x14ac:dyDescent="0.25">
      <c r="A23820"/>
      <c r="B23820"/>
    </row>
    <row r="23821" spans="1:2" x14ac:dyDescent="0.25">
      <c r="A23821"/>
      <c r="B23821"/>
    </row>
    <row r="23822" spans="1:2" x14ac:dyDescent="0.25">
      <c r="A23822"/>
      <c r="B23822"/>
    </row>
    <row r="23823" spans="1:2" x14ac:dyDescent="0.25">
      <c r="A23823"/>
      <c r="B23823"/>
    </row>
    <row r="23824" spans="1:2" x14ac:dyDescent="0.25">
      <c r="A23824"/>
      <c r="B23824"/>
    </row>
    <row r="23825" spans="1:2" x14ac:dyDescent="0.25">
      <c r="A23825"/>
      <c r="B23825"/>
    </row>
    <row r="23826" spans="1:2" x14ac:dyDescent="0.25">
      <c r="A23826"/>
      <c r="B23826"/>
    </row>
    <row r="23827" spans="1:2" x14ac:dyDescent="0.25">
      <c r="A23827"/>
      <c r="B23827"/>
    </row>
    <row r="23828" spans="1:2" x14ac:dyDescent="0.25">
      <c r="A23828"/>
      <c r="B23828"/>
    </row>
    <row r="23829" spans="1:2" x14ac:dyDescent="0.25">
      <c r="A23829"/>
      <c r="B23829"/>
    </row>
    <row r="23830" spans="1:2" x14ac:dyDescent="0.25">
      <c r="A23830"/>
      <c r="B23830"/>
    </row>
    <row r="23831" spans="1:2" x14ac:dyDescent="0.25">
      <c r="A23831"/>
      <c r="B23831"/>
    </row>
    <row r="23832" spans="1:2" x14ac:dyDescent="0.25">
      <c r="A23832"/>
      <c r="B23832"/>
    </row>
    <row r="23833" spans="1:2" x14ac:dyDescent="0.25">
      <c r="A23833"/>
      <c r="B23833"/>
    </row>
    <row r="23834" spans="1:2" x14ac:dyDescent="0.25">
      <c r="A23834"/>
      <c r="B23834"/>
    </row>
    <row r="23835" spans="1:2" x14ac:dyDescent="0.25">
      <c r="A23835"/>
      <c r="B23835"/>
    </row>
    <row r="23836" spans="1:2" x14ac:dyDescent="0.25">
      <c r="A23836"/>
      <c r="B23836"/>
    </row>
    <row r="23837" spans="1:2" x14ac:dyDescent="0.25">
      <c r="A23837"/>
      <c r="B23837"/>
    </row>
    <row r="23838" spans="1:2" x14ac:dyDescent="0.25">
      <c r="A23838"/>
      <c r="B23838"/>
    </row>
    <row r="23839" spans="1:2" x14ac:dyDescent="0.25">
      <c r="A23839"/>
      <c r="B23839"/>
    </row>
    <row r="23840" spans="1:2" x14ac:dyDescent="0.25">
      <c r="A23840"/>
      <c r="B23840"/>
    </row>
    <row r="23841" spans="1:2" x14ac:dyDescent="0.25">
      <c r="A23841"/>
      <c r="B23841"/>
    </row>
    <row r="23842" spans="1:2" x14ac:dyDescent="0.25">
      <c r="A23842"/>
      <c r="B23842"/>
    </row>
    <row r="23843" spans="1:2" x14ac:dyDescent="0.25">
      <c r="A23843"/>
      <c r="B23843"/>
    </row>
    <row r="23844" spans="1:2" x14ac:dyDescent="0.25">
      <c r="A23844"/>
      <c r="B23844"/>
    </row>
    <row r="23845" spans="1:2" x14ac:dyDescent="0.25">
      <c r="A23845"/>
      <c r="B23845"/>
    </row>
    <row r="23846" spans="1:2" x14ac:dyDescent="0.25">
      <c r="A23846"/>
      <c r="B23846"/>
    </row>
    <row r="23847" spans="1:2" x14ac:dyDescent="0.25">
      <c r="A23847"/>
      <c r="B23847"/>
    </row>
    <row r="23848" spans="1:2" x14ac:dyDescent="0.25">
      <c r="A23848"/>
      <c r="B23848"/>
    </row>
    <row r="23849" spans="1:2" x14ac:dyDescent="0.25">
      <c r="A23849"/>
      <c r="B23849"/>
    </row>
    <row r="23850" spans="1:2" x14ac:dyDescent="0.25">
      <c r="A23850"/>
      <c r="B23850"/>
    </row>
    <row r="23851" spans="1:2" x14ac:dyDescent="0.25">
      <c r="A23851"/>
      <c r="B23851"/>
    </row>
    <row r="23852" spans="1:2" x14ac:dyDescent="0.25">
      <c r="A23852"/>
      <c r="B23852"/>
    </row>
    <row r="23853" spans="1:2" x14ac:dyDescent="0.25">
      <c r="A23853"/>
      <c r="B23853"/>
    </row>
    <row r="23854" spans="1:2" x14ac:dyDescent="0.25">
      <c r="A23854"/>
      <c r="B23854"/>
    </row>
    <row r="23855" spans="1:2" x14ac:dyDescent="0.25">
      <c r="A23855"/>
      <c r="B23855"/>
    </row>
    <row r="23856" spans="1:2" x14ac:dyDescent="0.25">
      <c r="A23856"/>
      <c r="B23856"/>
    </row>
    <row r="23857" spans="1:2" x14ac:dyDescent="0.25">
      <c r="A23857"/>
      <c r="B23857"/>
    </row>
    <row r="23858" spans="1:2" x14ac:dyDescent="0.25">
      <c r="A23858"/>
      <c r="B23858"/>
    </row>
    <row r="23859" spans="1:2" x14ac:dyDescent="0.25">
      <c r="A23859"/>
      <c r="B23859"/>
    </row>
    <row r="23860" spans="1:2" x14ac:dyDescent="0.25">
      <c r="A23860"/>
      <c r="B23860"/>
    </row>
    <row r="23861" spans="1:2" x14ac:dyDescent="0.25">
      <c r="A23861"/>
      <c r="B23861"/>
    </row>
    <row r="23862" spans="1:2" x14ac:dyDescent="0.25">
      <c r="A23862"/>
      <c r="B23862"/>
    </row>
    <row r="23863" spans="1:2" x14ac:dyDescent="0.25">
      <c r="A23863"/>
      <c r="B23863"/>
    </row>
    <row r="23864" spans="1:2" x14ac:dyDescent="0.25">
      <c r="A23864"/>
      <c r="B23864"/>
    </row>
    <row r="23865" spans="1:2" x14ac:dyDescent="0.25">
      <c r="A23865"/>
      <c r="B23865"/>
    </row>
    <row r="23866" spans="1:2" x14ac:dyDescent="0.25">
      <c r="A23866"/>
      <c r="B23866"/>
    </row>
    <row r="23867" spans="1:2" x14ac:dyDescent="0.25">
      <c r="A23867"/>
      <c r="B23867"/>
    </row>
    <row r="23868" spans="1:2" x14ac:dyDescent="0.25">
      <c r="A23868"/>
      <c r="B23868"/>
    </row>
    <row r="23869" spans="1:2" x14ac:dyDescent="0.25">
      <c r="A23869"/>
      <c r="B23869"/>
    </row>
    <row r="23870" spans="1:2" x14ac:dyDescent="0.25">
      <c r="A23870"/>
      <c r="B23870"/>
    </row>
    <row r="23871" spans="1:2" x14ac:dyDescent="0.25">
      <c r="A23871"/>
      <c r="B23871"/>
    </row>
    <row r="23872" spans="1:2" x14ac:dyDescent="0.25">
      <c r="A23872"/>
      <c r="B23872"/>
    </row>
    <row r="23873" spans="1:2" x14ac:dyDescent="0.25">
      <c r="A23873"/>
      <c r="B23873"/>
    </row>
    <row r="23874" spans="1:2" x14ac:dyDescent="0.25">
      <c r="A23874"/>
      <c r="B23874"/>
    </row>
    <row r="23875" spans="1:2" x14ac:dyDescent="0.25">
      <c r="A23875"/>
      <c r="B23875"/>
    </row>
    <row r="23876" spans="1:2" x14ac:dyDescent="0.25">
      <c r="A23876"/>
      <c r="B23876"/>
    </row>
    <row r="23877" spans="1:2" x14ac:dyDescent="0.25">
      <c r="A23877"/>
      <c r="B23877"/>
    </row>
    <row r="23878" spans="1:2" x14ac:dyDescent="0.25">
      <c r="A23878"/>
      <c r="B23878"/>
    </row>
    <row r="23879" spans="1:2" x14ac:dyDescent="0.25">
      <c r="A23879"/>
      <c r="B23879"/>
    </row>
    <row r="23880" spans="1:2" x14ac:dyDescent="0.25">
      <c r="A23880"/>
      <c r="B23880"/>
    </row>
    <row r="23881" spans="1:2" x14ac:dyDescent="0.25">
      <c r="A23881"/>
      <c r="B23881"/>
    </row>
    <row r="23882" spans="1:2" x14ac:dyDescent="0.25">
      <c r="A23882"/>
      <c r="B23882"/>
    </row>
    <row r="23883" spans="1:2" x14ac:dyDescent="0.25">
      <c r="A23883"/>
      <c r="B23883"/>
    </row>
    <row r="23884" spans="1:2" x14ac:dyDescent="0.25">
      <c r="A23884"/>
      <c r="B23884"/>
    </row>
    <row r="23885" spans="1:2" x14ac:dyDescent="0.25">
      <c r="A23885"/>
      <c r="B23885"/>
    </row>
    <row r="23886" spans="1:2" x14ac:dyDescent="0.25">
      <c r="A23886"/>
      <c r="B23886"/>
    </row>
    <row r="23887" spans="1:2" x14ac:dyDescent="0.25">
      <c r="A23887"/>
      <c r="B23887"/>
    </row>
    <row r="23888" spans="1:2" x14ac:dyDescent="0.25">
      <c r="A23888"/>
      <c r="B23888"/>
    </row>
    <row r="23889" spans="1:2" x14ac:dyDescent="0.25">
      <c r="A23889"/>
      <c r="B23889"/>
    </row>
    <row r="23890" spans="1:2" x14ac:dyDescent="0.25">
      <c r="A23890"/>
      <c r="B23890"/>
    </row>
    <row r="23891" spans="1:2" x14ac:dyDescent="0.25">
      <c r="A23891"/>
      <c r="B23891"/>
    </row>
    <row r="23892" spans="1:2" x14ac:dyDescent="0.25">
      <c r="A23892"/>
      <c r="B23892"/>
    </row>
    <row r="23893" spans="1:2" x14ac:dyDescent="0.25">
      <c r="A23893"/>
      <c r="B23893"/>
    </row>
    <row r="23894" spans="1:2" x14ac:dyDescent="0.25">
      <c r="A23894"/>
      <c r="B23894"/>
    </row>
    <row r="23895" spans="1:2" x14ac:dyDescent="0.25">
      <c r="A23895"/>
      <c r="B23895"/>
    </row>
    <row r="23896" spans="1:2" x14ac:dyDescent="0.25">
      <c r="A23896"/>
      <c r="B23896"/>
    </row>
    <row r="23897" spans="1:2" x14ac:dyDescent="0.25">
      <c r="A23897"/>
      <c r="B23897"/>
    </row>
    <row r="23898" spans="1:2" x14ac:dyDescent="0.25">
      <c r="A23898"/>
      <c r="B23898"/>
    </row>
    <row r="23899" spans="1:2" x14ac:dyDescent="0.25">
      <c r="A23899"/>
      <c r="B23899"/>
    </row>
    <row r="23900" spans="1:2" x14ac:dyDescent="0.25">
      <c r="A23900"/>
      <c r="B23900"/>
    </row>
    <row r="23901" spans="1:2" x14ac:dyDescent="0.25">
      <c r="A23901"/>
      <c r="B23901"/>
    </row>
    <row r="23902" spans="1:2" x14ac:dyDescent="0.25">
      <c r="A23902"/>
      <c r="B23902"/>
    </row>
    <row r="23903" spans="1:2" x14ac:dyDescent="0.25">
      <c r="A23903"/>
      <c r="B23903"/>
    </row>
    <row r="23904" spans="1:2" x14ac:dyDescent="0.25">
      <c r="A23904"/>
      <c r="B23904"/>
    </row>
    <row r="23905" spans="1:2" x14ac:dyDescent="0.25">
      <c r="A23905"/>
      <c r="B23905"/>
    </row>
    <row r="23906" spans="1:2" x14ac:dyDescent="0.25">
      <c r="A23906"/>
      <c r="B23906"/>
    </row>
    <row r="23907" spans="1:2" x14ac:dyDescent="0.25">
      <c r="A23907"/>
      <c r="B23907"/>
    </row>
    <row r="23908" spans="1:2" x14ac:dyDescent="0.25">
      <c r="A23908"/>
      <c r="B23908"/>
    </row>
    <row r="23909" spans="1:2" x14ac:dyDescent="0.25">
      <c r="A23909"/>
      <c r="B23909"/>
    </row>
    <row r="23910" spans="1:2" x14ac:dyDescent="0.25">
      <c r="A23910"/>
      <c r="B23910"/>
    </row>
    <row r="23911" spans="1:2" x14ac:dyDescent="0.25">
      <c r="A23911"/>
      <c r="B23911"/>
    </row>
    <row r="23912" spans="1:2" x14ac:dyDescent="0.25">
      <c r="A23912"/>
      <c r="B23912"/>
    </row>
    <row r="23913" spans="1:2" x14ac:dyDescent="0.25">
      <c r="A23913"/>
      <c r="B23913"/>
    </row>
    <row r="23914" spans="1:2" x14ac:dyDescent="0.25">
      <c r="A23914"/>
      <c r="B23914"/>
    </row>
    <row r="23915" spans="1:2" x14ac:dyDescent="0.25">
      <c r="A23915"/>
      <c r="B23915"/>
    </row>
    <row r="23916" spans="1:2" x14ac:dyDescent="0.25">
      <c r="A23916"/>
      <c r="B23916"/>
    </row>
    <row r="23917" spans="1:2" x14ac:dyDescent="0.25">
      <c r="A23917"/>
      <c r="B23917"/>
    </row>
    <row r="23918" spans="1:2" x14ac:dyDescent="0.25">
      <c r="A23918"/>
      <c r="B23918"/>
    </row>
    <row r="23919" spans="1:2" x14ac:dyDescent="0.25">
      <c r="A23919"/>
      <c r="B23919"/>
    </row>
    <row r="23920" spans="1:2" x14ac:dyDescent="0.25">
      <c r="A23920"/>
      <c r="B23920"/>
    </row>
    <row r="23921" spans="1:2" x14ac:dyDescent="0.25">
      <c r="A23921"/>
      <c r="B23921"/>
    </row>
    <row r="23922" spans="1:2" x14ac:dyDescent="0.25">
      <c r="A23922"/>
      <c r="B23922"/>
    </row>
    <row r="23923" spans="1:2" x14ac:dyDescent="0.25">
      <c r="A23923"/>
      <c r="B23923"/>
    </row>
    <row r="23924" spans="1:2" x14ac:dyDescent="0.25">
      <c r="A23924"/>
      <c r="B23924"/>
    </row>
    <row r="23925" spans="1:2" x14ac:dyDescent="0.25">
      <c r="A23925"/>
      <c r="B23925"/>
    </row>
    <row r="23926" spans="1:2" x14ac:dyDescent="0.25">
      <c r="A23926"/>
      <c r="B23926"/>
    </row>
    <row r="23927" spans="1:2" x14ac:dyDescent="0.25">
      <c r="A23927"/>
      <c r="B23927"/>
    </row>
    <row r="23928" spans="1:2" x14ac:dyDescent="0.25">
      <c r="A23928"/>
      <c r="B23928"/>
    </row>
    <row r="23929" spans="1:2" x14ac:dyDescent="0.25">
      <c r="A23929"/>
      <c r="B23929"/>
    </row>
    <row r="23930" spans="1:2" x14ac:dyDescent="0.25">
      <c r="A23930"/>
      <c r="B23930"/>
    </row>
    <row r="23931" spans="1:2" x14ac:dyDescent="0.25">
      <c r="A23931"/>
      <c r="B23931"/>
    </row>
    <row r="23932" spans="1:2" x14ac:dyDescent="0.25">
      <c r="A23932"/>
      <c r="B23932"/>
    </row>
    <row r="23933" spans="1:2" x14ac:dyDescent="0.25">
      <c r="A23933"/>
      <c r="B23933"/>
    </row>
    <row r="23934" spans="1:2" x14ac:dyDescent="0.25">
      <c r="A23934"/>
      <c r="B23934"/>
    </row>
    <row r="23935" spans="1:2" x14ac:dyDescent="0.25">
      <c r="A23935"/>
      <c r="B23935"/>
    </row>
    <row r="23936" spans="1:2" x14ac:dyDescent="0.25">
      <c r="A23936"/>
      <c r="B23936"/>
    </row>
    <row r="23937" spans="1:2" x14ac:dyDescent="0.25">
      <c r="A23937"/>
      <c r="B23937"/>
    </row>
    <row r="23938" spans="1:2" x14ac:dyDescent="0.25">
      <c r="A23938"/>
      <c r="B23938"/>
    </row>
    <row r="23939" spans="1:2" x14ac:dyDescent="0.25">
      <c r="A23939"/>
      <c r="B23939"/>
    </row>
    <row r="23940" spans="1:2" x14ac:dyDescent="0.25">
      <c r="A23940"/>
      <c r="B23940"/>
    </row>
    <row r="23941" spans="1:2" x14ac:dyDescent="0.25">
      <c r="A23941"/>
      <c r="B23941"/>
    </row>
    <row r="23942" spans="1:2" x14ac:dyDescent="0.25">
      <c r="A23942"/>
      <c r="B23942"/>
    </row>
    <row r="23943" spans="1:2" x14ac:dyDescent="0.25">
      <c r="A23943"/>
      <c r="B23943"/>
    </row>
    <row r="23944" spans="1:2" x14ac:dyDescent="0.25">
      <c r="A23944"/>
      <c r="B23944"/>
    </row>
    <row r="23945" spans="1:2" x14ac:dyDescent="0.25">
      <c r="A23945"/>
      <c r="B23945"/>
    </row>
    <row r="23946" spans="1:2" x14ac:dyDescent="0.25">
      <c r="A23946"/>
      <c r="B23946"/>
    </row>
    <row r="23947" spans="1:2" x14ac:dyDescent="0.25">
      <c r="A23947"/>
      <c r="B23947"/>
    </row>
    <row r="23948" spans="1:2" x14ac:dyDescent="0.25">
      <c r="A23948"/>
      <c r="B23948"/>
    </row>
    <row r="23949" spans="1:2" x14ac:dyDescent="0.25">
      <c r="A23949"/>
      <c r="B23949"/>
    </row>
    <row r="23950" spans="1:2" x14ac:dyDescent="0.25">
      <c r="A23950"/>
      <c r="B23950"/>
    </row>
    <row r="23951" spans="1:2" x14ac:dyDescent="0.25">
      <c r="A23951"/>
      <c r="B23951"/>
    </row>
    <row r="23952" spans="1:2" x14ac:dyDescent="0.25">
      <c r="A23952"/>
      <c r="B23952"/>
    </row>
    <row r="23953" spans="1:2" x14ac:dyDescent="0.25">
      <c r="A23953"/>
      <c r="B23953"/>
    </row>
    <row r="23954" spans="1:2" x14ac:dyDescent="0.25">
      <c r="A23954"/>
      <c r="B23954"/>
    </row>
    <row r="23955" spans="1:2" x14ac:dyDescent="0.25">
      <c r="A23955"/>
      <c r="B23955"/>
    </row>
    <row r="23956" spans="1:2" x14ac:dyDescent="0.25">
      <c r="A23956"/>
      <c r="B23956"/>
    </row>
    <row r="23957" spans="1:2" x14ac:dyDescent="0.25">
      <c r="A23957"/>
      <c r="B23957"/>
    </row>
    <row r="23958" spans="1:2" x14ac:dyDescent="0.25">
      <c r="A23958"/>
      <c r="B23958"/>
    </row>
    <row r="23959" spans="1:2" x14ac:dyDescent="0.25">
      <c r="A23959"/>
      <c r="B23959"/>
    </row>
    <row r="23960" spans="1:2" x14ac:dyDescent="0.25">
      <c r="A23960"/>
      <c r="B23960"/>
    </row>
    <row r="23961" spans="1:2" x14ac:dyDescent="0.25">
      <c r="A23961"/>
      <c r="B23961"/>
    </row>
    <row r="23962" spans="1:2" x14ac:dyDescent="0.25">
      <c r="A23962"/>
      <c r="B23962"/>
    </row>
    <row r="23963" spans="1:2" x14ac:dyDescent="0.25">
      <c r="A23963"/>
      <c r="B23963"/>
    </row>
    <row r="23964" spans="1:2" x14ac:dyDescent="0.25">
      <c r="A23964"/>
      <c r="B23964"/>
    </row>
    <row r="23965" spans="1:2" x14ac:dyDescent="0.25">
      <c r="A23965"/>
      <c r="B23965"/>
    </row>
    <row r="23966" spans="1:2" x14ac:dyDescent="0.25">
      <c r="A23966"/>
      <c r="B23966"/>
    </row>
    <row r="23967" spans="1:2" x14ac:dyDescent="0.25">
      <c r="A23967"/>
      <c r="B23967"/>
    </row>
    <row r="23968" spans="1:2" x14ac:dyDescent="0.25">
      <c r="A23968"/>
      <c r="B23968"/>
    </row>
    <row r="23969" spans="1:2" x14ac:dyDescent="0.25">
      <c r="A23969"/>
      <c r="B23969"/>
    </row>
    <row r="23970" spans="1:2" x14ac:dyDescent="0.25">
      <c r="A23970"/>
      <c r="B23970"/>
    </row>
    <row r="23971" spans="1:2" x14ac:dyDescent="0.25">
      <c r="A23971"/>
      <c r="B23971"/>
    </row>
    <row r="23972" spans="1:2" x14ac:dyDescent="0.25">
      <c r="A23972"/>
      <c r="B23972"/>
    </row>
    <row r="23973" spans="1:2" x14ac:dyDescent="0.25">
      <c r="A23973"/>
      <c r="B23973"/>
    </row>
    <row r="23974" spans="1:2" x14ac:dyDescent="0.25">
      <c r="A23974"/>
      <c r="B23974"/>
    </row>
    <row r="23975" spans="1:2" x14ac:dyDescent="0.25">
      <c r="A23975"/>
      <c r="B23975"/>
    </row>
    <row r="23976" spans="1:2" x14ac:dyDescent="0.25">
      <c r="A23976"/>
      <c r="B23976"/>
    </row>
    <row r="23977" spans="1:2" x14ac:dyDescent="0.25">
      <c r="A23977"/>
      <c r="B23977"/>
    </row>
    <row r="23978" spans="1:2" x14ac:dyDescent="0.25">
      <c r="A23978"/>
      <c r="B23978"/>
    </row>
    <row r="23979" spans="1:2" x14ac:dyDescent="0.25">
      <c r="A23979"/>
      <c r="B23979"/>
    </row>
    <row r="23980" spans="1:2" x14ac:dyDescent="0.25">
      <c r="A23980"/>
      <c r="B23980"/>
    </row>
    <row r="23981" spans="1:2" x14ac:dyDescent="0.25">
      <c r="A23981"/>
      <c r="B23981"/>
    </row>
    <row r="23982" spans="1:2" x14ac:dyDescent="0.25">
      <c r="A23982"/>
      <c r="B23982"/>
    </row>
    <row r="23983" spans="1:2" x14ac:dyDescent="0.25">
      <c r="A23983"/>
      <c r="B23983"/>
    </row>
    <row r="23984" spans="1:2" x14ac:dyDescent="0.25">
      <c r="A23984"/>
      <c r="B23984"/>
    </row>
    <row r="23985" spans="1:2" x14ac:dyDescent="0.25">
      <c r="A23985"/>
      <c r="B23985"/>
    </row>
    <row r="23986" spans="1:2" x14ac:dyDescent="0.25">
      <c r="A23986"/>
      <c r="B23986"/>
    </row>
    <row r="23987" spans="1:2" x14ac:dyDescent="0.25">
      <c r="A23987"/>
      <c r="B23987"/>
    </row>
    <row r="23988" spans="1:2" x14ac:dyDescent="0.25">
      <c r="A23988"/>
      <c r="B23988"/>
    </row>
    <row r="23989" spans="1:2" x14ac:dyDescent="0.25">
      <c r="A23989"/>
      <c r="B23989"/>
    </row>
    <row r="23990" spans="1:2" x14ac:dyDescent="0.25">
      <c r="A23990"/>
      <c r="B23990"/>
    </row>
    <row r="23991" spans="1:2" x14ac:dyDescent="0.25">
      <c r="A23991"/>
      <c r="B23991"/>
    </row>
    <row r="23992" spans="1:2" x14ac:dyDescent="0.25">
      <c r="A23992"/>
      <c r="B23992"/>
    </row>
    <row r="23993" spans="1:2" x14ac:dyDescent="0.25">
      <c r="A23993"/>
      <c r="B23993"/>
    </row>
    <row r="23994" spans="1:2" x14ac:dyDescent="0.25">
      <c r="A23994"/>
      <c r="B23994"/>
    </row>
    <row r="23995" spans="1:2" x14ac:dyDescent="0.25">
      <c r="A23995"/>
      <c r="B23995"/>
    </row>
    <row r="23996" spans="1:2" x14ac:dyDescent="0.25">
      <c r="A23996"/>
      <c r="B23996"/>
    </row>
    <row r="23997" spans="1:2" x14ac:dyDescent="0.25">
      <c r="A23997"/>
      <c r="B23997"/>
    </row>
    <row r="23998" spans="1:2" x14ac:dyDescent="0.25">
      <c r="A23998"/>
      <c r="B23998"/>
    </row>
    <row r="23999" spans="1:2" x14ac:dyDescent="0.25">
      <c r="A23999"/>
      <c r="B23999"/>
    </row>
    <row r="24000" spans="1:2" x14ac:dyDescent="0.25">
      <c r="A24000"/>
      <c r="B24000"/>
    </row>
    <row r="24001" spans="1:2" x14ac:dyDescent="0.25">
      <c r="A24001"/>
      <c r="B24001"/>
    </row>
    <row r="24002" spans="1:2" x14ac:dyDescent="0.25">
      <c r="A24002"/>
      <c r="B24002"/>
    </row>
    <row r="24003" spans="1:2" x14ac:dyDescent="0.25">
      <c r="A24003"/>
      <c r="B24003"/>
    </row>
    <row r="24004" spans="1:2" x14ac:dyDescent="0.25">
      <c r="A24004"/>
      <c r="B24004"/>
    </row>
    <row r="24005" spans="1:2" x14ac:dyDescent="0.25">
      <c r="A24005"/>
      <c r="B24005"/>
    </row>
    <row r="24006" spans="1:2" x14ac:dyDescent="0.25">
      <c r="A24006"/>
      <c r="B24006"/>
    </row>
    <row r="24007" spans="1:2" x14ac:dyDescent="0.25">
      <c r="A24007"/>
      <c r="B24007"/>
    </row>
    <row r="24008" spans="1:2" x14ac:dyDescent="0.25">
      <c r="A24008"/>
      <c r="B24008"/>
    </row>
    <row r="24009" spans="1:2" x14ac:dyDescent="0.25">
      <c r="A24009"/>
      <c r="B24009"/>
    </row>
    <row r="24010" spans="1:2" x14ac:dyDescent="0.25">
      <c r="A24010"/>
      <c r="B24010"/>
    </row>
    <row r="24011" spans="1:2" x14ac:dyDescent="0.25">
      <c r="A24011"/>
      <c r="B24011"/>
    </row>
    <row r="24012" spans="1:2" x14ac:dyDescent="0.25">
      <c r="A24012"/>
      <c r="B24012"/>
    </row>
    <row r="24013" spans="1:2" x14ac:dyDescent="0.25">
      <c r="A24013"/>
      <c r="B24013"/>
    </row>
    <row r="24014" spans="1:2" x14ac:dyDescent="0.25">
      <c r="A24014"/>
      <c r="B24014"/>
    </row>
    <row r="24015" spans="1:2" x14ac:dyDescent="0.25">
      <c r="A24015"/>
      <c r="B24015"/>
    </row>
    <row r="24016" spans="1:2" x14ac:dyDescent="0.25">
      <c r="A24016"/>
      <c r="B24016"/>
    </row>
    <row r="24017" spans="1:2" x14ac:dyDescent="0.25">
      <c r="A24017"/>
      <c r="B24017"/>
    </row>
    <row r="24018" spans="1:2" x14ac:dyDescent="0.25">
      <c r="A24018"/>
      <c r="B24018"/>
    </row>
    <row r="24019" spans="1:2" x14ac:dyDescent="0.25">
      <c r="A24019"/>
      <c r="B24019"/>
    </row>
    <row r="24020" spans="1:2" x14ac:dyDescent="0.25">
      <c r="A24020"/>
      <c r="B24020"/>
    </row>
    <row r="24021" spans="1:2" x14ac:dyDescent="0.25">
      <c r="A24021"/>
      <c r="B24021"/>
    </row>
    <row r="24022" spans="1:2" x14ac:dyDescent="0.25">
      <c r="A24022"/>
      <c r="B24022"/>
    </row>
    <row r="24023" spans="1:2" x14ac:dyDescent="0.25">
      <c r="A24023"/>
      <c r="B24023"/>
    </row>
    <row r="24024" spans="1:2" x14ac:dyDescent="0.25">
      <c r="A24024"/>
      <c r="B24024"/>
    </row>
    <row r="24025" spans="1:2" x14ac:dyDescent="0.25">
      <c r="A24025"/>
      <c r="B24025"/>
    </row>
    <row r="24026" spans="1:2" x14ac:dyDescent="0.25">
      <c r="A24026"/>
      <c r="B24026"/>
    </row>
    <row r="24027" spans="1:2" x14ac:dyDescent="0.25">
      <c r="A24027"/>
      <c r="B24027"/>
    </row>
    <row r="24028" spans="1:2" x14ac:dyDescent="0.25">
      <c r="A24028"/>
      <c r="B24028"/>
    </row>
    <row r="24029" spans="1:2" x14ac:dyDescent="0.25">
      <c r="A24029"/>
      <c r="B24029"/>
    </row>
    <row r="24030" spans="1:2" x14ac:dyDescent="0.25">
      <c r="A24030"/>
      <c r="B24030"/>
    </row>
    <row r="24031" spans="1:2" x14ac:dyDescent="0.25">
      <c r="A24031"/>
      <c r="B24031"/>
    </row>
    <row r="24032" spans="1:2" x14ac:dyDescent="0.25">
      <c r="A24032"/>
      <c r="B24032"/>
    </row>
    <row r="24033" spans="1:2" x14ac:dyDescent="0.25">
      <c r="A24033"/>
      <c r="B24033"/>
    </row>
    <row r="24034" spans="1:2" x14ac:dyDescent="0.25">
      <c r="A24034"/>
      <c r="B24034"/>
    </row>
    <row r="24035" spans="1:2" x14ac:dyDescent="0.25">
      <c r="A24035"/>
      <c r="B24035"/>
    </row>
    <row r="24036" spans="1:2" x14ac:dyDescent="0.25">
      <c r="A24036"/>
      <c r="B24036"/>
    </row>
    <row r="24037" spans="1:2" x14ac:dyDescent="0.25">
      <c r="A24037"/>
      <c r="B24037"/>
    </row>
    <row r="24038" spans="1:2" x14ac:dyDescent="0.25">
      <c r="A24038"/>
      <c r="B24038"/>
    </row>
    <row r="24039" spans="1:2" x14ac:dyDescent="0.25">
      <c r="A24039"/>
      <c r="B24039"/>
    </row>
    <row r="24040" spans="1:2" x14ac:dyDescent="0.25">
      <c r="A24040"/>
      <c r="B24040"/>
    </row>
    <row r="24041" spans="1:2" x14ac:dyDescent="0.25">
      <c r="A24041"/>
      <c r="B24041"/>
    </row>
    <row r="24042" spans="1:2" x14ac:dyDescent="0.25">
      <c r="A24042"/>
      <c r="B24042"/>
    </row>
    <row r="24043" spans="1:2" x14ac:dyDescent="0.25">
      <c r="A24043"/>
      <c r="B24043"/>
    </row>
    <row r="24044" spans="1:2" x14ac:dyDescent="0.25">
      <c r="A24044"/>
      <c r="B24044"/>
    </row>
    <row r="24045" spans="1:2" x14ac:dyDescent="0.25">
      <c r="A24045"/>
      <c r="B24045"/>
    </row>
    <row r="24046" spans="1:2" x14ac:dyDescent="0.25">
      <c r="A24046"/>
      <c r="B24046"/>
    </row>
    <row r="24047" spans="1:2" x14ac:dyDescent="0.25">
      <c r="A24047"/>
      <c r="B24047"/>
    </row>
    <row r="24048" spans="1:2" x14ac:dyDescent="0.25">
      <c r="A24048"/>
      <c r="B24048"/>
    </row>
    <row r="24049" spans="1:2" x14ac:dyDescent="0.25">
      <c r="A24049"/>
      <c r="B24049"/>
    </row>
    <row r="24050" spans="1:2" x14ac:dyDescent="0.25">
      <c r="A24050"/>
      <c r="B24050"/>
    </row>
    <row r="24051" spans="1:2" x14ac:dyDescent="0.25">
      <c r="A24051"/>
      <c r="B24051"/>
    </row>
    <row r="24052" spans="1:2" x14ac:dyDescent="0.25">
      <c r="A24052"/>
      <c r="B24052"/>
    </row>
    <row r="24053" spans="1:2" x14ac:dyDescent="0.25">
      <c r="A24053"/>
      <c r="B24053"/>
    </row>
    <row r="24054" spans="1:2" x14ac:dyDescent="0.25">
      <c r="A24054"/>
      <c r="B24054"/>
    </row>
    <row r="24055" spans="1:2" x14ac:dyDescent="0.25">
      <c r="A24055"/>
      <c r="B24055"/>
    </row>
    <row r="24056" spans="1:2" x14ac:dyDescent="0.25">
      <c r="A24056"/>
      <c r="B24056"/>
    </row>
    <row r="24057" spans="1:2" x14ac:dyDescent="0.25">
      <c r="A24057"/>
      <c r="B24057"/>
    </row>
    <row r="24058" spans="1:2" x14ac:dyDescent="0.25">
      <c r="A24058"/>
      <c r="B24058"/>
    </row>
    <row r="24059" spans="1:2" x14ac:dyDescent="0.25">
      <c r="A24059"/>
      <c r="B24059"/>
    </row>
    <row r="24060" spans="1:2" x14ac:dyDescent="0.25">
      <c r="A24060"/>
      <c r="B24060"/>
    </row>
    <row r="24061" spans="1:2" x14ac:dyDescent="0.25">
      <c r="A24061"/>
      <c r="B24061"/>
    </row>
    <row r="24062" spans="1:2" x14ac:dyDescent="0.25">
      <c r="A24062"/>
      <c r="B24062"/>
    </row>
    <row r="24063" spans="1:2" x14ac:dyDescent="0.25">
      <c r="A24063"/>
      <c r="B24063"/>
    </row>
    <row r="24064" spans="1:2" x14ac:dyDescent="0.25">
      <c r="A24064"/>
      <c r="B24064"/>
    </row>
    <row r="24065" spans="1:2" x14ac:dyDescent="0.25">
      <c r="A24065"/>
      <c r="B24065"/>
    </row>
    <row r="24066" spans="1:2" x14ac:dyDescent="0.25">
      <c r="A24066"/>
      <c r="B24066"/>
    </row>
    <row r="24067" spans="1:2" x14ac:dyDescent="0.25">
      <c r="A24067"/>
      <c r="B24067"/>
    </row>
    <row r="24068" spans="1:2" x14ac:dyDescent="0.25">
      <c r="A24068"/>
      <c r="B24068"/>
    </row>
    <row r="24069" spans="1:2" x14ac:dyDescent="0.25">
      <c r="A24069"/>
      <c r="B24069"/>
    </row>
    <row r="24070" spans="1:2" x14ac:dyDescent="0.25">
      <c r="A24070"/>
      <c r="B24070"/>
    </row>
    <row r="24071" spans="1:2" x14ac:dyDescent="0.25">
      <c r="A24071"/>
      <c r="B24071"/>
    </row>
    <row r="24072" spans="1:2" x14ac:dyDescent="0.25">
      <c r="A24072"/>
      <c r="B24072"/>
    </row>
    <row r="24073" spans="1:2" x14ac:dyDescent="0.25">
      <c r="A24073"/>
      <c r="B24073"/>
    </row>
    <row r="24074" spans="1:2" x14ac:dyDescent="0.25">
      <c r="A24074"/>
      <c r="B24074"/>
    </row>
    <row r="24075" spans="1:2" x14ac:dyDescent="0.25">
      <c r="A24075"/>
      <c r="B24075"/>
    </row>
    <row r="24076" spans="1:2" x14ac:dyDescent="0.25">
      <c r="A24076"/>
      <c r="B24076"/>
    </row>
    <row r="24077" spans="1:2" x14ac:dyDescent="0.25">
      <c r="A24077"/>
      <c r="B24077"/>
    </row>
    <row r="24078" spans="1:2" x14ac:dyDescent="0.25">
      <c r="A24078"/>
      <c r="B24078"/>
    </row>
    <row r="24079" spans="1:2" x14ac:dyDescent="0.25">
      <c r="A24079"/>
      <c r="B24079"/>
    </row>
    <row r="24080" spans="1:2" x14ac:dyDescent="0.25">
      <c r="A24080"/>
      <c r="B24080"/>
    </row>
    <row r="24081" spans="1:2" x14ac:dyDescent="0.25">
      <c r="A24081"/>
      <c r="B24081"/>
    </row>
    <row r="24082" spans="1:2" x14ac:dyDescent="0.25">
      <c r="A24082"/>
      <c r="B24082"/>
    </row>
    <row r="24083" spans="1:2" x14ac:dyDescent="0.25">
      <c r="A24083"/>
      <c r="B24083"/>
    </row>
    <row r="24084" spans="1:2" x14ac:dyDescent="0.25">
      <c r="A24084"/>
      <c r="B24084"/>
    </row>
    <row r="24085" spans="1:2" x14ac:dyDescent="0.25">
      <c r="A24085"/>
      <c r="B24085"/>
    </row>
    <row r="24086" spans="1:2" x14ac:dyDescent="0.25">
      <c r="A24086"/>
      <c r="B24086"/>
    </row>
    <row r="24087" spans="1:2" x14ac:dyDescent="0.25">
      <c r="A24087"/>
      <c r="B24087"/>
    </row>
    <row r="24088" spans="1:2" x14ac:dyDescent="0.25">
      <c r="A24088"/>
      <c r="B24088"/>
    </row>
    <row r="24089" spans="1:2" x14ac:dyDescent="0.25">
      <c r="A24089"/>
      <c r="B24089"/>
    </row>
    <row r="24090" spans="1:2" x14ac:dyDescent="0.25">
      <c r="A24090"/>
      <c r="B24090"/>
    </row>
    <row r="24091" spans="1:2" x14ac:dyDescent="0.25">
      <c r="A24091"/>
      <c r="B24091"/>
    </row>
    <row r="24092" spans="1:2" x14ac:dyDescent="0.25">
      <c r="A24092"/>
      <c r="B24092"/>
    </row>
    <row r="24093" spans="1:2" x14ac:dyDescent="0.25">
      <c r="A24093"/>
      <c r="B24093"/>
    </row>
    <row r="24094" spans="1:2" x14ac:dyDescent="0.25">
      <c r="A24094"/>
      <c r="B24094"/>
    </row>
    <row r="24095" spans="1:2" x14ac:dyDescent="0.25">
      <c r="A24095"/>
      <c r="B24095"/>
    </row>
    <row r="24096" spans="1:2" x14ac:dyDescent="0.25">
      <c r="A24096"/>
      <c r="B24096"/>
    </row>
    <row r="24097" spans="1:2" x14ac:dyDescent="0.25">
      <c r="A24097"/>
      <c r="B24097"/>
    </row>
    <row r="24098" spans="1:2" x14ac:dyDescent="0.25">
      <c r="A24098"/>
      <c r="B24098"/>
    </row>
    <row r="24099" spans="1:2" x14ac:dyDescent="0.25">
      <c r="A24099"/>
      <c r="B24099"/>
    </row>
    <row r="24100" spans="1:2" x14ac:dyDescent="0.25">
      <c r="A24100"/>
      <c r="B24100"/>
    </row>
    <row r="24101" spans="1:2" x14ac:dyDescent="0.25">
      <c r="A24101"/>
      <c r="B24101"/>
    </row>
    <row r="24102" spans="1:2" x14ac:dyDescent="0.25">
      <c r="A24102"/>
      <c r="B24102"/>
    </row>
    <row r="24103" spans="1:2" x14ac:dyDescent="0.25">
      <c r="A24103"/>
      <c r="B24103"/>
    </row>
    <row r="24104" spans="1:2" x14ac:dyDescent="0.25">
      <c r="A24104"/>
      <c r="B24104"/>
    </row>
    <row r="24105" spans="1:2" x14ac:dyDescent="0.25">
      <c r="A24105"/>
      <c r="B24105"/>
    </row>
    <row r="24106" spans="1:2" x14ac:dyDescent="0.25">
      <c r="A24106"/>
      <c r="B24106"/>
    </row>
    <row r="24107" spans="1:2" x14ac:dyDescent="0.25">
      <c r="A24107"/>
      <c r="B24107"/>
    </row>
    <row r="24108" spans="1:2" x14ac:dyDescent="0.25">
      <c r="A24108"/>
      <c r="B24108"/>
    </row>
    <row r="24109" spans="1:2" x14ac:dyDescent="0.25">
      <c r="A24109"/>
      <c r="B24109"/>
    </row>
    <row r="24110" spans="1:2" x14ac:dyDescent="0.25">
      <c r="A24110"/>
      <c r="B24110"/>
    </row>
    <row r="24111" spans="1:2" x14ac:dyDescent="0.25">
      <c r="A24111"/>
      <c r="B24111"/>
    </row>
    <row r="24112" spans="1:2" x14ac:dyDescent="0.25">
      <c r="A24112"/>
      <c r="B24112"/>
    </row>
    <row r="24113" spans="1:2" x14ac:dyDescent="0.25">
      <c r="A24113"/>
      <c r="B24113"/>
    </row>
    <row r="24114" spans="1:2" x14ac:dyDescent="0.25">
      <c r="A24114"/>
      <c r="B24114"/>
    </row>
    <row r="24115" spans="1:2" x14ac:dyDescent="0.25">
      <c r="A24115"/>
      <c r="B24115"/>
    </row>
    <row r="24116" spans="1:2" x14ac:dyDescent="0.25">
      <c r="A24116"/>
      <c r="B24116"/>
    </row>
    <row r="24117" spans="1:2" x14ac:dyDescent="0.25">
      <c r="A24117"/>
      <c r="B24117"/>
    </row>
    <row r="24118" spans="1:2" x14ac:dyDescent="0.25">
      <c r="A24118"/>
      <c r="B24118"/>
    </row>
    <row r="24119" spans="1:2" x14ac:dyDescent="0.25">
      <c r="A24119"/>
      <c r="B24119"/>
    </row>
    <row r="24120" spans="1:2" x14ac:dyDescent="0.25">
      <c r="A24120"/>
      <c r="B24120"/>
    </row>
    <row r="24121" spans="1:2" x14ac:dyDescent="0.25">
      <c r="A24121"/>
      <c r="B24121"/>
    </row>
    <row r="24122" spans="1:2" x14ac:dyDescent="0.25">
      <c r="A24122"/>
      <c r="B24122"/>
    </row>
    <row r="24123" spans="1:2" x14ac:dyDescent="0.25">
      <c r="A24123"/>
      <c r="B24123"/>
    </row>
    <row r="24124" spans="1:2" x14ac:dyDescent="0.25">
      <c r="A24124"/>
      <c r="B24124"/>
    </row>
    <row r="24125" spans="1:2" x14ac:dyDescent="0.25">
      <c r="A24125"/>
      <c r="B24125"/>
    </row>
    <row r="24126" spans="1:2" x14ac:dyDescent="0.25">
      <c r="A24126"/>
      <c r="B24126"/>
    </row>
    <row r="24127" spans="1:2" x14ac:dyDescent="0.25">
      <c r="A24127"/>
      <c r="B24127"/>
    </row>
    <row r="24128" spans="1:2" x14ac:dyDescent="0.25">
      <c r="A24128"/>
      <c r="B24128"/>
    </row>
    <row r="24129" spans="1:2" x14ac:dyDescent="0.25">
      <c r="A24129"/>
      <c r="B24129"/>
    </row>
    <row r="24130" spans="1:2" x14ac:dyDescent="0.25">
      <c r="A24130"/>
      <c r="B24130"/>
    </row>
    <row r="24131" spans="1:2" x14ac:dyDescent="0.25">
      <c r="A24131"/>
      <c r="B24131"/>
    </row>
    <row r="24132" spans="1:2" x14ac:dyDescent="0.25">
      <c r="A24132"/>
      <c r="B24132"/>
    </row>
    <row r="24133" spans="1:2" x14ac:dyDescent="0.25">
      <c r="A24133"/>
      <c r="B24133"/>
    </row>
    <row r="24134" spans="1:2" x14ac:dyDescent="0.25">
      <c r="A24134"/>
      <c r="B24134"/>
    </row>
    <row r="24135" spans="1:2" x14ac:dyDescent="0.25">
      <c r="A24135"/>
      <c r="B24135"/>
    </row>
    <row r="24136" spans="1:2" x14ac:dyDescent="0.25">
      <c r="A24136"/>
      <c r="B24136"/>
    </row>
    <row r="24137" spans="1:2" x14ac:dyDescent="0.25">
      <c r="A24137"/>
      <c r="B24137"/>
    </row>
    <row r="24138" spans="1:2" x14ac:dyDescent="0.25">
      <c r="A24138"/>
      <c r="B24138"/>
    </row>
    <row r="24139" spans="1:2" x14ac:dyDescent="0.25">
      <c r="A24139"/>
      <c r="B24139"/>
    </row>
    <row r="24140" spans="1:2" x14ac:dyDescent="0.25">
      <c r="A24140"/>
      <c r="B24140"/>
    </row>
    <row r="24141" spans="1:2" x14ac:dyDescent="0.25">
      <c r="A24141"/>
      <c r="B24141"/>
    </row>
    <row r="24142" spans="1:2" x14ac:dyDescent="0.25">
      <c r="A24142"/>
      <c r="B24142"/>
    </row>
    <row r="24143" spans="1:2" x14ac:dyDescent="0.25">
      <c r="A24143"/>
      <c r="B24143"/>
    </row>
    <row r="24144" spans="1:2" x14ac:dyDescent="0.25">
      <c r="A24144"/>
      <c r="B24144"/>
    </row>
    <row r="24145" spans="1:2" x14ac:dyDescent="0.25">
      <c r="A24145"/>
      <c r="B24145"/>
    </row>
    <row r="24146" spans="1:2" x14ac:dyDescent="0.25">
      <c r="A24146"/>
      <c r="B24146"/>
    </row>
    <row r="24147" spans="1:2" x14ac:dyDescent="0.25">
      <c r="A24147"/>
      <c r="B24147"/>
    </row>
    <row r="24148" spans="1:2" x14ac:dyDescent="0.25">
      <c r="A24148"/>
      <c r="B24148"/>
    </row>
    <row r="24149" spans="1:2" x14ac:dyDescent="0.25">
      <c r="A24149"/>
      <c r="B24149"/>
    </row>
    <row r="24150" spans="1:2" x14ac:dyDescent="0.25">
      <c r="A24150"/>
      <c r="B24150"/>
    </row>
    <row r="24151" spans="1:2" x14ac:dyDescent="0.25">
      <c r="A24151"/>
      <c r="B24151"/>
    </row>
    <row r="24152" spans="1:2" x14ac:dyDescent="0.25">
      <c r="A24152"/>
      <c r="B24152"/>
    </row>
    <row r="24153" spans="1:2" x14ac:dyDescent="0.25">
      <c r="A24153"/>
      <c r="B24153"/>
    </row>
    <row r="24154" spans="1:2" x14ac:dyDescent="0.25">
      <c r="A24154"/>
      <c r="B24154"/>
    </row>
    <row r="24155" spans="1:2" x14ac:dyDescent="0.25">
      <c r="A24155"/>
      <c r="B24155"/>
    </row>
    <row r="24156" spans="1:2" x14ac:dyDescent="0.25">
      <c r="A24156"/>
      <c r="B24156"/>
    </row>
    <row r="24157" spans="1:2" x14ac:dyDescent="0.25">
      <c r="A24157"/>
      <c r="B24157"/>
    </row>
    <row r="24158" spans="1:2" x14ac:dyDescent="0.25">
      <c r="A24158"/>
      <c r="B24158"/>
    </row>
    <row r="24159" spans="1:2" x14ac:dyDescent="0.25">
      <c r="A24159"/>
      <c r="B24159"/>
    </row>
    <row r="24160" spans="1:2" x14ac:dyDescent="0.25">
      <c r="A24160"/>
      <c r="B24160"/>
    </row>
    <row r="24161" spans="1:2" x14ac:dyDescent="0.25">
      <c r="A24161"/>
      <c r="B24161"/>
    </row>
    <row r="24162" spans="1:2" x14ac:dyDescent="0.25">
      <c r="A24162"/>
      <c r="B24162"/>
    </row>
    <row r="24163" spans="1:2" x14ac:dyDescent="0.25">
      <c r="A24163"/>
      <c r="B24163"/>
    </row>
    <row r="24164" spans="1:2" x14ac:dyDescent="0.25">
      <c r="A24164"/>
      <c r="B24164"/>
    </row>
    <row r="24165" spans="1:2" x14ac:dyDescent="0.25">
      <c r="A24165"/>
      <c r="B24165"/>
    </row>
    <row r="24166" spans="1:2" x14ac:dyDescent="0.25">
      <c r="A24166"/>
      <c r="B24166"/>
    </row>
    <row r="24167" spans="1:2" x14ac:dyDescent="0.25">
      <c r="A24167"/>
      <c r="B24167"/>
    </row>
    <row r="24168" spans="1:2" x14ac:dyDescent="0.25">
      <c r="A24168"/>
      <c r="B24168"/>
    </row>
    <row r="24169" spans="1:2" x14ac:dyDescent="0.25">
      <c r="A24169"/>
      <c r="B24169"/>
    </row>
    <row r="24170" spans="1:2" x14ac:dyDescent="0.25">
      <c r="A24170"/>
      <c r="B24170"/>
    </row>
    <row r="24171" spans="1:2" x14ac:dyDescent="0.25">
      <c r="A24171"/>
      <c r="B24171"/>
    </row>
    <row r="24172" spans="1:2" x14ac:dyDescent="0.25">
      <c r="A24172"/>
      <c r="B24172"/>
    </row>
    <row r="24173" spans="1:2" x14ac:dyDescent="0.25">
      <c r="A24173"/>
      <c r="B24173"/>
    </row>
    <row r="24174" spans="1:2" x14ac:dyDescent="0.25">
      <c r="A24174"/>
      <c r="B24174"/>
    </row>
    <row r="24175" spans="1:2" x14ac:dyDescent="0.25">
      <c r="A24175"/>
      <c r="B24175"/>
    </row>
    <row r="24176" spans="1:2" x14ac:dyDescent="0.25">
      <c r="A24176"/>
      <c r="B24176"/>
    </row>
    <row r="24177" spans="1:2" x14ac:dyDescent="0.25">
      <c r="A24177"/>
      <c r="B24177"/>
    </row>
    <row r="24178" spans="1:2" x14ac:dyDescent="0.25">
      <c r="A24178"/>
      <c r="B24178"/>
    </row>
    <row r="24179" spans="1:2" x14ac:dyDescent="0.25">
      <c r="A24179"/>
      <c r="B24179"/>
    </row>
    <row r="24180" spans="1:2" x14ac:dyDescent="0.25">
      <c r="A24180"/>
      <c r="B24180"/>
    </row>
    <row r="24181" spans="1:2" x14ac:dyDescent="0.25">
      <c r="A24181"/>
      <c r="B24181"/>
    </row>
    <row r="24182" spans="1:2" x14ac:dyDescent="0.25">
      <c r="A24182"/>
      <c r="B24182"/>
    </row>
    <row r="24183" spans="1:2" x14ac:dyDescent="0.25">
      <c r="A24183"/>
      <c r="B24183"/>
    </row>
    <row r="24184" spans="1:2" x14ac:dyDescent="0.25">
      <c r="A24184"/>
      <c r="B24184"/>
    </row>
    <row r="24185" spans="1:2" x14ac:dyDescent="0.25">
      <c r="A24185"/>
      <c r="B24185"/>
    </row>
    <row r="24186" spans="1:2" x14ac:dyDescent="0.25">
      <c r="A24186"/>
      <c r="B24186"/>
    </row>
    <row r="24187" spans="1:2" x14ac:dyDescent="0.25">
      <c r="A24187"/>
      <c r="B24187"/>
    </row>
    <row r="24188" spans="1:2" x14ac:dyDescent="0.25">
      <c r="A24188"/>
      <c r="B24188"/>
    </row>
    <row r="24189" spans="1:2" x14ac:dyDescent="0.25">
      <c r="A24189"/>
      <c r="B24189"/>
    </row>
    <row r="24190" spans="1:2" x14ac:dyDescent="0.25">
      <c r="A24190"/>
      <c r="B24190"/>
    </row>
    <row r="24191" spans="1:2" x14ac:dyDescent="0.25">
      <c r="A24191"/>
      <c r="B24191"/>
    </row>
    <row r="24192" spans="1:2" x14ac:dyDescent="0.25">
      <c r="A24192"/>
      <c r="B24192"/>
    </row>
    <row r="24193" spans="1:2" x14ac:dyDescent="0.25">
      <c r="A24193"/>
      <c r="B24193"/>
    </row>
    <row r="24194" spans="1:2" x14ac:dyDescent="0.25">
      <c r="A24194"/>
      <c r="B24194"/>
    </row>
    <row r="24195" spans="1:2" x14ac:dyDescent="0.25">
      <c r="A24195"/>
      <c r="B24195"/>
    </row>
    <row r="24196" spans="1:2" x14ac:dyDescent="0.25">
      <c r="A24196"/>
      <c r="B24196"/>
    </row>
    <row r="24197" spans="1:2" x14ac:dyDescent="0.25">
      <c r="A24197"/>
      <c r="B24197"/>
    </row>
    <row r="24198" spans="1:2" x14ac:dyDescent="0.25">
      <c r="A24198"/>
      <c r="B24198"/>
    </row>
    <row r="24199" spans="1:2" x14ac:dyDescent="0.25">
      <c r="A24199"/>
      <c r="B24199"/>
    </row>
    <row r="24200" spans="1:2" x14ac:dyDescent="0.25">
      <c r="A24200"/>
      <c r="B24200"/>
    </row>
    <row r="24201" spans="1:2" x14ac:dyDescent="0.25">
      <c r="A24201"/>
      <c r="B24201"/>
    </row>
    <row r="24202" spans="1:2" x14ac:dyDescent="0.25">
      <c r="A24202"/>
      <c r="B24202"/>
    </row>
    <row r="24203" spans="1:2" x14ac:dyDescent="0.25">
      <c r="A24203"/>
      <c r="B24203"/>
    </row>
    <row r="24204" spans="1:2" x14ac:dyDescent="0.25">
      <c r="A24204"/>
      <c r="B24204"/>
    </row>
    <row r="24205" spans="1:2" x14ac:dyDescent="0.25">
      <c r="A24205"/>
      <c r="B24205"/>
    </row>
    <row r="24206" spans="1:2" x14ac:dyDescent="0.25">
      <c r="A24206"/>
      <c r="B24206"/>
    </row>
    <row r="24207" spans="1:2" x14ac:dyDescent="0.25">
      <c r="A24207"/>
      <c r="B24207"/>
    </row>
    <row r="24208" spans="1:2" x14ac:dyDescent="0.25">
      <c r="A24208"/>
      <c r="B24208"/>
    </row>
    <row r="24209" spans="1:2" x14ac:dyDescent="0.25">
      <c r="A24209"/>
      <c r="B24209"/>
    </row>
    <row r="24210" spans="1:2" x14ac:dyDescent="0.25">
      <c r="A24210"/>
      <c r="B24210"/>
    </row>
    <row r="24211" spans="1:2" x14ac:dyDescent="0.25">
      <c r="A24211"/>
      <c r="B24211"/>
    </row>
    <row r="24212" spans="1:2" x14ac:dyDescent="0.25">
      <c r="A24212"/>
      <c r="B24212"/>
    </row>
    <row r="24213" spans="1:2" x14ac:dyDescent="0.25">
      <c r="A24213"/>
      <c r="B24213"/>
    </row>
    <row r="24214" spans="1:2" x14ac:dyDescent="0.25">
      <c r="A24214"/>
      <c r="B24214"/>
    </row>
    <row r="24215" spans="1:2" x14ac:dyDescent="0.25">
      <c r="A24215"/>
      <c r="B24215"/>
    </row>
    <row r="24216" spans="1:2" x14ac:dyDescent="0.25">
      <c r="A24216"/>
      <c r="B24216"/>
    </row>
    <row r="24217" spans="1:2" x14ac:dyDescent="0.25">
      <c r="A24217"/>
      <c r="B24217"/>
    </row>
    <row r="24218" spans="1:2" x14ac:dyDescent="0.25">
      <c r="A24218"/>
      <c r="B24218"/>
    </row>
    <row r="24219" spans="1:2" x14ac:dyDescent="0.25">
      <c r="A24219"/>
      <c r="B24219"/>
    </row>
    <row r="24220" spans="1:2" x14ac:dyDescent="0.25">
      <c r="A24220"/>
      <c r="B24220"/>
    </row>
    <row r="24221" spans="1:2" x14ac:dyDescent="0.25">
      <c r="A24221"/>
      <c r="B24221"/>
    </row>
    <row r="24222" spans="1:2" x14ac:dyDescent="0.25">
      <c r="A24222"/>
      <c r="B24222"/>
    </row>
    <row r="24223" spans="1:2" x14ac:dyDescent="0.25">
      <c r="A24223"/>
      <c r="B24223"/>
    </row>
    <row r="24224" spans="1:2" x14ac:dyDescent="0.25">
      <c r="A24224"/>
      <c r="B24224"/>
    </row>
    <row r="24225" spans="1:2" x14ac:dyDescent="0.25">
      <c r="A24225"/>
      <c r="B24225"/>
    </row>
    <row r="24226" spans="1:2" x14ac:dyDescent="0.25">
      <c r="A24226"/>
      <c r="B24226"/>
    </row>
    <row r="24227" spans="1:2" x14ac:dyDescent="0.25">
      <c r="A24227"/>
      <c r="B24227"/>
    </row>
    <row r="24228" spans="1:2" x14ac:dyDescent="0.25">
      <c r="A24228"/>
      <c r="B24228"/>
    </row>
    <row r="24229" spans="1:2" x14ac:dyDescent="0.25">
      <c r="A24229"/>
      <c r="B24229"/>
    </row>
    <row r="24230" spans="1:2" x14ac:dyDescent="0.25">
      <c r="A24230"/>
      <c r="B24230"/>
    </row>
    <row r="24231" spans="1:2" x14ac:dyDescent="0.25">
      <c r="A24231"/>
      <c r="B24231"/>
    </row>
    <row r="24232" spans="1:2" x14ac:dyDescent="0.25">
      <c r="A24232"/>
      <c r="B24232"/>
    </row>
    <row r="24233" spans="1:2" x14ac:dyDescent="0.25">
      <c r="A24233"/>
      <c r="B24233"/>
    </row>
    <row r="24234" spans="1:2" x14ac:dyDescent="0.25">
      <c r="A24234"/>
      <c r="B24234"/>
    </row>
    <row r="24235" spans="1:2" x14ac:dyDescent="0.25">
      <c r="A24235"/>
      <c r="B24235"/>
    </row>
    <row r="24236" spans="1:2" x14ac:dyDescent="0.25">
      <c r="A24236"/>
      <c r="B24236"/>
    </row>
    <row r="24237" spans="1:2" x14ac:dyDescent="0.25">
      <c r="A24237"/>
      <c r="B24237"/>
    </row>
    <row r="24238" spans="1:2" x14ac:dyDescent="0.25">
      <c r="A24238"/>
      <c r="B24238"/>
    </row>
    <row r="24239" spans="1:2" x14ac:dyDescent="0.25">
      <c r="A24239"/>
      <c r="B24239"/>
    </row>
    <row r="24240" spans="1:2" x14ac:dyDescent="0.25">
      <c r="A24240"/>
      <c r="B24240"/>
    </row>
    <row r="24241" spans="1:2" x14ac:dyDescent="0.25">
      <c r="A24241"/>
      <c r="B24241"/>
    </row>
    <row r="24242" spans="1:2" x14ac:dyDescent="0.25">
      <c r="A24242"/>
      <c r="B24242"/>
    </row>
    <row r="24243" spans="1:2" x14ac:dyDescent="0.25">
      <c r="A24243"/>
      <c r="B24243"/>
    </row>
    <row r="24244" spans="1:2" x14ac:dyDescent="0.25">
      <c r="A24244"/>
      <c r="B24244"/>
    </row>
    <row r="24245" spans="1:2" x14ac:dyDescent="0.25">
      <c r="A24245"/>
      <c r="B24245"/>
    </row>
    <row r="24246" spans="1:2" x14ac:dyDescent="0.25">
      <c r="A24246"/>
      <c r="B24246"/>
    </row>
    <row r="24247" spans="1:2" x14ac:dyDescent="0.25">
      <c r="A24247"/>
      <c r="B24247"/>
    </row>
    <row r="24248" spans="1:2" x14ac:dyDescent="0.25">
      <c r="A24248"/>
      <c r="B24248"/>
    </row>
    <row r="24249" spans="1:2" x14ac:dyDescent="0.25">
      <c r="A24249"/>
      <c r="B24249"/>
    </row>
    <row r="24250" spans="1:2" x14ac:dyDescent="0.25">
      <c r="A24250"/>
      <c r="B24250"/>
    </row>
    <row r="24251" spans="1:2" x14ac:dyDescent="0.25">
      <c r="A24251"/>
      <c r="B24251"/>
    </row>
    <row r="24252" spans="1:2" x14ac:dyDescent="0.25">
      <c r="A24252"/>
      <c r="B24252"/>
    </row>
    <row r="24253" spans="1:2" x14ac:dyDescent="0.25">
      <c r="A24253"/>
      <c r="B24253"/>
    </row>
    <row r="24254" spans="1:2" x14ac:dyDescent="0.25">
      <c r="A24254"/>
      <c r="B24254"/>
    </row>
    <row r="24255" spans="1:2" x14ac:dyDescent="0.25">
      <c r="A24255"/>
      <c r="B24255"/>
    </row>
    <row r="24256" spans="1:2" x14ac:dyDescent="0.25">
      <c r="A24256"/>
      <c r="B24256"/>
    </row>
    <row r="24257" spans="1:2" x14ac:dyDescent="0.25">
      <c r="A24257"/>
      <c r="B24257"/>
    </row>
    <row r="24258" spans="1:2" x14ac:dyDescent="0.25">
      <c r="A24258"/>
      <c r="B24258"/>
    </row>
    <row r="24259" spans="1:2" x14ac:dyDescent="0.25">
      <c r="A24259"/>
      <c r="B24259"/>
    </row>
    <row r="24260" spans="1:2" x14ac:dyDescent="0.25">
      <c r="A24260"/>
      <c r="B24260"/>
    </row>
    <row r="24261" spans="1:2" x14ac:dyDescent="0.25">
      <c r="A24261"/>
      <c r="B24261"/>
    </row>
    <row r="24262" spans="1:2" x14ac:dyDescent="0.25">
      <c r="A24262"/>
      <c r="B24262"/>
    </row>
    <row r="24263" spans="1:2" x14ac:dyDescent="0.25">
      <c r="A24263"/>
      <c r="B24263"/>
    </row>
    <row r="24264" spans="1:2" x14ac:dyDescent="0.25">
      <c r="A24264"/>
      <c r="B24264"/>
    </row>
    <row r="24265" spans="1:2" x14ac:dyDescent="0.25">
      <c r="A24265"/>
      <c r="B24265"/>
    </row>
    <row r="24266" spans="1:2" x14ac:dyDescent="0.25">
      <c r="A24266"/>
      <c r="B24266"/>
    </row>
    <row r="24267" spans="1:2" x14ac:dyDescent="0.25">
      <c r="A24267"/>
      <c r="B24267"/>
    </row>
    <row r="24268" spans="1:2" x14ac:dyDescent="0.25">
      <c r="A24268"/>
      <c r="B24268"/>
    </row>
    <row r="24269" spans="1:2" x14ac:dyDescent="0.25">
      <c r="A24269"/>
      <c r="B24269"/>
    </row>
    <row r="24270" spans="1:2" x14ac:dyDescent="0.25">
      <c r="A24270"/>
      <c r="B24270"/>
    </row>
    <row r="24271" spans="1:2" x14ac:dyDescent="0.25">
      <c r="A24271"/>
      <c r="B24271"/>
    </row>
    <row r="24272" spans="1:2" x14ac:dyDescent="0.25">
      <c r="A24272"/>
      <c r="B24272"/>
    </row>
    <row r="24273" spans="1:2" x14ac:dyDescent="0.25">
      <c r="A24273"/>
      <c r="B24273"/>
    </row>
    <row r="24274" spans="1:2" x14ac:dyDescent="0.25">
      <c r="A24274"/>
      <c r="B24274"/>
    </row>
    <row r="24275" spans="1:2" x14ac:dyDescent="0.25">
      <c r="A24275"/>
      <c r="B24275"/>
    </row>
    <row r="24276" spans="1:2" x14ac:dyDescent="0.25">
      <c r="A24276"/>
      <c r="B24276"/>
    </row>
    <row r="24277" spans="1:2" x14ac:dyDescent="0.25">
      <c r="A24277"/>
      <c r="B24277"/>
    </row>
    <row r="24278" spans="1:2" x14ac:dyDescent="0.25">
      <c r="A24278"/>
      <c r="B24278"/>
    </row>
    <row r="24279" spans="1:2" x14ac:dyDescent="0.25">
      <c r="A24279"/>
      <c r="B24279"/>
    </row>
    <row r="24280" spans="1:2" x14ac:dyDescent="0.25">
      <c r="A24280"/>
      <c r="B24280"/>
    </row>
    <row r="24281" spans="1:2" x14ac:dyDescent="0.25">
      <c r="A24281"/>
      <c r="B24281"/>
    </row>
    <row r="24282" spans="1:2" x14ac:dyDescent="0.25">
      <c r="A24282"/>
      <c r="B24282"/>
    </row>
    <row r="24283" spans="1:2" x14ac:dyDescent="0.25">
      <c r="A24283"/>
      <c r="B24283"/>
    </row>
    <row r="24284" spans="1:2" x14ac:dyDescent="0.25">
      <c r="A24284"/>
      <c r="B24284"/>
    </row>
    <row r="24285" spans="1:2" x14ac:dyDescent="0.25">
      <c r="A24285"/>
      <c r="B24285"/>
    </row>
    <row r="24286" spans="1:2" x14ac:dyDescent="0.25">
      <c r="A24286"/>
      <c r="B24286"/>
    </row>
    <row r="24287" spans="1:2" x14ac:dyDescent="0.25">
      <c r="A24287"/>
      <c r="B24287"/>
    </row>
    <row r="24288" spans="1:2" x14ac:dyDescent="0.25">
      <c r="A24288"/>
      <c r="B24288"/>
    </row>
    <row r="24289" spans="1:2" x14ac:dyDescent="0.25">
      <c r="A24289"/>
      <c r="B24289"/>
    </row>
    <row r="24290" spans="1:2" x14ac:dyDescent="0.25">
      <c r="A24290"/>
      <c r="B24290"/>
    </row>
    <row r="24291" spans="1:2" x14ac:dyDescent="0.25">
      <c r="A24291"/>
      <c r="B24291"/>
    </row>
    <row r="24292" spans="1:2" x14ac:dyDescent="0.25">
      <c r="A24292"/>
      <c r="B24292"/>
    </row>
    <row r="24293" spans="1:2" x14ac:dyDescent="0.25">
      <c r="A24293"/>
      <c r="B24293"/>
    </row>
    <row r="24294" spans="1:2" x14ac:dyDescent="0.25">
      <c r="A24294"/>
      <c r="B24294"/>
    </row>
    <row r="24295" spans="1:2" x14ac:dyDescent="0.25">
      <c r="A24295"/>
      <c r="B24295"/>
    </row>
    <row r="24296" spans="1:2" x14ac:dyDescent="0.25">
      <c r="A24296"/>
      <c r="B24296"/>
    </row>
    <row r="24297" spans="1:2" x14ac:dyDescent="0.25">
      <c r="A24297"/>
      <c r="B24297"/>
    </row>
    <row r="24298" spans="1:2" x14ac:dyDescent="0.25">
      <c r="A24298"/>
      <c r="B24298"/>
    </row>
    <row r="24299" spans="1:2" x14ac:dyDescent="0.25">
      <c r="A24299"/>
      <c r="B24299"/>
    </row>
    <row r="24300" spans="1:2" x14ac:dyDescent="0.25">
      <c r="A24300"/>
      <c r="B24300"/>
    </row>
    <row r="24301" spans="1:2" x14ac:dyDescent="0.25">
      <c r="A24301"/>
      <c r="B24301"/>
    </row>
    <row r="24302" spans="1:2" x14ac:dyDescent="0.25">
      <c r="A24302"/>
      <c r="B24302"/>
    </row>
    <row r="24303" spans="1:2" x14ac:dyDescent="0.25">
      <c r="A24303"/>
      <c r="B24303"/>
    </row>
    <row r="24304" spans="1:2" x14ac:dyDescent="0.25">
      <c r="A24304"/>
      <c r="B24304"/>
    </row>
    <row r="24305" spans="1:2" x14ac:dyDescent="0.25">
      <c r="A24305"/>
      <c r="B24305"/>
    </row>
    <row r="24306" spans="1:2" x14ac:dyDescent="0.25">
      <c r="A24306"/>
      <c r="B24306"/>
    </row>
    <row r="24307" spans="1:2" x14ac:dyDescent="0.25">
      <c r="A24307"/>
      <c r="B24307"/>
    </row>
    <row r="24308" spans="1:2" x14ac:dyDescent="0.25">
      <c r="A24308"/>
      <c r="B24308"/>
    </row>
    <row r="24309" spans="1:2" x14ac:dyDescent="0.25">
      <c r="A24309"/>
      <c r="B24309"/>
    </row>
    <row r="24310" spans="1:2" x14ac:dyDescent="0.25">
      <c r="A24310"/>
      <c r="B24310"/>
    </row>
    <row r="24311" spans="1:2" x14ac:dyDescent="0.25">
      <c r="A24311"/>
      <c r="B24311"/>
    </row>
    <row r="24312" spans="1:2" x14ac:dyDescent="0.25">
      <c r="A24312"/>
      <c r="B24312"/>
    </row>
    <row r="24313" spans="1:2" x14ac:dyDescent="0.25">
      <c r="A24313"/>
      <c r="B24313"/>
    </row>
    <row r="24314" spans="1:2" x14ac:dyDescent="0.25">
      <c r="A24314"/>
      <c r="B24314"/>
    </row>
    <row r="24315" spans="1:2" x14ac:dyDescent="0.25">
      <c r="A24315"/>
      <c r="B24315"/>
    </row>
    <row r="24316" spans="1:2" x14ac:dyDescent="0.25">
      <c r="A24316"/>
      <c r="B24316"/>
    </row>
    <row r="24317" spans="1:2" x14ac:dyDescent="0.25">
      <c r="A24317"/>
      <c r="B24317"/>
    </row>
    <row r="24318" spans="1:2" x14ac:dyDescent="0.25">
      <c r="A24318"/>
      <c r="B24318"/>
    </row>
    <row r="24319" spans="1:2" x14ac:dyDescent="0.25">
      <c r="A24319"/>
      <c r="B24319"/>
    </row>
    <row r="24320" spans="1:2" x14ac:dyDescent="0.25">
      <c r="A24320"/>
      <c r="B24320"/>
    </row>
    <row r="24321" spans="1:2" x14ac:dyDescent="0.25">
      <c r="A24321"/>
      <c r="B24321"/>
    </row>
    <row r="24322" spans="1:2" x14ac:dyDescent="0.25">
      <c r="A24322"/>
      <c r="B24322"/>
    </row>
    <row r="24323" spans="1:2" x14ac:dyDescent="0.25">
      <c r="A24323"/>
      <c r="B24323"/>
    </row>
    <row r="24324" spans="1:2" x14ac:dyDescent="0.25">
      <c r="A24324"/>
      <c r="B24324"/>
    </row>
    <row r="24325" spans="1:2" x14ac:dyDescent="0.25">
      <c r="A24325"/>
      <c r="B24325"/>
    </row>
    <row r="24326" spans="1:2" x14ac:dyDescent="0.25">
      <c r="A24326"/>
      <c r="B24326"/>
    </row>
    <row r="24327" spans="1:2" x14ac:dyDescent="0.25">
      <c r="A24327"/>
      <c r="B24327"/>
    </row>
    <row r="24328" spans="1:2" x14ac:dyDescent="0.25">
      <c r="A24328"/>
      <c r="B24328"/>
    </row>
    <row r="24329" spans="1:2" x14ac:dyDescent="0.25">
      <c r="A24329"/>
      <c r="B24329"/>
    </row>
    <row r="24330" spans="1:2" x14ac:dyDescent="0.25">
      <c r="A24330"/>
      <c r="B24330"/>
    </row>
    <row r="24331" spans="1:2" x14ac:dyDescent="0.25">
      <c r="A24331"/>
      <c r="B24331"/>
    </row>
    <row r="24332" spans="1:2" x14ac:dyDescent="0.25">
      <c r="A24332"/>
      <c r="B24332"/>
    </row>
    <row r="24333" spans="1:2" x14ac:dyDescent="0.25">
      <c r="A24333"/>
      <c r="B24333"/>
    </row>
    <row r="24334" spans="1:2" x14ac:dyDescent="0.25">
      <c r="A24334"/>
      <c r="B24334"/>
    </row>
    <row r="24335" spans="1:2" x14ac:dyDescent="0.25">
      <c r="A24335"/>
      <c r="B24335"/>
    </row>
    <row r="24336" spans="1:2" x14ac:dyDescent="0.25">
      <c r="A24336"/>
      <c r="B24336"/>
    </row>
    <row r="24337" spans="1:2" x14ac:dyDescent="0.25">
      <c r="A24337"/>
      <c r="B24337"/>
    </row>
    <row r="24338" spans="1:2" x14ac:dyDescent="0.25">
      <c r="A24338"/>
      <c r="B24338"/>
    </row>
    <row r="24339" spans="1:2" x14ac:dyDescent="0.25">
      <c r="A24339"/>
      <c r="B24339"/>
    </row>
    <row r="24340" spans="1:2" x14ac:dyDescent="0.25">
      <c r="A24340"/>
      <c r="B24340"/>
    </row>
    <row r="24341" spans="1:2" x14ac:dyDescent="0.25">
      <c r="A24341"/>
      <c r="B24341"/>
    </row>
    <row r="24342" spans="1:2" x14ac:dyDescent="0.25">
      <c r="A24342"/>
      <c r="B24342"/>
    </row>
    <row r="24343" spans="1:2" x14ac:dyDescent="0.25">
      <c r="A24343"/>
      <c r="B24343"/>
    </row>
    <row r="24344" spans="1:2" x14ac:dyDescent="0.25">
      <c r="A24344"/>
      <c r="B24344"/>
    </row>
    <row r="24345" spans="1:2" x14ac:dyDescent="0.25">
      <c r="A24345"/>
      <c r="B24345"/>
    </row>
    <row r="24346" spans="1:2" x14ac:dyDescent="0.25">
      <c r="A24346"/>
      <c r="B24346"/>
    </row>
    <row r="24347" spans="1:2" x14ac:dyDescent="0.25">
      <c r="A24347"/>
      <c r="B24347"/>
    </row>
    <row r="24348" spans="1:2" x14ac:dyDescent="0.25">
      <c r="A24348"/>
      <c r="B24348"/>
    </row>
    <row r="24349" spans="1:2" x14ac:dyDescent="0.25">
      <c r="A24349"/>
      <c r="B24349"/>
    </row>
    <row r="24350" spans="1:2" x14ac:dyDescent="0.25">
      <c r="A24350"/>
      <c r="B24350"/>
    </row>
    <row r="24351" spans="1:2" x14ac:dyDescent="0.25">
      <c r="A24351"/>
      <c r="B24351"/>
    </row>
    <row r="24352" spans="1:2" x14ac:dyDescent="0.25">
      <c r="A24352"/>
      <c r="B24352"/>
    </row>
    <row r="24353" spans="1:2" x14ac:dyDescent="0.25">
      <c r="A24353"/>
      <c r="B24353"/>
    </row>
    <row r="24354" spans="1:2" x14ac:dyDescent="0.25">
      <c r="A24354"/>
      <c r="B24354"/>
    </row>
    <row r="24355" spans="1:2" x14ac:dyDescent="0.25">
      <c r="A24355"/>
      <c r="B24355"/>
    </row>
    <row r="24356" spans="1:2" x14ac:dyDescent="0.25">
      <c r="A24356"/>
      <c r="B24356"/>
    </row>
    <row r="24357" spans="1:2" x14ac:dyDescent="0.25">
      <c r="A24357"/>
      <c r="B24357"/>
    </row>
    <row r="24358" spans="1:2" x14ac:dyDescent="0.25">
      <c r="A24358"/>
      <c r="B24358"/>
    </row>
    <row r="24359" spans="1:2" x14ac:dyDescent="0.25">
      <c r="A24359"/>
      <c r="B24359"/>
    </row>
    <row r="24360" spans="1:2" x14ac:dyDescent="0.25">
      <c r="A24360"/>
      <c r="B24360"/>
    </row>
    <row r="24361" spans="1:2" x14ac:dyDescent="0.25">
      <c r="A24361"/>
      <c r="B24361"/>
    </row>
    <row r="24362" spans="1:2" x14ac:dyDescent="0.25">
      <c r="A24362"/>
      <c r="B24362"/>
    </row>
    <row r="24363" spans="1:2" x14ac:dyDescent="0.25">
      <c r="A24363"/>
      <c r="B24363"/>
    </row>
    <row r="24364" spans="1:2" x14ac:dyDescent="0.25">
      <c r="A24364"/>
      <c r="B24364"/>
    </row>
    <row r="24365" spans="1:2" x14ac:dyDescent="0.25">
      <c r="A24365"/>
      <c r="B24365"/>
    </row>
    <row r="24366" spans="1:2" x14ac:dyDescent="0.25">
      <c r="A24366"/>
      <c r="B24366"/>
    </row>
    <row r="24367" spans="1:2" x14ac:dyDescent="0.25">
      <c r="A24367"/>
      <c r="B24367"/>
    </row>
    <row r="24368" spans="1:2" x14ac:dyDescent="0.25">
      <c r="A24368"/>
      <c r="B24368"/>
    </row>
    <row r="24369" spans="1:2" x14ac:dyDescent="0.25">
      <c r="A24369"/>
      <c r="B24369"/>
    </row>
    <row r="24370" spans="1:2" x14ac:dyDescent="0.25">
      <c r="A24370"/>
      <c r="B24370"/>
    </row>
    <row r="24371" spans="1:2" x14ac:dyDescent="0.25">
      <c r="A24371"/>
      <c r="B24371"/>
    </row>
    <row r="24372" spans="1:2" x14ac:dyDescent="0.25">
      <c r="A24372"/>
      <c r="B24372"/>
    </row>
    <row r="24373" spans="1:2" x14ac:dyDescent="0.25">
      <c r="A24373"/>
      <c r="B24373"/>
    </row>
    <row r="24374" spans="1:2" x14ac:dyDescent="0.25">
      <c r="A24374"/>
      <c r="B24374"/>
    </row>
    <row r="24375" spans="1:2" x14ac:dyDescent="0.25">
      <c r="A24375"/>
      <c r="B24375"/>
    </row>
    <row r="24376" spans="1:2" x14ac:dyDescent="0.25">
      <c r="A24376"/>
      <c r="B24376"/>
    </row>
    <row r="24377" spans="1:2" x14ac:dyDescent="0.25">
      <c r="A24377"/>
      <c r="B24377"/>
    </row>
    <row r="24378" spans="1:2" x14ac:dyDescent="0.25">
      <c r="A24378"/>
      <c r="B24378"/>
    </row>
    <row r="24379" spans="1:2" x14ac:dyDescent="0.25">
      <c r="A24379"/>
      <c r="B24379"/>
    </row>
    <row r="24380" spans="1:2" x14ac:dyDescent="0.25">
      <c r="A24380"/>
      <c r="B24380"/>
    </row>
    <row r="24381" spans="1:2" x14ac:dyDescent="0.25">
      <c r="A24381"/>
      <c r="B24381"/>
    </row>
    <row r="24382" spans="1:2" x14ac:dyDescent="0.25">
      <c r="A24382"/>
      <c r="B24382"/>
    </row>
    <row r="24383" spans="1:2" x14ac:dyDescent="0.25">
      <c r="A24383"/>
      <c r="B24383"/>
    </row>
    <row r="24384" spans="1:2" x14ac:dyDescent="0.25">
      <c r="A24384"/>
      <c r="B24384"/>
    </row>
    <row r="24385" spans="1:2" x14ac:dyDescent="0.25">
      <c r="A24385"/>
      <c r="B24385"/>
    </row>
    <row r="24386" spans="1:2" x14ac:dyDescent="0.25">
      <c r="A24386"/>
      <c r="B24386"/>
    </row>
    <row r="24387" spans="1:2" x14ac:dyDescent="0.25">
      <c r="A24387"/>
      <c r="B24387"/>
    </row>
    <row r="24388" spans="1:2" x14ac:dyDescent="0.25">
      <c r="A24388"/>
      <c r="B24388"/>
    </row>
    <row r="24389" spans="1:2" x14ac:dyDescent="0.25">
      <c r="A24389"/>
      <c r="B24389"/>
    </row>
    <row r="24390" spans="1:2" x14ac:dyDescent="0.25">
      <c r="A24390"/>
      <c r="B24390"/>
    </row>
    <row r="24391" spans="1:2" x14ac:dyDescent="0.25">
      <c r="A24391"/>
      <c r="B24391"/>
    </row>
    <row r="24392" spans="1:2" x14ac:dyDescent="0.25">
      <c r="A24392"/>
      <c r="B24392"/>
    </row>
    <row r="24393" spans="1:2" x14ac:dyDescent="0.25">
      <c r="A24393"/>
      <c r="B24393"/>
    </row>
    <row r="24394" spans="1:2" x14ac:dyDescent="0.25">
      <c r="A24394"/>
      <c r="B24394"/>
    </row>
    <row r="24395" spans="1:2" x14ac:dyDescent="0.25">
      <c r="A24395"/>
      <c r="B24395"/>
    </row>
    <row r="24396" spans="1:2" x14ac:dyDescent="0.25">
      <c r="A24396"/>
      <c r="B24396"/>
    </row>
    <row r="24397" spans="1:2" x14ac:dyDescent="0.25">
      <c r="A24397"/>
      <c r="B24397"/>
    </row>
    <row r="24398" spans="1:2" x14ac:dyDescent="0.25">
      <c r="A24398"/>
      <c r="B24398"/>
    </row>
    <row r="24399" spans="1:2" x14ac:dyDescent="0.25">
      <c r="A24399"/>
      <c r="B24399"/>
    </row>
    <row r="24400" spans="1:2" x14ac:dyDescent="0.25">
      <c r="A24400"/>
      <c r="B24400"/>
    </row>
    <row r="24401" spans="1:2" x14ac:dyDescent="0.25">
      <c r="A24401"/>
      <c r="B24401"/>
    </row>
    <row r="24402" spans="1:2" x14ac:dyDescent="0.25">
      <c r="A24402"/>
      <c r="B24402"/>
    </row>
    <row r="24403" spans="1:2" x14ac:dyDescent="0.25">
      <c r="A24403"/>
      <c r="B24403"/>
    </row>
    <row r="24404" spans="1:2" x14ac:dyDescent="0.25">
      <c r="A24404"/>
      <c r="B24404"/>
    </row>
    <row r="24405" spans="1:2" x14ac:dyDescent="0.25">
      <c r="A24405"/>
      <c r="B24405"/>
    </row>
    <row r="24406" spans="1:2" x14ac:dyDescent="0.25">
      <c r="A24406"/>
      <c r="B24406"/>
    </row>
    <row r="24407" spans="1:2" x14ac:dyDescent="0.25">
      <c r="A24407"/>
      <c r="B24407"/>
    </row>
    <row r="24408" spans="1:2" x14ac:dyDescent="0.25">
      <c r="A24408"/>
      <c r="B24408"/>
    </row>
    <row r="24409" spans="1:2" x14ac:dyDescent="0.25">
      <c r="A24409"/>
      <c r="B24409"/>
    </row>
    <row r="24410" spans="1:2" x14ac:dyDescent="0.25">
      <c r="A24410"/>
      <c r="B24410"/>
    </row>
    <row r="24411" spans="1:2" x14ac:dyDescent="0.25">
      <c r="A24411"/>
      <c r="B24411"/>
    </row>
    <row r="24412" spans="1:2" x14ac:dyDescent="0.25">
      <c r="A24412"/>
      <c r="B24412"/>
    </row>
    <row r="24413" spans="1:2" x14ac:dyDescent="0.25">
      <c r="A24413"/>
      <c r="B24413"/>
    </row>
    <row r="24414" spans="1:2" x14ac:dyDescent="0.25">
      <c r="A24414"/>
      <c r="B24414"/>
    </row>
    <row r="24415" spans="1:2" x14ac:dyDescent="0.25">
      <c r="A24415"/>
      <c r="B24415"/>
    </row>
    <row r="24416" spans="1:2" x14ac:dyDescent="0.25">
      <c r="A24416"/>
      <c r="B24416"/>
    </row>
    <row r="24417" spans="1:2" x14ac:dyDescent="0.25">
      <c r="A24417"/>
      <c r="B24417"/>
    </row>
    <row r="24418" spans="1:2" x14ac:dyDescent="0.25">
      <c r="A24418"/>
      <c r="B24418"/>
    </row>
    <row r="24419" spans="1:2" x14ac:dyDescent="0.25">
      <c r="A24419"/>
      <c r="B24419"/>
    </row>
    <row r="24420" spans="1:2" x14ac:dyDescent="0.25">
      <c r="A24420"/>
      <c r="B24420"/>
    </row>
    <row r="24421" spans="1:2" x14ac:dyDescent="0.25">
      <c r="A24421"/>
      <c r="B24421"/>
    </row>
    <row r="24422" spans="1:2" x14ac:dyDescent="0.25">
      <c r="A24422"/>
      <c r="B24422"/>
    </row>
    <row r="24423" spans="1:2" x14ac:dyDescent="0.25">
      <c r="A24423"/>
      <c r="B24423"/>
    </row>
    <row r="24424" spans="1:2" x14ac:dyDescent="0.25">
      <c r="A24424"/>
      <c r="B24424"/>
    </row>
    <row r="24425" spans="1:2" x14ac:dyDescent="0.25">
      <c r="A24425"/>
      <c r="B24425"/>
    </row>
    <row r="24426" spans="1:2" x14ac:dyDescent="0.25">
      <c r="A24426"/>
      <c r="B24426"/>
    </row>
    <row r="24427" spans="1:2" x14ac:dyDescent="0.25">
      <c r="A24427"/>
      <c r="B24427"/>
    </row>
    <row r="24428" spans="1:2" x14ac:dyDescent="0.25">
      <c r="A24428"/>
      <c r="B24428"/>
    </row>
    <row r="24429" spans="1:2" x14ac:dyDescent="0.25">
      <c r="A24429"/>
      <c r="B24429"/>
    </row>
    <row r="24430" spans="1:2" x14ac:dyDescent="0.25">
      <c r="A24430"/>
      <c r="B24430"/>
    </row>
    <row r="24431" spans="1:2" x14ac:dyDescent="0.25">
      <c r="A24431"/>
      <c r="B24431"/>
    </row>
    <row r="24432" spans="1:2" x14ac:dyDescent="0.25">
      <c r="A24432"/>
      <c r="B24432"/>
    </row>
    <row r="24433" spans="1:2" x14ac:dyDescent="0.25">
      <c r="A24433"/>
      <c r="B24433"/>
    </row>
    <row r="24434" spans="1:2" x14ac:dyDescent="0.25">
      <c r="A24434"/>
      <c r="B24434"/>
    </row>
    <row r="24435" spans="1:2" x14ac:dyDescent="0.25">
      <c r="A24435"/>
      <c r="B24435"/>
    </row>
    <row r="24436" spans="1:2" x14ac:dyDescent="0.25">
      <c r="A24436"/>
      <c r="B24436"/>
    </row>
    <row r="24437" spans="1:2" x14ac:dyDescent="0.25">
      <c r="A24437"/>
      <c r="B24437"/>
    </row>
    <row r="24438" spans="1:2" x14ac:dyDescent="0.25">
      <c r="A24438"/>
      <c r="B24438"/>
    </row>
    <row r="24439" spans="1:2" x14ac:dyDescent="0.25">
      <c r="A24439"/>
      <c r="B24439"/>
    </row>
    <row r="24440" spans="1:2" x14ac:dyDescent="0.25">
      <c r="A24440"/>
      <c r="B24440"/>
    </row>
    <row r="24441" spans="1:2" x14ac:dyDescent="0.25">
      <c r="A24441"/>
      <c r="B24441"/>
    </row>
    <row r="24442" spans="1:2" x14ac:dyDescent="0.25">
      <c r="A24442"/>
      <c r="B24442"/>
    </row>
    <row r="24443" spans="1:2" x14ac:dyDescent="0.25">
      <c r="A24443"/>
      <c r="B24443"/>
    </row>
    <row r="24444" spans="1:2" x14ac:dyDescent="0.25">
      <c r="A24444"/>
      <c r="B24444"/>
    </row>
    <row r="24445" spans="1:2" x14ac:dyDescent="0.25">
      <c r="A24445"/>
      <c r="B24445"/>
    </row>
    <row r="24446" spans="1:2" x14ac:dyDescent="0.25">
      <c r="A24446"/>
      <c r="B24446"/>
    </row>
    <row r="24447" spans="1:2" x14ac:dyDescent="0.25">
      <c r="A24447"/>
      <c r="B24447"/>
    </row>
    <row r="24448" spans="1:2" x14ac:dyDescent="0.25">
      <c r="A24448"/>
      <c r="B24448"/>
    </row>
    <row r="24449" spans="1:2" x14ac:dyDescent="0.25">
      <c r="A24449"/>
      <c r="B24449"/>
    </row>
    <row r="24450" spans="1:2" x14ac:dyDescent="0.25">
      <c r="A24450"/>
      <c r="B24450"/>
    </row>
    <row r="24451" spans="1:2" x14ac:dyDescent="0.25">
      <c r="A24451"/>
      <c r="B24451"/>
    </row>
    <row r="24452" spans="1:2" x14ac:dyDescent="0.25">
      <c r="A24452"/>
      <c r="B24452"/>
    </row>
    <row r="24453" spans="1:2" x14ac:dyDescent="0.25">
      <c r="A24453"/>
      <c r="B24453"/>
    </row>
    <row r="24454" spans="1:2" x14ac:dyDescent="0.25">
      <c r="A24454"/>
      <c r="B24454"/>
    </row>
    <row r="24455" spans="1:2" x14ac:dyDescent="0.25">
      <c r="A24455"/>
      <c r="B24455"/>
    </row>
    <row r="24456" spans="1:2" x14ac:dyDescent="0.25">
      <c r="A24456"/>
      <c r="B24456"/>
    </row>
    <row r="24457" spans="1:2" x14ac:dyDescent="0.25">
      <c r="A24457"/>
      <c r="B24457"/>
    </row>
    <row r="24458" spans="1:2" x14ac:dyDescent="0.25">
      <c r="A24458"/>
      <c r="B24458"/>
    </row>
    <row r="24459" spans="1:2" x14ac:dyDescent="0.25">
      <c r="A24459"/>
      <c r="B24459"/>
    </row>
    <row r="24460" spans="1:2" x14ac:dyDescent="0.25">
      <c r="A24460"/>
      <c r="B24460"/>
    </row>
    <row r="24461" spans="1:2" x14ac:dyDescent="0.25">
      <c r="A24461"/>
      <c r="B24461"/>
    </row>
    <row r="24462" spans="1:2" x14ac:dyDescent="0.25">
      <c r="A24462"/>
      <c r="B24462"/>
    </row>
    <row r="24463" spans="1:2" x14ac:dyDescent="0.25">
      <c r="A24463"/>
      <c r="B24463"/>
    </row>
    <row r="24464" spans="1:2" x14ac:dyDescent="0.25">
      <c r="A24464"/>
      <c r="B24464"/>
    </row>
    <row r="24465" spans="1:2" x14ac:dyDescent="0.25">
      <c r="A24465"/>
      <c r="B24465"/>
    </row>
    <row r="24466" spans="1:2" x14ac:dyDescent="0.25">
      <c r="A24466"/>
      <c r="B24466"/>
    </row>
    <row r="24467" spans="1:2" x14ac:dyDescent="0.25">
      <c r="A24467"/>
      <c r="B24467"/>
    </row>
    <row r="24468" spans="1:2" x14ac:dyDescent="0.25">
      <c r="A24468"/>
      <c r="B24468"/>
    </row>
    <row r="24469" spans="1:2" x14ac:dyDescent="0.25">
      <c r="A24469"/>
      <c r="B24469"/>
    </row>
    <row r="24470" spans="1:2" x14ac:dyDescent="0.25">
      <c r="A24470"/>
      <c r="B24470"/>
    </row>
    <row r="24471" spans="1:2" x14ac:dyDescent="0.25">
      <c r="A24471"/>
      <c r="B24471"/>
    </row>
    <row r="24472" spans="1:2" x14ac:dyDescent="0.25">
      <c r="A24472"/>
      <c r="B24472"/>
    </row>
    <row r="24473" spans="1:2" x14ac:dyDescent="0.25">
      <c r="A24473"/>
      <c r="B24473"/>
    </row>
    <row r="24474" spans="1:2" x14ac:dyDescent="0.25">
      <c r="A24474"/>
      <c r="B24474"/>
    </row>
    <row r="24475" spans="1:2" x14ac:dyDescent="0.25">
      <c r="A24475"/>
      <c r="B24475"/>
    </row>
    <row r="24476" spans="1:2" x14ac:dyDescent="0.25">
      <c r="A24476"/>
      <c r="B24476"/>
    </row>
    <row r="24477" spans="1:2" x14ac:dyDescent="0.25">
      <c r="A24477"/>
      <c r="B24477"/>
    </row>
    <row r="24478" spans="1:2" x14ac:dyDescent="0.25">
      <c r="A24478"/>
      <c r="B24478"/>
    </row>
    <row r="24479" spans="1:2" x14ac:dyDescent="0.25">
      <c r="A24479"/>
      <c r="B24479"/>
    </row>
    <row r="24480" spans="1:2" x14ac:dyDescent="0.25">
      <c r="A24480"/>
      <c r="B24480"/>
    </row>
    <row r="24481" spans="1:2" x14ac:dyDescent="0.25">
      <c r="A24481"/>
      <c r="B24481"/>
    </row>
    <row r="24482" spans="1:2" x14ac:dyDescent="0.25">
      <c r="A24482"/>
      <c r="B24482"/>
    </row>
    <row r="24483" spans="1:2" x14ac:dyDescent="0.25">
      <c r="A24483"/>
      <c r="B24483"/>
    </row>
    <row r="24484" spans="1:2" x14ac:dyDescent="0.25">
      <c r="A24484"/>
      <c r="B24484"/>
    </row>
    <row r="24485" spans="1:2" x14ac:dyDescent="0.25">
      <c r="A24485"/>
      <c r="B24485"/>
    </row>
    <row r="24486" spans="1:2" x14ac:dyDescent="0.25">
      <c r="A24486"/>
      <c r="B24486"/>
    </row>
    <row r="24487" spans="1:2" x14ac:dyDescent="0.25">
      <c r="A24487"/>
      <c r="B24487"/>
    </row>
    <row r="24488" spans="1:2" x14ac:dyDescent="0.25">
      <c r="A24488"/>
      <c r="B24488"/>
    </row>
    <row r="24489" spans="1:2" x14ac:dyDescent="0.25">
      <c r="A24489"/>
      <c r="B24489"/>
    </row>
    <row r="24490" spans="1:2" x14ac:dyDescent="0.25">
      <c r="A24490"/>
      <c r="B24490"/>
    </row>
    <row r="24491" spans="1:2" x14ac:dyDescent="0.25">
      <c r="A24491"/>
      <c r="B24491"/>
    </row>
    <row r="24492" spans="1:2" x14ac:dyDescent="0.25">
      <c r="A24492"/>
      <c r="B24492"/>
    </row>
    <row r="24493" spans="1:2" x14ac:dyDescent="0.25">
      <c r="A24493"/>
      <c r="B24493"/>
    </row>
    <row r="24494" spans="1:2" x14ac:dyDescent="0.25">
      <c r="A24494"/>
      <c r="B24494"/>
    </row>
    <row r="24495" spans="1:2" x14ac:dyDescent="0.25">
      <c r="A24495"/>
      <c r="B24495"/>
    </row>
    <row r="24496" spans="1:2" x14ac:dyDescent="0.25">
      <c r="A24496"/>
      <c r="B24496"/>
    </row>
    <row r="24497" spans="1:2" x14ac:dyDescent="0.25">
      <c r="A24497"/>
      <c r="B24497"/>
    </row>
    <row r="24498" spans="1:2" x14ac:dyDescent="0.25">
      <c r="A24498"/>
      <c r="B24498"/>
    </row>
    <row r="24499" spans="1:2" x14ac:dyDescent="0.25">
      <c r="A24499"/>
      <c r="B24499"/>
    </row>
    <row r="24500" spans="1:2" x14ac:dyDescent="0.25">
      <c r="A24500"/>
      <c r="B24500"/>
    </row>
    <row r="24501" spans="1:2" x14ac:dyDescent="0.25">
      <c r="A24501"/>
      <c r="B24501"/>
    </row>
    <row r="24502" spans="1:2" x14ac:dyDescent="0.25">
      <c r="A24502"/>
      <c r="B24502"/>
    </row>
    <row r="24503" spans="1:2" x14ac:dyDescent="0.25">
      <c r="A24503"/>
      <c r="B24503"/>
    </row>
    <row r="24504" spans="1:2" x14ac:dyDescent="0.25">
      <c r="A24504"/>
      <c r="B24504"/>
    </row>
    <row r="24505" spans="1:2" x14ac:dyDescent="0.25">
      <c r="A24505"/>
      <c r="B24505"/>
    </row>
    <row r="24506" spans="1:2" x14ac:dyDescent="0.25">
      <c r="A24506"/>
      <c r="B24506"/>
    </row>
    <row r="24507" spans="1:2" x14ac:dyDescent="0.25">
      <c r="A24507"/>
      <c r="B24507"/>
    </row>
    <row r="24508" spans="1:2" x14ac:dyDescent="0.25">
      <c r="A24508"/>
      <c r="B24508"/>
    </row>
    <row r="24509" spans="1:2" x14ac:dyDescent="0.25">
      <c r="A24509"/>
      <c r="B24509"/>
    </row>
    <row r="24510" spans="1:2" x14ac:dyDescent="0.25">
      <c r="A24510"/>
      <c r="B24510"/>
    </row>
    <row r="24511" spans="1:2" x14ac:dyDescent="0.25">
      <c r="A24511"/>
      <c r="B24511"/>
    </row>
    <row r="24512" spans="1:2" x14ac:dyDescent="0.25">
      <c r="A24512"/>
      <c r="B24512"/>
    </row>
    <row r="24513" spans="1:2" x14ac:dyDescent="0.25">
      <c r="A24513"/>
      <c r="B24513"/>
    </row>
    <row r="24514" spans="1:2" x14ac:dyDescent="0.25">
      <c r="A24514"/>
      <c r="B24514"/>
    </row>
    <row r="24515" spans="1:2" x14ac:dyDescent="0.25">
      <c r="A24515"/>
      <c r="B24515"/>
    </row>
    <row r="24516" spans="1:2" x14ac:dyDescent="0.25">
      <c r="A24516"/>
      <c r="B24516"/>
    </row>
    <row r="24517" spans="1:2" x14ac:dyDescent="0.25">
      <c r="A24517"/>
      <c r="B24517"/>
    </row>
    <row r="24518" spans="1:2" x14ac:dyDescent="0.25">
      <c r="A24518"/>
      <c r="B24518"/>
    </row>
    <row r="24519" spans="1:2" x14ac:dyDescent="0.25">
      <c r="A24519"/>
      <c r="B24519"/>
    </row>
    <row r="24520" spans="1:2" x14ac:dyDescent="0.25">
      <c r="A24520"/>
      <c r="B24520"/>
    </row>
    <row r="24521" spans="1:2" x14ac:dyDescent="0.25">
      <c r="A24521"/>
      <c r="B24521"/>
    </row>
    <row r="24522" spans="1:2" x14ac:dyDescent="0.25">
      <c r="A24522"/>
      <c r="B24522"/>
    </row>
    <row r="24523" spans="1:2" x14ac:dyDescent="0.25">
      <c r="A24523"/>
      <c r="B24523"/>
    </row>
    <row r="24524" spans="1:2" x14ac:dyDescent="0.25">
      <c r="A24524"/>
      <c r="B24524"/>
    </row>
    <row r="24525" spans="1:2" x14ac:dyDescent="0.25">
      <c r="A24525"/>
      <c r="B24525"/>
    </row>
    <row r="24526" spans="1:2" x14ac:dyDescent="0.25">
      <c r="A24526"/>
      <c r="B24526"/>
    </row>
    <row r="24527" spans="1:2" x14ac:dyDescent="0.25">
      <c r="A24527"/>
      <c r="B24527"/>
    </row>
    <row r="24528" spans="1:2" x14ac:dyDescent="0.25">
      <c r="A24528"/>
      <c r="B24528"/>
    </row>
    <row r="24529" spans="1:2" x14ac:dyDescent="0.25">
      <c r="A24529"/>
      <c r="B24529"/>
    </row>
    <row r="24530" spans="1:2" x14ac:dyDescent="0.25">
      <c r="A24530"/>
      <c r="B24530"/>
    </row>
    <row r="24531" spans="1:2" x14ac:dyDescent="0.25">
      <c r="A24531"/>
      <c r="B24531"/>
    </row>
    <row r="24532" spans="1:2" x14ac:dyDescent="0.25">
      <c r="A24532"/>
      <c r="B24532"/>
    </row>
    <row r="24533" spans="1:2" x14ac:dyDescent="0.25">
      <c r="A24533"/>
      <c r="B24533"/>
    </row>
    <row r="24534" spans="1:2" x14ac:dyDescent="0.25">
      <c r="A24534"/>
      <c r="B24534"/>
    </row>
    <row r="24535" spans="1:2" x14ac:dyDescent="0.25">
      <c r="A24535"/>
      <c r="B24535"/>
    </row>
    <row r="24536" spans="1:2" x14ac:dyDescent="0.25">
      <c r="A24536"/>
      <c r="B24536"/>
    </row>
    <row r="24537" spans="1:2" x14ac:dyDescent="0.25">
      <c r="A24537"/>
      <c r="B24537"/>
    </row>
    <row r="24538" spans="1:2" x14ac:dyDescent="0.25">
      <c r="A24538"/>
      <c r="B24538"/>
    </row>
    <row r="24539" spans="1:2" x14ac:dyDescent="0.25">
      <c r="A24539"/>
      <c r="B24539"/>
    </row>
    <row r="24540" spans="1:2" x14ac:dyDescent="0.25">
      <c r="A24540"/>
      <c r="B24540"/>
    </row>
    <row r="24541" spans="1:2" x14ac:dyDescent="0.25">
      <c r="A24541"/>
      <c r="B24541"/>
    </row>
    <row r="24542" spans="1:2" x14ac:dyDescent="0.25">
      <c r="A24542"/>
      <c r="B24542"/>
    </row>
    <row r="24543" spans="1:2" x14ac:dyDescent="0.25">
      <c r="A24543"/>
      <c r="B24543"/>
    </row>
    <row r="24544" spans="1:2" x14ac:dyDescent="0.25">
      <c r="A24544"/>
      <c r="B24544"/>
    </row>
    <row r="24545" spans="1:2" x14ac:dyDescent="0.25">
      <c r="A24545"/>
      <c r="B24545"/>
    </row>
    <row r="24546" spans="1:2" x14ac:dyDescent="0.25">
      <c r="A24546"/>
      <c r="B24546"/>
    </row>
    <row r="24547" spans="1:2" x14ac:dyDescent="0.25">
      <c r="A24547"/>
      <c r="B24547"/>
    </row>
    <row r="24548" spans="1:2" x14ac:dyDescent="0.25">
      <c r="A24548"/>
      <c r="B24548"/>
    </row>
    <row r="24549" spans="1:2" x14ac:dyDescent="0.25">
      <c r="A24549"/>
      <c r="B24549"/>
    </row>
    <row r="24550" spans="1:2" x14ac:dyDescent="0.25">
      <c r="A24550"/>
      <c r="B24550"/>
    </row>
    <row r="24551" spans="1:2" x14ac:dyDescent="0.25">
      <c r="A24551"/>
      <c r="B24551"/>
    </row>
    <row r="24552" spans="1:2" x14ac:dyDescent="0.25">
      <c r="A24552"/>
      <c r="B24552"/>
    </row>
    <row r="24553" spans="1:2" x14ac:dyDescent="0.25">
      <c r="A24553"/>
      <c r="B24553"/>
    </row>
    <row r="24554" spans="1:2" x14ac:dyDescent="0.25">
      <c r="A24554"/>
      <c r="B24554"/>
    </row>
    <row r="24555" spans="1:2" x14ac:dyDescent="0.25">
      <c r="A24555"/>
      <c r="B24555"/>
    </row>
    <row r="24556" spans="1:2" x14ac:dyDescent="0.25">
      <c r="A24556"/>
      <c r="B24556"/>
    </row>
    <row r="24557" spans="1:2" x14ac:dyDescent="0.25">
      <c r="A24557"/>
      <c r="B24557"/>
    </row>
    <row r="24558" spans="1:2" x14ac:dyDescent="0.25">
      <c r="A24558"/>
      <c r="B24558"/>
    </row>
    <row r="24559" spans="1:2" x14ac:dyDescent="0.25">
      <c r="A24559"/>
      <c r="B24559"/>
    </row>
    <row r="24560" spans="1:2" x14ac:dyDescent="0.25">
      <c r="A24560"/>
      <c r="B24560"/>
    </row>
    <row r="24561" spans="1:2" x14ac:dyDescent="0.25">
      <c r="A24561"/>
      <c r="B24561"/>
    </row>
    <row r="24562" spans="1:2" x14ac:dyDescent="0.25">
      <c r="A24562"/>
      <c r="B24562"/>
    </row>
    <row r="24563" spans="1:2" x14ac:dyDescent="0.25">
      <c r="A24563"/>
      <c r="B24563"/>
    </row>
    <row r="24564" spans="1:2" x14ac:dyDescent="0.25">
      <c r="A24564"/>
      <c r="B24564"/>
    </row>
    <row r="24565" spans="1:2" x14ac:dyDescent="0.25">
      <c r="A24565"/>
      <c r="B24565"/>
    </row>
    <row r="24566" spans="1:2" x14ac:dyDescent="0.25">
      <c r="A24566"/>
      <c r="B24566"/>
    </row>
    <row r="24567" spans="1:2" x14ac:dyDescent="0.25">
      <c r="A24567"/>
      <c r="B24567"/>
    </row>
    <row r="24568" spans="1:2" x14ac:dyDescent="0.25">
      <c r="A24568"/>
      <c r="B24568"/>
    </row>
    <row r="24569" spans="1:2" x14ac:dyDescent="0.25">
      <c r="A24569"/>
      <c r="B24569"/>
    </row>
    <row r="24570" spans="1:2" x14ac:dyDescent="0.25">
      <c r="A24570"/>
      <c r="B24570"/>
    </row>
    <row r="24571" spans="1:2" x14ac:dyDescent="0.25">
      <c r="A24571"/>
      <c r="B24571"/>
    </row>
    <row r="24572" spans="1:2" x14ac:dyDescent="0.25">
      <c r="A24572"/>
      <c r="B24572"/>
    </row>
    <row r="24573" spans="1:2" x14ac:dyDescent="0.25">
      <c r="A24573"/>
      <c r="B24573"/>
    </row>
    <row r="24574" spans="1:2" x14ac:dyDescent="0.25">
      <c r="A24574"/>
      <c r="B24574"/>
    </row>
    <row r="24575" spans="1:2" x14ac:dyDescent="0.25">
      <c r="A24575"/>
      <c r="B24575"/>
    </row>
    <row r="24576" spans="1:2" x14ac:dyDescent="0.25">
      <c r="A24576"/>
      <c r="B24576"/>
    </row>
    <row r="24577" spans="1:2" x14ac:dyDescent="0.25">
      <c r="A24577"/>
      <c r="B24577"/>
    </row>
    <row r="24578" spans="1:2" x14ac:dyDescent="0.25">
      <c r="A24578"/>
      <c r="B24578"/>
    </row>
    <row r="24579" spans="1:2" x14ac:dyDescent="0.25">
      <c r="A24579"/>
      <c r="B24579"/>
    </row>
    <row r="24580" spans="1:2" x14ac:dyDescent="0.25">
      <c r="A24580"/>
      <c r="B24580"/>
    </row>
    <row r="24581" spans="1:2" x14ac:dyDescent="0.25">
      <c r="A24581"/>
      <c r="B24581"/>
    </row>
    <row r="24582" spans="1:2" x14ac:dyDescent="0.25">
      <c r="A24582"/>
      <c r="B24582"/>
    </row>
    <row r="24583" spans="1:2" x14ac:dyDescent="0.25">
      <c r="A24583"/>
      <c r="B24583"/>
    </row>
    <row r="24584" spans="1:2" x14ac:dyDescent="0.25">
      <c r="A24584"/>
      <c r="B24584"/>
    </row>
    <row r="24585" spans="1:2" x14ac:dyDescent="0.25">
      <c r="A24585"/>
      <c r="B24585"/>
    </row>
    <row r="24586" spans="1:2" x14ac:dyDescent="0.25">
      <c r="A24586"/>
      <c r="B24586"/>
    </row>
    <row r="24587" spans="1:2" x14ac:dyDescent="0.25">
      <c r="A24587"/>
      <c r="B24587"/>
    </row>
    <row r="24588" spans="1:2" x14ac:dyDescent="0.25">
      <c r="A24588"/>
      <c r="B24588"/>
    </row>
    <row r="24589" spans="1:2" x14ac:dyDescent="0.25">
      <c r="A24589"/>
      <c r="B24589"/>
    </row>
    <row r="24590" spans="1:2" x14ac:dyDescent="0.25">
      <c r="A24590"/>
      <c r="B24590"/>
    </row>
    <row r="24591" spans="1:2" x14ac:dyDescent="0.25">
      <c r="A24591"/>
      <c r="B24591"/>
    </row>
    <row r="24592" spans="1:2" x14ac:dyDescent="0.25">
      <c r="A24592"/>
      <c r="B24592"/>
    </row>
    <row r="24593" spans="1:2" x14ac:dyDescent="0.25">
      <c r="A24593"/>
      <c r="B24593"/>
    </row>
    <row r="24594" spans="1:2" x14ac:dyDescent="0.25">
      <c r="A24594"/>
      <c r="B24594"/>
    </row>
    <row r="24595" spans="1:2" x14ac:dyDescent="0.25">
      <c r="A24595"/>
      <c r="B24595"/>
    </row>
    <row r="24596" spans="1:2" x14ac:dyDescent="0.25">
      <c r="A24596"/>
      <c r="B24596"/>
    </row>
    <row r="24597" spans="1:2" x14ac:dyDescent="0.25">
      <c r="A24597"/>
      <c r="B24597"/>
    </row>
    <row r="24598" spans="1:2" x14ac:dyDescent="0.25">
      <c r="A24598"/>
      <c r="B24598"/>
    </row>
    <row r="24599" spans="1:2" x14ac:dyDescent="0.25">
      <c r="A24599"/>
      <c r="B24599"/>
    </row>
    <row r="24600" spans="1:2" x14ac:dyDescent="0.25">
      <c r="A24600"/>
      <c r="B24600"/>
    </row>
    <row r="24601" spans="1:2" x14ac:dyDescent="0.25">
      <c r="A24601"/>
      <c r="B24601"/>
    </row>
    <row r="24602" spans="1:2" x14ac:dyDescent="0.25">
      <c r="A24602"/>
      <c r="B24602"/>
    </row>
    <row r="24603" spans="1:2" x14ac:dyDescent="0.25">
      <c r="A24603"/>
      <c r="B24603"/>
    </row>
    <row r="24604" spans="1:2" x14ac:dyDescent="0.25">
      <c r="A24604"/>
      <c r="B24604"/>
    </row>
    <row r="24605" spans="1:2" x14ac:dyDescent="0.25">
      <c r="A24605"/>
      <c r="B24605"/>
    </row>
    <row r="24606" spans="1:2" x14ac:dyDescent="0.25">
      <c r="A24606"/>
      <c r="B24606"/>
    </row>
    <row r="24607" spans="1:2" x14ac:dyDescent="0.25">
      <c r="A24607"/>
      <c r="B24607"/>
    </row>
    <row r="24608" spans="1:2" x14ac:dyDescent="0.25">
      <c r="A24608"/>
      <c r="B24608"/>
    </row>
    <row r="24609" spans="1:2" x14ac:dyDescent="0.25">
      <c r="A24609"/>
      <c r="B24609"/>
    </row>
    <row r="24610" spans="1:2" x14ac:dyDescent="0.25">
      <c r="A24610"/>
      <c r="B24610"/>
    </row>
    <row r="24611" spans="1:2" x14ac:dyDescent="0.25">
      <c r="A24611"/>
      <c r="B24611"/>
    </row>
    <row r="24612" spans="1:2" x14ac:dyDescent="0.25">
      <c r="A24612"/>
      <c r="B24612"/>
    </row>
    <row r="24613" spans="1:2" x14ac:dyDescent="0.25">
      <c r="A24613"/>
      <c r="B24613"/>
    </row>
    <row r="24614" spans="1:2" x14ac:dyDescent="0.25">
      <c r="A24614"/>
      <c r="B24614"/>
    </row>
    <row r="24615" spans="1:2" x14ac:dyDescent="0.25">
      <c r="A24615"/>
      <c r="B24615"/>
    </row>
    <row r="24616" spans="1:2" x14ac:dyDescent="0.25">
      <c r="A24616"/>
      <c r="B24616"/>
    </row>
    <row r="24617" spans="1:2" x14ac:dyDescent="0.25">
      <c r="A24617"/>
      <c r="B24617"/>
    </row>
    <row r="24618" spans="1:2" x14ac:dyDescent="0.25">
      <c r="A24618"/>
      <c r="B24618"/>
    </row>
    <row r="24619" spans="1:2" x14ac:dyDescent="0.25">
      <c r="A24619"/>
      <c r="B24619"/>
    </row>
    <row r="24620" spans="1:2" x14ac:dyDescent="0.25">
      <c r="A24620"/>
      <c r="B24620"/>
    </row>
    <row r="24621" spans="1:2" x14ac:dyDescent="0.25">
      <c r="A24621"/>
      <c r="B24621"/>
    </row>
    <row r="24622" spans="1:2" x14ac:dyDescent="0.25">
      <c r="A24622"/>
      <c r="B24622"/>
    </row>
    <row r="24623" spans="1:2" x14ac:dyDescent="0.25">
      <c r="A24623"/>
      <c r="B24623"/>
    </row>
    <row r="24624" spans="1:2" x14ac:dyDescent="0.25">
      <c r="A24624"/>
      <c r="B24624"/>
    </row>
    <row r="24625" spans="1:2" x14ac:dyDescent="0.25">
      <c r="A24625"/>
      <c r="B24625"/>
    </row>
    <row r="24626" spans="1:2" x14ac:dyDescent="0.25">
      <c r="A24626"/>
      <c r="B24626"/>
    </row>
    <row r="24627" spans="1:2" x14ac:dyDescent="0.25">
      <c r="A24627"/>
      <c r="B24627"/>
    </row>
    <row r="24628" spans="1:2" x14ac:dyDescent="0.25">
      <c r="A24628"/>
      <c r="B24628"/>
    </row>
    <row r="24629" spans="1:2" x14ac:dyDescent="0.25">
      <c r="A24629"/>
      <c r="B24629"/>
    </row>
    <row r="24630" spans="1:2" x14ac:dyDescent="0.25">
      <c r="A24630"/>
      <c r="B24630"/>
    </row>
    <row r="24631" spans="1:2" x14ac:dyDescent="0.25">
      <c r="A24631"/>
      <c r="B24631"/>
    </row>
    <row r="24632" spans="1:2" x14ac:dyDescent="0.25">
      <c r="A24632"/>
      <c r="B24632"/>
    </row>
    <row r="24633" spans="1:2" x14ac:dyDescent="0.25">
      <c r="A24633"/>
      <c r="B24633"/>
    </row>
    <row r="24634" spans="1:2" x14ac:dyDescent="0.25">
      <c r="A24634"/>
      <c r="B24634"/>
    </row>
    <row r="24635" spans="1:2" x14ac:dyDescent="0.25">
      <c r="A24635"/>
      <c r="B24635"/>
    </row>
    <row r="24636" spans="1:2" x14ac:dyDescent="0.25">
      <c r="A24636"/>
      <c r="B24636"/>
    </row>
    <row r="24637" spans="1:2" x14ac:dyDescent="0.25">
      <c r="A24637"/>
      <c r="B24637"/>
    </row>
    <row r="24638" spans="1:2" x14ac:dyDescent="0.25">
      <c r="A24638"/>
      <c r="B24638"/>
    </row>
    <row r="24639" spans="1:2" x14ac:dyDescent="0.25">
      <c r="A24639"/>
      <c r="B24639"/>
    </row>
    <row r="24640" spans="1:2" x14ac:dyDescent="0.25">
      <c r="A24640"/>
      <c r="B24640"/>
    </row>
    <row r="24641" spans="1:2" x14ac:dyDescent="0.25">
      <c r="A24641"/>
      <c r="B24641"/>
    </row>
    <row r="24642" spans="1:2" x14ac:dyDescent="0.25">
      <c r="A24642"/>
      <c r="B24642"/>
    </row>
    <row r="24643" spans="1:2" x14ac:dyDescent="0.25">
      <c r="A24643"/>
      <c r="B24643"/>
    </row>
    <row r="24644" spans="1:2" x14ac:dyDescent="0.25">
      <c r="A24644"/>
      <c r="B24644"/>
    </row>
    <row r="24645" spans="1:2" x14ac:dyDescent="0.25">
      <c r="A24645"/>
      <c r="B24645"/>
    </row>
    <row r="24646" spans="1:2" x14ac:dyDescent="0.25">
      <c r="A24646"/>
      <c r="B24646"/>
    </row>
    <row r="24647" spans="1:2" x14ac:dyDescent="0.25">
      <c r="A24647"/>
      <c r="B24647"/>
    </row>
    <row r="24648" spans="1:2" x14ac:dyDescent="0.25">
      <c r="A24648"/>
      <c r="B24648"/>
    </row>
    <row r="24649" spans="1:2" x14ac:dyDescent="0.25">
      <c r="A24649"/>
      <c r="B24649"/>
    </row>
    <row r="24650" spans="1:2" x14ac:dyDescent="0.25">
      <c r="A24650"/>
      <c r="B24650"/>
    </row>
    <row r="24651" spans="1:2" x14ac:dyDescent="0.25">
      <c r="A24651"/>
      <c r="B24651"/>
    </row>
    <row r="24652" spans="1:2" x14ac:dyDescent="0.25">
      <c r="A24652"/>
      <c r="B24652"/>
    </row>
    <row r="24653" spans="1:2" x14ac:dyDescent="0.25">
      <c r="A24653"/>
      <c r="B24653"/>
    </row>
    <row r="24654" spans="1:2" x14ac:dyDescent="0.25">
      <c r="A24654"/>
      <c r="B24654"/>
    </row>
    <row r="24655" spans="1:2" x14ac:dyDescent="0.25">
      <c r="A24655"/>
      <c r="B24655"/>
    </row>
    <row r="24656" spans="1:2" x14ac:dyDescent="0.25">
      <c r="A24656"/>
      <c r="B24656"/>
    </row>
    <row r="24657" spans="1:2" x14ac:dyDescent="0.25">
      <c r="A24657"/>
      <c r="B24657"/>
    </row>
    <row r="24658" spans="1:2" x14ac:dyDescent="0.25">
      <c r="A24658"/>
      <c r="B24658"/>
    </row>
    <row r="24659" spans="1:2" x14ac:dyDescent="0.25">
      <c r="A24659"/>
      <c r="B24659"/>
    </row>
    <row r="24660" spans="1:2" x14ac:dyDescent="0.25">
      <c r="A24660"/>
      <c r="B24660"/>
    </row>
    <row r="24661" spans="1:2" x14ac:dyDescent="0.25">
      <c r="A24661"/>
      <c r="B24661"/>
    </row>
    <row r="24662" spans="1:2" x14ac:dyDescent="0.25">
      <c r="A24662"/>
      <c r="B24662"/>
    </row>
    <row r="24663" spans="1:2" x14ac:dyDescent="0.25">
      <c r="A24663"/>
      <c r="B24663"/>
    </row>
    <row r="24664" spans="1:2" x14ac:dyDescent="0.25">
      <c r="A24664"/>
      <c r="B24664"/>
    </row>
    <row r="24665" spans="1:2" x14ac:dyDescent="0.25">
      <c r="A24665"/>
      <c r="B24665"/>
    </row>
    <row r="24666" spans="1:2" x14ac:dyDescent="0.25">
      <c r="A24666"/>
      <c r="B24666"/>
    </row>
    <row r="24667" spans="1:2" x14ac:dyDescent="0.25">
      <c r="A24667"/>
      <c r="B24667"/>
    </row>
    <row r="24668" spans="1:2" x14ac:dyDescent="0.25">
      <c r="A24668"/>
      <c r="B24668"/>
    </row>
    <row r="24669" spans="1:2" x14ac:dyDescent="0.25">
      <c r="A24669"/>
      <c r="B24669"/>
    </row>
    <row r="24670" spans="1:2" x14ac:dyDescent="0.25">
      <c r="A24670"/>
      <c r="B24670"/>
    </row>
    <row r="24671" spans="1:2" x14ac:dyDescent="0.25">
      <c r="A24671"/>
      <c r="B24671"/>
    </row>
    <row r="24672" spans="1:2" x14ac:dyDescent="0.25">
      <c r="A24672"/>
      <c r="B24672"/>
    </row>
    <row r="24673" spans="1:2" x14ac:dyDescent="0.25">
      <c r="A24673"/>
      <c r="B24673"/>
    </row>
    <row r="24674" spans="1:2" x14ac:dyDescent="0.25">
      <c r="A24674"/>
      <c r="B24674"/>
    </row>
    <row r="24675" spans="1:2" x14ac:dyDescent="0.25">
      <c r="A24675"/>
      <c r="B24675"/>
    </row>
    <row r="24676" spans="1:2" x14ac:dyDescent="0.25">
      <c r="A24676"/>
      <c r="B24676"/>
    </row>
    <row r="24677" spans="1:2" x14ac:dyDescent="0.25">
      <c r="A24677"/>
      <c r="B24677"/>
    </row>
    <row r="24678" spans="1:2" x14ac:dyDescent="0.25">
      <c r="A24678"/>
      <c r="B24678"/>
    </row>
    <row r="24679" spans="1:2" x14ac:dyDescent="0.25">
      <c r="A24679"/>
      <c r="B24679"/>
    </row>
    <row r="24680" spans="1:2" x14ac:dyDescent="0.25">
      <c r="A24680"/>
      <c r="B24680"/>
    </row>
    <row r="24681" spans="1:2" x14ac:dyDescent="0.25">
      <c r="A24681"/>
      <c r="B24681"/>
    </row>
    <row r="24682" spans="1:2" x14ac:dyDescent="0.25">
      <c r="A24682"/>
      <c r="B24682"/>
    </row>
    <row r="24683" spans="1:2" x14ac:dyDescent="0.25">
      <c r="A24683"/>
      <c r="B24683"/>
    </row>
    <row r="24684" spans="1:2" x14ac:dyDescent="0.25">
      <c r="A24684"/>
      <c r="B24684"/>
    </row>
    <row r="24685" spans="1:2" x14ac:dyDescent="0.25">
      <c r="A24685"/>
      <c r="B24685"/>
    </row>
    <row r="24686" spans="1:2" x14ac:dyDescent="0.25">
      <c r="A24686"/>
      <c r="B24686"/>
    </row>
    <row r="24687" spans="1:2" x14ac:dyDescent="0.25">
      <c r="A24687"/>
      <c r="B24687"/>
    </row>
    <row r="24688" spans="1:2" x14ac:dyDescent="0.25">
      <c r="A24688"/>
      <c r="B24688"/>
    </row>
    <row r="24689" spans="1:2" x14ac:dyDescent="0.25">
      <c r="A24689"/>
      <c r="B24689"/>
    </row>
    <row r="24690" spans="1:2" x14ac:dyDescent="0.25">
      <c r="A24690"/>
      <c r="B24690"/>
    </row>
    <row r="24691" spans="1:2" x14ac:dyDescent="0.25">
      <c r="A24691"/>
      <c r="B24691"/>
    </row>
    <row r="24692" spans="1:2" x14ac:dyDescent="0.25">
      <c r="A24692"/>
      <c r="B24692"/>
    </row>
    <row r="24693" spans="1:2" x14ac:dyDescent="0.25">
      <c r="A24693"/>
      <c r="B24693"/>
    </row>
    <row r="24694" spans="1:2" x14ac:dyDescent="0.25">
      <c r="A24694"/>
      <c r="B24694"/>
    </row>
    <row r="24695" spans="1:2" x14ac:dyDescent="0.25">
      <c r="A24695"/>
      <c r="B24695"/>
    </row>
    <row r="24696" spans="1:2" x14ac:dyDescent="0.25">
      <c r="A24696"/>
      <c r="B24696"/>
    </row>
    <row r="24697" spans="1:2" x14ac:dyDescent="0.25">
      <c r="A24697"/>
      <c r="B24697"/>
    </row>
    <row r="24698" spans="1:2" x14ac:dyDescent="0.25">
      <c r="A24698"/>
      <c r="B24698"/>
    </row>
    <row r="24699" spans="1:2" x14ac:dyDescent="0.25">
      <c r="A24699"/>
      <c r="B24699"/>
    </row>
    <row r="24700" spans="1:2" x14ac:dyDescent="0.25">
      <c r="A24700"/>
      <c r="B24700"/>
    </row>
    <row r="24701" spans="1:2" x14ac:dyDescent="0.25">
      <c r="A24701"/>
      <c r="B24701"/>
    </row>
    <row r="24702" spans="1:2" x14ac:dyDescent="0.25">
      <c r="A24702"/>
      <c r="B24702"/>
    </row>
    <row r="24703" spans="1:2" x14ac:dyDescent="0.25">
      <c r="A24703"/>
      <c r="B24703"/>
    </row>
    <row r="24704" spans="1:2" x14ac:dyDescent="0.25">
      <c r="A24704"/>
      <c r="B24704"/>
    </row>
    <row r="24705" spans="1:2" x14ac:dyDescent="0.25">
      <c r="A24705"/>
      <c r="B24705"/>
    </row>
    <row r="24706" spans="1:2" x14ac:dyDescent="0.25">
      <c r="A24706"/>
      <c r="B24706"/>
    </row>
    <row r="24707" spans="1:2" x14ac:dyDescent="0.25">
      <c r="A24707"/>
      <c r="B24707"/>
    </row>
    <row r="24708" spans="1:2" x14ac:dyDescent="0.25">
      <c r="A24708"/>
      <c r="B24708"/>
    </row>
    <row r="24709" spans="1:2" x14ac:dyDescent="0.25">
      <c r="A24709"/>
      <c r="B24709"/>
    </row>
    <row r="24710" spans="1:2" x14ac:dyDescent="0.25">
      <c r="A24710"/>
      <c r="B24710"/>
    </row>
    <row r="24711" spans="1:2" x14ac:dyDescent="0.25">
      <c r="A24711"/>
      <c r="B24711"/>
    </row>
    <row r="24712" spans="1:2" x14ac:dyDescent="0.25">
      <c r="A24712"/>
      <c r="B24712"/>
    </row>
    <row r="24713" spans="1:2" x14ac:dyDescent="0.25">
      <c r="A24713"/>
      <c r="B24713"/>
    </row>
    <row r="24714" spans="1:2" x14ac:dyDescent="0.25">
      <c r="A24714"/>
      <c r="B24714"/>
    </row>
    <row r="24715" spans="1:2" x14ac:dyDescent="0.25">
      <c r="A24715"/>
      <c r="B24715"/>
    </row>
    <row r="24716" spans="1:2" x14ac:dyDescent="0.25">
      <c r="A24716"/>
      <c r="B24716"/>
    </row>
    <row r="24717" spans="1:2" x14ac:dyDescent="0.25">
      <c r="A24717"/>
      <c r="B24717"/>
    </row>
    <row r="24718" spans="1:2" x14ac:dyDescent="0.25">
      <c r="A24718"/>
      <c r="B24718"/>
    </row>
    <row r="24719" spans="1:2" x14ac:dyDescent="0.25">
      <c r="A24719"/>
      <c r="B24719"/>
    </row>
    <row r="24720" spans="1:2" x14ac:dyDescent="0.25">
      <c r="A24720"/>
      <c r="B24720"/>
    </row>
    <row r="24721" spans="1:2" x14ac:dyDescent="0.25">
      <c r="A24721"/>
      <c r="B24721"/>
    </row>
    <row r="24722" spans="1:2" x14ac:dyDescent="0.25">
      <c r="A24722"/>
      <c r="B24722"/>
    </row>
    <row r="24723" spans="1:2" x14ac:dyDescent="0.25">
      <c r="A24723"/>
      <c r="B24723"/>
    </row>
    <row r="24724" spans="1:2" x14ac:dyDescent="0.25">
      <c r="A24724"/>
      <c r="B24724"/>
    </row>
    <row r="24725" spans="1:2" x14ac:dyDescent="0.25">
      <c r="A24725"/>
      <c r="B24725"/>
    </row>
    <row r="24726" spans="1:2" x14ac:dyDescent="0.25">
      <c r="A24726"/>
      <c r="B24726"/>
    </row>
    <row r="24727" spans="1:2" x14ac:dyDescent="0.25">
      <c r="A24727"/>
      <c r="B24727"/>
    </row>
    <row r="24728" spans="1:2" x14ac:dyDescent="0.25">
      <c r="A24728"/>
      <c r="B24728"/>
    </row>
    <row r="24729" spans="1:2" x14ac:dyDescent="0.25">
      <c r="A24729"/>
      <c r="B24729"/>
    </row>
    <row r="24730" spans="1:2" x14ac:dyDescent="0.25">
      <c r="A24730"/>
      <c r="B24730"/>
    </row>
    <row r="24731" spans="1:2" x14ac:dyDescent="0.25">
      <c r="A24731"/>
      <c r="B24731"/>
    </row>
    <row r="24732" spans="1:2" x14ac:dyDescent="0.25">
      <c r="A24732"/>
      <c r="B24732"/>
    </row>
    <row r="24733" spans="1:2" x14ac:dyDescent="0.25">
      <c r="A24733"/>
      <c r="B24733"/>
    </row>
    <row r="24734" spans="1:2" x14ac:dyDescent="0.25">
      <c r="A24734"/>
      <c r="B24734"/>
    </row>
    <row r="24735" spans="1:2" x14ac:dyDescent="0.25">
      <c r="A24735"/>
      <c r="B24735"/>
    </row>
    <row r="24736" spans="1:2" x14ac:dyDescent="0.25">
      <c r="A24736"/>
      <c r="B24736"/>
    </row>
    <row r="24737" spans="1:2" x14ac:dyDescent="0.25">
      <c r="A24737"/>
      <c r="B24737"/>
    </row>
    <row r="24738" spans="1:2" x14ac:dyDescent="0.25">
      <c r="A24738"/>
      <c r="B24738"/>
    </row>
    <row r="24739" spans="1:2" x14ac:dyDescent="0.25">
      <c r="A24739"/>
      <c r="B24739"/>
    </row>
    <row r="24740" spans="1:2" x14ac:dyDescent="0.25">
      <c r="A24740"/>
      <c r="B24740"/>
    </row>
    <row r="24741" spans="1:2" x14ac:dyDescent="0.25">
      <c r="A24741"/>
      <c r="B24741"/>
    </row>
    <row r="24742" spans="1:2" x14ac:dyDescent="0.25">
      <c r="A24742"/>
      <c r="B24742"/>
    </row>
    <row r="24743" spans="1:2" x14ac:dyDescent="0.25">
      <c r="A24743"/>
      <c r="B24743"/>
    </row>
    <row r="24744" spans="1:2" x14ac:dyDescent="0.25">
      <c r="A24744"/>
      <c r="B24744"/>
    </row>
    <row r="24745" spans="1:2" x14ac:dyDescent="0.25">
      <c r="A24745"/>
      <c r="B24745"/>
    </row>
    <row r="24746" spans="1:2" x14ac:dyDescent="0.25">
      <c r="A24746"/>
      <c r="B24746"/>
    </row>
    <row r="24747" spans="1:2" x14ac:dyDescent="0.25">
      <c r="A24747"/>
      <c r="B24747"/>
    </row>
    <row r="24748" spans="1:2" x14ac:dyDescent="0.25">
      <c r="A24748"/>
      <c r="B24748"/>
    </row>
    <row r="24749" spans="1:2" x14ac:dyDescent="0.25">
      <c r="A24749"/>
      <c r="B24749"/>
    </row>
    <row r="24750" spans="1:2" x14ac:dyDescent="0.25">
      <c r="A24750"/>
      <c r="B24750"/>
    </row>
    <row r="24751" spans="1:2" x14ac:dyDescent="0.25">
      <c r="A24751"/>
      <c r="B24751"/>
    </row>
    <row r="24752" spans="1:2" x14ac:dyDescent="0.25">
      <c r="A24752"/>
      <c r="B24752"/>
    </row>
    <row r="24753" spans="1:2" x14ac:dyDescent="0.25">
      <c r="A24753"/>
      <c r="B24753"/>
    </row>
    <row r="24754" spans="1:2" x14ac:dyDescent="0.25">
      <c r="A24754"/>
      <c r="B24754"/>
    </row>
    <row r="24755" spans="1:2" x14ac:dyDescent="0.25">
      <c r="A24755"/>
      <c r="B24755"/>
    </row>
    <row r="24756" spans="1:2" x14ac:dyDescent="0.25">
      <c r="A24756"/>
      <c r="B24756"/>
    </row>
    <row r="24757" spans="1:2" x14ac:dyDescent="0.25">
      <c r="A24757"/>
      <c r="B24757"/>
    </row>
    <row r="24758" spans="1:2" x14ac:dyDescent="0.25">
      <c r="A24758"/>
      <c r="B24758"/>
    </row>
    <row r="24759" spans="1:2" x14ac:dyDescent="0.25">
      <c r="A24759"/>
      <c r="B24759"/>
    </row>
    <row r="24760" spans="1:2" x14ac:dyDescent="0.25">
      <c r="A24760"/>
      <c r="B24760"/>
    </row>
    <row r="24761" spans="1:2" x14ac:dyDescent="0.25">
      <c r="A24761"/>
      <c r="B24761"/>
    </row>
    <row r="24762" spans="1:2" x14ac:dyDescent="0.25">
      <c r="A24762"/>
      <c r="B24762"/>
    </row>
    <row r="24763" spans="1:2" x14ac:dyDescent="0.25">
      <c r="A24763"/>
      <c r="B24763"/>
    </row>
    <row r="24764" spans="1:2" x14ac:dyDescent="0.25">
      <c r="A24764"/>
      <c r="B24764"/>
    </row>
    <row r="24765" spans="1:2" x14ac:dyDescent="0.25">
      <c r="A24765"/>
      <c r="B24765"/>
    </row>
    <row r="24766" spans="1:2" x14ac:dyDescent="0.25">
      <c r="A24766"/>
      <c r="B24766"/>
    </row>
    <row r="24767" spans="1:2" x14ac:dyDescent="0.25">
      <c r="A24767"/>
      <c r="B24767"/>
    </row>
    <row r="24768" spans="1:2" x14ac:dyDescent="0.25">
      <c r="A24768"/>
      <c r="B24768"/>
    </row>
    <row r="24769" spans="1:2" x14ac:dyDescent="0.25">
      <c r="A24769"/>
      <c r="B24769"/>
    </row>
    <row r="24770" spans="1:2" x14ac:dyDescent="0.25">
      <c r="A24770"/>
      <c r="B24770"/>
    </row>
    <row r="24771" spans="1:2" x14ac:dyDescent="0.25">
      <c r="A24771"/>
      <c r="B24771"/>
    </row>
    <row r="24772" spans="1:2" x14ac:dyDescent="0.25">
      <c r="A24772"/>
      <c r="B24772"/>
    </row>
    <row r="24773" spans="1:2" x14ac:dyDescent="0.25">
      <c r="A24773"/>
      <c r="B24773"/>
    </row>
    <row r="24774" spans="1:2" x14ac:dyDescent="0.25">
      <c r="A24774"/>
      <c r="B24774"/>
    </row>
    <row r="24775" spans="1:2" x14ac:dyDescent="0.25">
      <c r="A24775"/>
      <c r="B24775"/>
    </row>
    <row r="24776" spans="1:2" x14ac:dyDescent="0.25">
      <c r="A24776"/>
      <c r="B24776"/>
    </row>
    <row r="24777" spans="1:2" x14ac:dyDescent="0.25">
      <c r="A24777"/>
      <c r="B24777"/>
    </row>
    <row r="24778" spans="1:2" x14ac:dyDescent="0.25">
      <c r="A24778"/>
      <c r="B24778"/>
    </row>
    <row r="24779" spans="1:2" x14ac:dyDescent="0.25">
      <c r="A24779"/>
      <c r="B24779"/>
    </row>
    <row r="24780" spans="1:2" x14ac:dyDescent="0.25">
      <c r="A24780"/>
      <c r="B24780"/>
    </row>
    <row r="24781" spans="1:2" x14ac:dyDescent="0.25">
      <c r="A24781"/>
      <c r="B24781"/>
    </row>
    <row r="24782" spans="1:2" x14ac:dyDescent="0.25">
      <c r="A24782"/>
      <c r="B24782"/>
    </row>
    <row r="24783" spans="1:2" x14ac:dyDescent="0.25">
      <c r="A24783"/>
      <c r="B24783"/>
    </row>
    <row r="24784" spans="1:2" x14ac:dyDescent="0.25">
      <c r="A24784"/>
      <c r="B24784"/>
    </row>
    <row r="24785" spans="1:2" x14ac:dyDescent="0.25">
      <c r="A24785"/>
      <c r="B24785"/>
    </row>
    <row r="24786" spans="1:2" x14ac:dyDescent="0.25">
      <c r="A24786"/>
      <c r="B24786"/>
    </row>
    <row r="24787" spans="1:2" x14ac:dyDescent="0.25">
      <c r="A24787"/>
      <c r="B24787"/>
    </row>
    <row r="24788" spans="1:2" x14ac:dyDescent="0.25">
      <c r="A24788"/>
      <c r="B24788"/>
    </row>
    <row r="24789" spans="1:2" x14ac:dyDescent="0.25">
      <c r="A24789"/>
      <c r="B24789"/>
    </row>
    <row r="24790" spans="1:2" x14ac:dyDescent="0.25">
      <c r="A24790"/>
      <c r="B24790"/>
    </row>
    <row r="24791" spans="1:2" x14ac:dyDescent="0.25">
      <c r="A24791"/>
      <c r="B24791"/>
    </row>
    <row r="24792" spans="1:2" x14ac:dyDescent="0.25">
      <c r="A24792"/>
      <c r="B24792"/>
    </row>
    <row r="24793" spans="1:2" x14ac:dyDescent="0.25">
      <c r="A24793"/>
      <c r="B24793"/>
    </row>
    <row r="24794" spans="1:2" x14ac:dyDescent="0.25">
      <c r="A24794"/>
      <c r="B24794"/>
    </row>
    <row r="24795" spans="1:2" x14ac:dyDescent="0.25">
      <c r="A24795"/>
      <c r="B24795"/>
    </row>
    <row r="24796" spans="1:2" x14ac:dyDescent="0.25">
      <c r="A24796"/>
      <c r="B24796"/>
    </row>
    <row r="24797" spans="1:2" x14ac:dyDescent="0.25">
      <c r="A24797"/>
      <c r="B24797"/>
    </row>
    <row r="24798" spans="1:2" x14ac:dyDescent="0.25">
      <c r="A24798"/>
      <c r="B24798"/>
    </row>
    <row r="24799" spans="1:2" x14ac:dyDescent="0.25">
      <c r="A24799"/>
      <c r="B24799"/>
    </row>
    <row r="24800" spans="1:2" x14ac:dyDescent="0.25">
      <c r="A24800"/>
      <c r="B24800"/>
    </row>
    <row r="24801" spans="1:2" x14ac:dyDescent="0.25">
      <c r="A24801"/>
      <c r="B24801"/>
    </row>
    <row r="24802" spans="1:2" x14ac:dyDescent="0.25">
      <c r="A24802"/>
      <c r="B24802"/>
    </row>
    <row r="24803" spans="1:2" x14ac:dyDescent="0.25">
      <c r="A24803"/>
      <c r="B24803"/>
    </row>
    <row r="24804" spans="1:2" x14ac:dyDescent="0.25">
      <c r="A24804"/>
      <c r="B24804"/>
    </row>
    <row r="24805" spans="1:2" x14ac:dyDescent="0.25">
      <c r="A24805"/>
      <c r="B24805"/>
    </row>
    <row r="24806" spans="1:2" x14ac:dyDescent="0.25">
      <c r="A24806"/>
      <c r="B24806"/>
    </row>
    <row r="24807" spans="1:2" x14ac:dyDescent="0.25">
      <c r="A24807"/>
      <c r="B24807"/>
    </row>
    <row r="24808" spans="1:2" x14ac:dyDescent="0.25">
      <c r="A24808"/>
      <c r="B24808"/>
    </row>
    <row r="24809" spans="1:2" x14ac:dyDescent="0.25">
      <c r="A24809"/>
      <c r="B24809"/>
    </row>
    <row r="24810" spans="1:2" x14ac:dyDescent="0.25">
      <c r="A24810"/>
      <c r="B24810"/>
    </row>
    <row r="24811" spans="1:2" x14ac:dyDescent="0.25">
      <c r="A24811"/>
      <c r="B24811"/>
    </row>
    <row r="24812" spans="1:2" x14ac:dyDescent="0.25">
      <c r="A24812"/>
      <c r="B24812"/>
    </row>
    <row r="24813" spans="1:2" x14ac:dyDescent="0.25">
      <c r="A24813"/>
      <c r="B24813"/>
    </row>
    <row r="24814" spans="1:2" x14ac:dyDescent="0.25">
      <c r="A24814"/>
      <c r="B24814"/>
    </row>
    <row r="24815" spans="1:2" x14ac:dyDescent="0.25">
      <c r="A24815"/>
      <c r="B24815"/>
    </row>
    <row r="24816" spans="1:2" x14ac:dyDescent="0.25">
      <c r="A24816"/>
      <c r="B24816"/>
    </row>
    <row r="24817" spans="1:2" x14ac:dyDescent="0.25">
      <c r="A24817"/>
      <c r="B24817"/>
    </row>
    <row r="24818" spans="1:2" x14ac:dyDescent="0.25">
      <c r="A24818"/>
      <c r="B24818"/>
    </row>
    <row r="24819" spans="1:2" x14ac:dyDescent="0.25">
      <c r="A24819"/>
      <c r="B24819"/>
    </row>
    <row r="24820" spans="1:2" x14ac:dyDescent="0.25">
      <c r="A24820"/>
      <c r="B24820"/>
    </row>
    <row r="24821" spans="1:2" x14ac:dyDescent="0.25">
      <c r="A24821"/>
      <c r="B24821"/>
    </row>
    <row r="24822" spans="1:2" x14ac:dyDescent="0.25">
      <c r="A24822"/>
      <c r="B24822"/>
    </row>
    <row r="24823" spans="1:2" x14ac:dyDescent="0.25">
      <c r="A24823"/>
      <c r="B24823"/>
    </row>
    <row r="24824" spans="1:2" x14ac:dyDescent="0.25">
      <c r="A24824"/>
      <c r="B24824"/>
    </row>
    <row r="24825" spans="1:2" x14ac:dyDescent="0.25">
      <c r="A24825"/>
      <c r="B24825"/>
    </row>
    <row r="24826" spans="1:2" x14ac:dyDescent="0.25">
      <c r="A24826"/>
      <c r="B24826"/>
    </row>
    <row r="24827" spans="1:2" x14ac:dyDescent="0.25">
      <c r="A24827"/>
      <c r="B24827"/>
    </row>
    <row r="24828" spans="1:2" x14ac:dyDescent="0.25">
      <c r="A24828"/>
      <c r="B24828"/>
    </row>
    <row r="24829" spans="1:2" x14ac:dyDescent="0.25">
      <c r="A24829"/>
      <c r="B24829"/>
    </row>
    <row r="24830" spans="1:2" x14ac:dyDescent="0.25">
      <c r="A24830"/>
      <c r="B24830"/>
    </row>
    <row r="24831" spans="1:2" x14ac:dyDescent="0.25">
      <c r="A24831"/>
      <c r="B24831"/>
    </row>
    <row r="24832" spans="1:2" x14ac:dyDescent="0.25">
      <c r="A24832"/>
      <c r="B24832"/>
    </row>
    <row r="24833" spans="1:2" x14ac:dyDescent="0.25">
      <c r="A24833"/>
      <c r="B24833"/>
    </row>
    <row r="24834" spans="1:2" x14ac:dyDescent="0.25">
      <c r="A24834"/>
      <c r="B24834"/>
    </row>
    <row r="24835" spans="1:2" x14ac:dyDescent="0.25">
      <c r="A24835"/>
      <c r="B24835"/>
    </row>
    <row r="24836" spans="1:2" x14ac:dyDescent="0.25">
      <c r="A24836"/>
      <c r="B24836"/>
    </row>
    <row r="24837" spans="1:2" x14ac:dyDescent="0.25">
      <c r="A24837"/>
      <c r="B24837"/>
    </row>
    <row r="24838" spans="1:2" x14ac:dyDescent="0.25">
      <c r="A24838"/>
      <c r="B24838"/>
    </row>
    <row r="24839" spans="1:2" x14ac:dyDescent="0.25">
      <c r="A24839"/>
      <c r="B24839"/>
    </row>
    <row r="24840" spans="1:2" x14ac:dyDescent="0.25">
      <c r="A24840"/>
      <c r="B24840"/>
    </row>
    <row r="24841" spans="1:2" x14ac:dyDescent="0.25">
      <c r="A24841"/>
      <c r="B24841"/>
    </row>
    <row r="24842" spans="1:2" x14ac:dyDescent="0.25">
      <c r="A24842"/>
      <c r="B24842"/>
    </row>
    <row r="24843" spans="1:2" x14ac:dyDescent="0.25">
      <c r="A24843"/>
      <c r="B24843"/>
    </row>
    <row r="24844" spans="1:2" x14ac:dyDescent="0.25">
      <c r="A24844"/>
      <c r="B24844"/>
    </row>
    <row r="24845" spans="1:2" x14ac:dyDescent="0.25">
      <c r="A24845"/>
      <c r="B24845"/>
    </row>
    <row r="24846" spans="1:2" x14ac:dyDescent="0.25">
      <c r="A24846"/>
      <c r="B24846"/>
    </row>
    <row r="24847" spans="1:2" x14ac:dyDescent="0.25">
      <c r="A24847"/>
      <c r="B24847"/>
    </row>
    <row r="24848" spans="1:2" x14ac:dyDescent="0.25">
      <c r="A24848"/>
      <c r="B24848"/>
    </row>
    <row r="24849" spans="1:2" x14ac:dyDescent="0.25">
      <c r="A24849"/>
      <c r="B24849"/>
    </row>
    <row r="24850" spans="1:2" x14ac:dyDescent="0.25">
      <c r="A24850"/>
      <c r="B24850"/>
    </row>
    <row r="24851" spans="1:2" x14ac:dyDescent="0.25">
      <c r="A24851"/>
      <c r="B24851"/>
    </row>
    <row r="24852" spans="1:2" x14ac:dyDescent="0.25">
      <c r="A24852"/>
      <c r="B24852"/>
    </row>
    <row r="24853" spans="1:2" x14ac:dyDescent="0.25">
      <c r="A24853"/>
      <c r="B24853"/>
    </row>
    <row r="24854" spans="1:2" x14ac:dyDescent="0.25">
      <c r="A24854"/>
      <c r="B24854"/>
    </row>
    <row r="24855" spans="1:2" x14ac:dyDescent="0.25">
      <c r="A24855"/>
      <c r="B24855"/>
    </row>
    <row r="24856" spans="1:2" x14ac:dyDescent="0.25">
      <c r="A24856"/>
      <c r="B24856"/>
    </row>
    <row r="24857" spans="1:2" x14ac:dyDescent="0.25">
      <c r="A24857"/>
      <c r="B24857"/>
    </row>
    <row r="24858" spans="1:2" x14ac:dyDescent="0.25">
      <c r="A24858"/>
      <c r="B24858"/>
    </row>
    <row r="24859" spans="1:2" x14ac:dyDescent="0.25">
      <c r="A24859"/>
      <c r="B24859"/>
    </row>
    <row r="24860" spans="1:2" x14ac:dyDescent="0.25">
      <c r="A24860"/>
      <c r="B24860"/>
    </row>
    <row r="24861" spans="1:2" x14ac:dyDescent="0.25">
      <c r="A24861"/>
      <c r="B24861"/>
    </row>
    <row r="24862" spans="1:2" x14ac:dyDescent="0.25">
      <c r="A24862"/>
      <c r="B24862"/>
    </row>
    <row r="24863" spans="1:2" x14ac:dyDescent="0.25">
      <c r="A24863"/>
      <c r="B24863"/>
    </row>
    <row r="24864" spans="1:2" x14ac:dyDescent="0.25">
      <c r="A24864"/>
      <c r="B24864"/>
    </row>
    <row r="24865" spans="1:2" x14ac:dyDescent="0.25">
      <c r="A24865"/>
      <c r="B24865"/>
    </row>
    <row r="24866" spans="1:2" x14ac:dyDescent="0.25">
      <c r="A24866"/>
      <c r="B24866"/>
    </row>
    <row r="24867" spans="1:2" x14ac:dyDescent="0.25">
      <c r="A24867"/>
      <c r="B24867"/>
    </row>
    <row r="24868" spans="1:2" x14ac:dyDescent="0.25">
      <c r="A24868"/>
      <c r="B24868"/>
    </row>
    <row r="24869" spans="1:2" x14ac:dyDescent="0.25">
      <c r="A24869"/>
      <c r="B24869"/>
    </row>
    <row r="24870" spans="1:2" x14ac:dyDescent="0.25">
      <c r="A24870"/>
      <c r="B24870"/>
    </row>
    <row r="24871" spans="1:2" x14ac:dyDescent="0.25">
      <c r="A24871"/>
      <c r="B24871"/>
    </row>
    <row r="24872" spans="1:2" x14ac:dyDescent="0.25">
      <c r="A24872"/>
      <c r="B24872"/>
    </row>
    <row r="24873" spans="1:2" x14ac:dyDescent="0.25">
      <c r="A24873"/>
      <c r="B24873"/>
    </row>
    <row r="24874" spans="1:2" x14ac:dyDescent="0.25">
      <c r="A24874"/>
      <c r="B24874"/>
    </row>
    <row r="24875" spans="1:2" x14ac:dyDescent="0.25">
      <c r="A24875"/>
      <c r="B24875"/>
    </row>
    <row r="24876" spans="1:2" x14ac:dyDescent="0.25">
      <c r="A24876"/>
      <c r="B24876"/>
    </row>
    <row r="24877" spans="1:2" x14ac:dyDescent="0.25">
      <c r="A24877"/>
      <c r="B24877"/>
    </row>
    <row r="24878" spans="1:2" x14ac:dyDescent="0.25">
      <c r="A24878"/>
      <c r="B24878"/>
    </row>
    <row r="24879" spans="1:2" x14ac:dyDescent="0.25">
      <c r="A24879"/>
      <c r="B24879"/>
    </row>
    <row r="24880" spans="1:2" x14ac:dyDescent="0.25">
      <c r="A24880"/>
      <c r="B24880"/>
    </row>
    <row r="24881" spans="1:2" x14ac:dyDescent="0.25">
      <c r="A24881"/>
      <c r="B24881"/>
    </row>
    <row r="24882" spans="1:2" x14ac:dyDescent="0.25">
      <c r="A24882"/>
      <c r="B24882"/>
    </row>
    <row r="24883" spans="1:2" x14ac:dyDescent="0.25">
      <c r="A24883"/>
      <c r="B24883"/>
    </row>
    <row r="24884" spans="1:2" x14ac:dyDescent="0.25">
      <c r="A24884"/>
      <c r="B24884"/>
    </row>
    <row r="24885" spans="1:2" x14ac:dyDescent="0.25">
      <c r="A24885"/>
      <c r="B24885"/>
    </row>
    <row r="24886" spans="1:2" x14ac:dyDescent="0.25">
      <c r="A24886"/>
      <c r="B24886"/>
    </row>
    <row r="24887" spans="1:2" x14ac:dyDescent="0.25">
      <c r="A24887"/>
      <c r="B24887"/>
    </row>
    <row r="24888" spans="1:2" x14ac:dyDescent="0.25">
      <c r="A24888"/>
      <c r="B24888"/>
    </row>
    <row r="24889" spans="1:2" x14ac:dyDescent="0.25">
      <c r="A24889"/>
      <c r="B24889"/>
    </row>
    <row r="24890" spans="1:2" x14ac:dyDescent="0.25">
      <c r="A24890"/>
      <c r="B24890"/>
    </row>
    <row r="24891" spans="1:2" x14ac:dyDescent="0.25">
      <c r="A24891"/>
      <c r="B24891"/>
    </row>
    <row r="24892" spans="1:2" x14ac:dyDescent="0.25">
      <c r="A24892"/>
      <c r="B24892"/>
    </row>
    <row r="24893" spans="1:2" x14ac:dyDescent="0.25">
      <c r="A24893"/>
      <c r="B24893"/>
    </row>
    <row r="24894" spans="1:2" x14ac:dyDescent="0.25">
      <c r="A24894"/>
      <c r="B24894"/>
    </row>
    <row r="24895" spans="1:2" x14ac:dyDescent="0.25">
      <c r="A24895"/>
      <c r="B24895"/>
    </row>
    <row r="24896" spans="1:2" x14ac:dyDescent="0.25">
      <c r="A24896"/>
      <c r="B24896"/>
    </row>
    <row r="24897" spans="1:2" x14ac:dyDescent="0.25">
      <c r="A24897"/>
      <c r="B24897"/>
    </row>
    <row r="24898" spans="1:2" x14ac:dyDescent="0.25">
      <c r="A24898"/>
      <c r="B24898"/>
    </row>
    <row r="24899" spans="1:2" x14ac:dyDescent="0.25">
      <c r="A24899"/>
      <c r="B24899"/>
    </row>
    <row r="24900" spans="1:2" x14ac:dyDescent="0.25">
      <c r="A24900"/>
      <c r="B24900"/>
    </row>
    <row r="24901" spans="1:2" x14ac:dyDescent="0.25">
      <c r="A24901"/>
      <c r="B24901"/>
    </row>
    <row r="24902" spans="1:2" x14ac:dyDescent="0.25">
      <c r="A24902"/>
      <c r="B24902"/>
    </row>
    <row r="24903" spans="1:2" x14ac:dyDescent="0.25">
      <c r="A24903"/>
      <c r="B24903"/>
    </row>
    <row r="24904" spans="1:2" x14ac:dyDescent="0.25">
      <c r="A24904"/>
      <c r="B24904"/>
    </row>
    <row r="24905" spans="1:2" x14ac:dyDescent="0.25">
      <c r="A24905"/>
      <c r="B24905"/>
    </row>
    <row r="24906" spans="1:2" x14ac:dyDescent="0.25">
      <c r="A24906"/>
      <c r="B24906"/>
    </row>
    <row r="24907" spans="1:2" x14ac:dyDescent="0.25">
      <c r="A24907"/>
      <c r="B24907"/>
    </row>
    <row r="24908" spans="1:2" x14ac:dyDescent="0.25">
      <c r="A24908"/>
      <c r="B24908"/>
    </row>
    <row r="24909" spans="1:2" x14ac:dyDescent="0.25">
      <c r="A24909"/>
      <c r="B24909"/>
    </row>
    <row r="24910" spans="1:2" x14ac:dyDescent="0.25">
      <c r="A24910"/>
      <c r="B24910"/>
    </row>
    <row r="24911" spans="1:2" x14ac:dyDescent="0.25">
      <c r="A24911"/>
      <c r="B24911"/>
    </row>
    <row r="24912" spans="1:2" x14ac:dyDescent="0.25">
      <c r="A24912"/>
      <c r="B24912"/>
    </row>
    <row r="24913" spans="1:2" x14ac:dyDescent="0.25">
      <c r="A24913"/>
      <c r="B24913"/>
    </row>
    <row r="24914" spans="1:2" x14ac:dyDescent="0.25">
      <c r="A24914"/>
      <c r="B24914"/>
    </row>
    <row r="24915" spans="1:2" x14ac:dyDescent="0.25">
      <c r="A24915"/>
      <c r="B24915"/>
    </row>
    <row r="24916" spans="1:2" x14ac:dyDescent="0.25">
      <c r="A24916"/>
      <c r="B24916"/>
    </row>
    <row r="24917" spans="1:2" x14ac:dyDescent="0.25">
      <c r="A24917"/>
      <c r="B24917"/>
    </row>
    <row r="24918" spans="1:2" x14ac:dyDescent="0.25">
      <c r="A24918"/>
      <c r="B24918"/>
    </row>
    <row r="24919" spans="1:2" x14ac:dyDescent="0.25">
      <c r="A24919"/>
      <c r="B24919"/>
    </row>
    <row r="24920" spans="1:2" x14ac:dyDescent="0.25">
      <c r="A24920"/>
      <c r="B24920"/>
    </row>
    <row r="24921" spans="1:2" x14ac:dyDescent="0.25">
      <c r="A24921"/>
      <c r="B24921"/>
    </row>
    <row r="24922" spans="1:2" x14ac:dyDescent="0.25">
      <c r="A24922"/>
      <c r="B24922"/>
    </row>
    <row r="24923" spans="1:2" x14ac:dyDescent="0.25">
      <c r="A24923"/>
      <c r="B24923"/>
    </row>
    <row r="24924" spans="1:2" x14ac:dyDescent="0.25">
      <c r="A24924"/>
      <c r="B24924"/>
    </row>
    <row r="24925" spans="1:2" x14ac:dyDescent="0.25">
      <c r="A24925"/>
      <c r="B24925"/>
    </row>
    <row r="24926" spans="1:2" x14ac:dyDescent="0.25">
      <c r="A24926"/>
      <c r="B24926"/>
    </row>
    <row r="24927" spans="1:2" x14ac:dyDescent="0.25">
      <c r="A24927"/>
      <c r="B24927"/>
    </row>
    <row r="24928" spans="1:2" x14ac:dyDescent="0.25">
      <c r="A24928"/>
      <c r="B24928"/>
    </row>
    <row r="24929" spans="1:2" x14ac:dyDescent="0.25">
      <c r="A24929"/>
      <c r="B24929"/>
    </row>
    <row r="24930" spans="1:2" x14ac:dyDescent="0.25">
      <c r="A24930"/>
      <c r="B24930"/>
    </row>
    <row r="24931" spans="1:2" x14ac:dyDescent="0.25">
      <c r="A24931"/>
      <c r="B24931"/>
    </row>
    <row r="24932" spans="1:2" x14ac:dyDescent="0.25">
      <c r="A24932"/>
      <c r="B24932"/>
    </row>
    <row r="24933" spans="1:2" x14ac:dyDescent="0.25">
      <c r="A24933"/>
      <c r="B24933"/>
    </row>
    <row r="24934" spans="1:2" x14ac:dyDescent="0.25">
      <c r="A24934"/>
      <c r="B24934"/>
    </row>
    <row r="24935" spans="1:2" x14ac:dyDescent="0.25">
      <c r="A24935"/>
      <c r="B24935"/>
    </row>
    <row r="24936" spans="1:2" x14ac:dyDescent="0.25">
      <c r="A24936"/>
      <c r="B24936"/>
    </row>
    <row r="24937" spans="1:2" x14ac:dyDescent="0.25">
      <c r="A24937"/>
      <c r="B24937"/>
    </row>
    <row r="24938" spans="1:2" x14ac:dyDescent="0.25">
      <c r="A24938"/>
      <c r="B24938"/>
    </row>
    <row r="24939" spans="1:2" x14ac:dyDescent="0.25">
      <c r="A24939"/>
      <c r="B24939"/>
    </row>
    <row r="24940" spans="1:2" x14ac:dyDescent="0.25">
      <c r="A24940"/>
      <c r="B24940"/>
    </row>
    <row r="24941" spans="1:2" x14ac:dyDescent="0.25">
      <c r="A24941"/>
      <c r="B24941"/>
    </row>
    <row r="24942" spans="1:2" x14ac:dyDescent="0.25">
      <c r="A24942"/>
      <c r="B24942"/>
    </row>
    <row r="24943" spans="1:2" x14ac:dyDescent="0.25">
      <c r="A24943"/>
      <c r="B24943"/>
    </row>
    <row r="24944" spans="1:2" x14ac:dyDescent="0.25">
      <c r="A24944"/>
      <c r="B24944"/>
    </row>
    <row r="24945" spans="1:2" x14ac:dyDescent="0.25">
      <c r="A24945"/>
      <c r="B24945"/>
    </row>
    <row r="24946" spans="1:2" x14ac:dyDescent="0.25">
      <c r="A24946"/>
      <c r="B24946"/>
    </row>
    <row r="24947" spans="1:2" x14ac:dyDescent="0.25">
      <c r="A24947"/>
      <c r="B24947"/>
    </row>
    <row r="24948" spans="1:2" x14ac:dyDescent="0.25">
      <c r="A24948"/>
      <c r="B24948"/>
    </row>
    <row r="24949" spans="1:2" x14ac:dyDescent="0.25">
      <c r="A24949"/>
      <c r="B24949"/>
    </row>
    <row r="24950" spans="1:2" x14ac:dyDescent="0.25">
      <c r="A24950"/>
      <c r="B24950"/>
    </row>
    <row r="24951" spans="1:2" x14ac:dyDescent="0.25">
      <c r="A24951"/>
      <c r="B24951"/>
    </row>
    <row r="24952" spans="1:2" x14ac:dyDescent="0.25">
      <c r="A24952"/>
      <c r="B24952"/>
    </row>
    <row r="24953" spans="1:2" x14ac:dyDescent="0.25">
      <c r="A24953"/>
      <c r="B24953"/>
    </row>
    <row r="24954" spans="1:2" x14ac:dyDescent="0.25">
      <c r="A24954"/>
      <c r="B24954"/>
    </row>
    <row r="24955" spans="1:2" x14ac:dyDescent="0.25">
      <c r="A24955"/>
      <c r="B24955"/>
    </row>
    <row r="24956" spans="1:2" x14ac:dyDescent="0.25">
      <c r="A24956"/>
      <c r="B24956"/>
    </row>
    <row r="24957" spans="1:2" x14ac:dyDescent="0.25">
      <c r="A24957"/>
      <c r="B24957"/>
    </row>
    <row r="24958" spans="1:2" x14ac:dyDescent="0.25">
      <c r="A24958"/>
      <c r="B24958"/>
    </row>
    <row r="24959" spans="1:2" x14ac:dyDescent="0.25">
      <c r="A24959"/>
      <c r="B24959"/>
    </row>
    <row r="24960" spans="1:2" x14ac:dyDescent="0.25">
      <c r="A24960"/>
      <c r="B24960"/>
    </row>
    <row r="24961" spans="1:2" x14ac:dyDescent="0.25">
      <c r="A24961"/>
      <c r="B24961"/>
    </row>
    <row r="24962" spans="1:2" x14ac:dyDescent="0.25">
      <c r="A24962"/>
      <c r="B24962"/>
    </row>
    <row r="24963" spans="1:2" x14ac:dyDescent="0.25">
      <c r="A24963"/>
      <c r="B24963"/>
    </row>
    <row r="24964" spans="1:2" x14ac:dyDescent="0.25">
      <c r="A24964"/>
      <c r="B24964"/>
    </row>
    <row r="24965" spans="1:2" x14ac:dyDescent="0.25">
      <c r="A24965"/>
      <c r="B24965"/>
    </row>
    <row r="24966" spans="1:2" x14ac:dyDescent="0.25">
      <c r="A24966"/>
      <c r="B24966"/>
    </row>
    <row r="24967" spans="1:2" x14ac:dyDescent="0.25">
      <c r="A24967"/>
      <c r="B24967"/>
    </row>
    <row r="24968" spans="1:2" x14ac:dyDescent="0.25">
      <c r="A24968"/>
      <c r="B24968"/>
    </row>
    <row r="24969" spans="1:2" x14ac:dyDescent="0.25">
      <c r="A24969"/>
      <c r="B24969"/>
    </row>
    <row r="24970" spans="1:2" x14ac:dyDescent="0.25">
      <c r="A24970"/>
      <c r="B24970"/>
    </row>
    <row r="24971" spans="1:2" x14ac:dyDescent="0.25">
      <c r="A24971"/>
      <c r="B24971"/>
    </row>
    <row r="24972" spans="1:2" x14ac:dyDescent="0.25">
      <c r="A24972"/>
      <c r="B24972"/>
    </row>
    <row r="24973" spans="1:2" x14ac:dyDescent="0.25">
      <c r="A24973"/>
      <c r="B24973"/>
    </row>
    <row r="24974" spans="1:2" x14ac:dyDescent="0.25">
      <c r="A24974"/>
      <c r="B24974"/>
    </row>
    <row r="24975" spans="1:2" x14ac:dyDescent="0.25">
      <c r="A24975"/>
      <c r="B24975"/>
    </row>
    <row r="24976" spans="1:2" x14ac:dyDescent="0.25">
      <c r="A24976"/>
      <c r="B24976"/>
    </row>
    <row r="24977" spans="1:2" x14ac:dyDescent="0.25">
      <c r="A24977"/>
      <c r="B24977"/>
    </row>
    <row r="24978" spans="1:2" x14ac:dyDescent="0.25">
      <c r="A24978"/>
      <c r="B24978"/>
    </row>
    <row r="24979" spans="1:2" x14ac:dyDescent="0.25">
      <c r="A24979"/>
      <c r="B24979"/>
    </row>
    <row r="24980" spans="1:2" x14ac:dyDescent="0.25">
      <c r="A24980"/>
      <c r="B24980"/>
    </row>
    <row r="24981" spans="1:2" x14ac:dyDescent="0.25">
      <c r="A24981"/>
      <c r="B24981"/>
    </row>
    <row r="24982" spans="1:2" x14ac:dyDescent="0.25">
      <c r="A24982"/>
      <c r="B24982"/>
    </row>
    <row r="24983" spans="1:2" x14ac:dyDescent="0.25">
      <c r="A24983"/>
      <c r="B24983"/>
    </row>
    <row r="24984" spans="1:2" x14ac:dyDescent="0.25">
      <c r="A24984"/>
      <c r="B24984"/>
    </row>
    <row r="24985" spans="1:2" x14ac:dyDescent="0.25">
      <c r="A24985"/>
      <c r="B24985"/>
    </row>
    <row r="24986" spans="1:2" x14ac:dyDescent="0.25">
      <c r="A24986"/>
      <c r="B24986"/>
    </row>
    <row r="24987" spans="1:2" x14ac:dyDescent="0.25">
      <c r="A24987"/>
      <c r="B24987"/>
    </row>
    <row r="24988" spans="1:2" x14ac:dyDescent="0.25">
      <c r="A24988"/>
      <c r="B24988"/>
    </row>
    <row r="24989" spans="1:2" x14ac:dyDescent="0.25">
      <c r="A24989"/>
      <c r="B24989"/>
    </row>
    <row r="24990" spans="1:2" x14ac:dyDescent="0.25">
      <c r="A24990"/>
      <c r="B24990"/>
    </row>
    <row r="24991" spans="1:2" x14ac:dyDescent="0.25">
      <c r="A24991"/>
      <c r="B24991"/>
    </row>
    <row r="24992" spans="1:2" x14ac:dyDescent="0.25">
      <c r="A24992"/>
      <c r="B24992"/>
    </row>
    <row r="24993" spans="1:2" x14ac:dyDescent="0.25">
      <c r="A24993"/>
      <c r="B24993"/>
    </row>
    <row r="24994" spans="1:2" x14ac:dyDescent="0.25">
      <c r="A24994"/>
      <c r="B24994"/>
    </row>
    <row r="24995" spans="1:2" x14ac:dyDescent="0.25">
      <c r="A24995"/>
      <c r="B24995"/>
    </row>
    <row r="24996" spans="1:2" x14ac:dyDescent="0.25">
      <c r="A24996"/>
      <c r="B24996"/>
    </row>
    <row r="24997" spans="1:2" x14ac:dyDescent="0.25">
      <c r="A24997"/>
      <c r="B24997"/>
    </row>
    <row r="24998" spans="1:2" x14ac:dyDescent="0.25">
      <c r="A24998"/>
      <c r="B24998"/>
    </row>
    <row r="24999" spans="1:2" x14ac:dyDescent="0.25">
      <c r="A24999"/>
      <c r="B24999"/>
    </row>
    <row r="25000" spans="1:2" x14ac:dyDescent="0.25">
      <c r="A25000"/>
      <c r="B25000"/>
    </row>
    <row r="25001" spans="1:2" x14ac:dyDescent="0.25">
      <c r="A25001"/>
      <c r="B25001"/>
    </row>
    <row r="25002" spans="1:2" x14ac:dyDescent="0.25">
      <c r="A25002"/>
      <c r="B25002"/>
    </row>
    <row r="25003" spans="1:2" x14ac:dyDescent="0.25">
      <c r="A25003"/>
      <c r="B25003"/>
    </row>
    <row r="25004" spans="1:2" x14ac:dyDescent="0.25">
      <c r="A25004"/>
      <c r="B25004"/>
    </row>
    <row r="25005" spans="1:2" x14ac:dyDescent="0.25">
      <c r="A25005"/>
      <c r="B25005"/>
    </row>
    <row r="25006" spans="1:2" x14ac:dyDescent="0.25">
      <c r="A25006"/>
      <c r="B25006"/>
    </row>
    <row r="25007" spans="1:2" x14ac:dyDescent="0.25">
      <c r="A25007"/>
      <c r="B25007"/>
    </row>
    <row r="25008" spans="1:2" x14ac:dyDescent="0.25">
      <c r="A25008"/>
      <c r="B25008"/>
    </row>
    <row r="25009" spans="1:2" x14ac:dyDescent="0.25">
      <c r="A25009"/>
      <c r="B25009"/>
    </row>
    <row r="25010" spans="1:2" x14ac:dyDescent="0.25">
      <c r="A25010"/>
      <c r="B25010"/>
    </row>
    <row r="25011" spans="1:2" x14ac:dyDescent="0.25">
      <c r="A25011"/>
      <c r="B25011"/>
    </row>
    <row r="25012" spans="1:2" x14ac:dyDescent="0.25">
      <c r="A25012"/>
      <c r="B25012"/>
    </row>
    <row r="25013" spans="1:2" x14ac:dyDescent="0.25">
      <c r="A25013"/>
      <c r="B25013"/>
    </row>
    <row r="25014" spans="1:2" x14ac:dyDescent="0.25">
      <c r="A25014"/>
      <c r="B25014"/>
    </row>
    <row r="25015" spans="1:2" x14ac:dyDescent="0.25">
      <c r="A25015"/>
      <c r="B25015"/>
    </row>
    <row r="25016" spans="1:2" x14ac:dyDescent="0.25">
      <c r="A25016"/>
      <c r="B25016"/>
    </row>
    <row r="25017" spans="1:2" x14ac:dyDescent="0.25">
      <c r="A25017"/>
      <c r="B25017"/>
    </row>
    <row r="25018" spans="1:2" x14ac:dyDescent="0.25">
      <c r="A25018"/>
      <c r="B25018"/>
    </row>
    <row r="25019" spans="1:2" x14ac:dyDescent="0.25">
      <c r="A25019"/>
      <c r="B25019"/>
    </row>
    <row r="25020" spans="1:2" x14ac:dyDescent="0.25">
      <c r="A25020"/>
      <c r="B25020"/>
    </row>
    <row r="25021" spans="1:2" x14ac:dyDescent="0.25">
      <c r="A25021"/>
      <c r="B25021"/>
    </row>
    <row r="25022" spans="1:2" x14ac:dyDescent="0.25">
      <c r="A25022"/>
      <c r="B25022"/>
    </row>
    <row r="25023" spans="1:2" x14ac:dyDescent="0.25">
      <c r="A25023"/>
      <c r="B25023"/>
    </row>
    <row r="25024" spans="1:2" x14ac:dyDescent="0.25">
      <c r="A25024"/>
      <c r="B25024"/>
    </row>
    <row r="25025" spans="1:2" x14ac:dyDescent="0.25">
      <c r="A25025"/>
      <c r="B25025"/>
    </row>
    <row r="25026" spans="1:2" x14ac:dyDescent="0.25">
      <c r="A25026"/>
      <c r="B25026"/>
    </row>
    <row r="25027" spans="1:2" x14ac:dyDescent="0.25">
      <c r="A25027"/>
      <c r="B25027"/>
    </row>
    <row r="25028" spans="1:2" x14ac:dyDescent="0.25">
      <c r="A25028"/>
      <c r="B25028"/>
    </row>
    <row r="25029" spans="1:2" x14ac:dyDescent="0.25">
      <c r="A25029"/>
      <c r="B25029"/>
    </row>
    <row r="25030" spans="1:2" x14ac:dyDescent="0.25">
      <c r="A25030"/>
      <c r="B25030"/>
    </row>
    <row r="25031" spans="1:2" x14ac:dyDescent="0.25">
      <c r="A25031"/>
      <c r="B25031"/>
    </row>
    <row r="25032" spans="1:2" x14ac:dyDescent="0.25">
      <c r="A25032"/>
      <c r="B25032"/>
    </row>
    <row r="25033" spans="1:2" x14ac:dyDescent="0.25">
      <c r="A25033"/>
      <c r="B25033"/>
    </row>
    <row r="25034" spans="1:2" x14ac:dyDescent="0.25">
      <c r="A25034"/>
      <c r="B25034"/>
    </row>
    <row r="25035" spans="1:2" x14ac:dyDescent="0.25">
      <c r="A25035"/>
      <c r="B25035"/>
    </row>
    <row r="25036" spans="1:2" x14ac:dyDescent="0.25">
      <c r="A25036"/>
      <c r="B25036"/>
    </row>
    <row r="25037" spans="1:2" x14ac:dyDescent="0.25">
      <c r="A25037"/>
      <c r="B25037"/>
    </row>
    <row r="25038" spans="1:2" x14ac:dyDescent="0.25">
      <c r="A25038"/>
      <c r="B25038"/>
    </row>
    <row r="25039" spans="1:2" x14ac:dyDescent="0.25">
      <c r="A25039"/>
      <c r="B25039"/>
    </row>
    <row r="25040" spans="1:2" x14ac:dyDescent="0.25">
      <c r="A25040"/>
      <c r="B25040"/>
    </row>
    <row r="25041" spans="1:2" x14ac:dyDescent="0.25">
      <c r="A25041"/>
      <c r="B25041"/>
    </row>
    <row r="25042" spans="1:2" x14ac:dyDescent="0.25">
      <c r="A25042"/>
      <c r="B25042"/>
    </row>
    <row r="25043" spans="1:2" x14ac:dyDescent="0.25">
      <c r="A25043"/>
      <c r="B25043"/>
    </row>
    <row r="25044" spans="1:2" x14ac:dyDescent="0.25">
      <c r="A25044"/>
      <c r="B25044"/>
    </row>
    <row r="25045" spans="1:2" x14ac:dyDescent="0.25">
      <c r="A25045"/>
      <c r="B25045"/>
    </row>
    <row r="25046" spans="1:2" x14ac:dyDescent="0.25">
      <c r="A25046"/>
      <c r="B25046"/>
    </row>
    <row r="25047" spans="1:2" x14ac:dyDescent="0.25">
      <c r="A25047"/>
      <c r="B25047"/>
    </row>
    <row r="25048" spans="1:2" x14ac:dyDescent="0.25">
      <c r="A25048"/>
      <c r="B25048"/>
    </row>
    <row r="25049" spans="1:2" x14ac:dyDescent="0.25">
      <c r="A25049"/>
      <c r="B25049"/>
    </row>
    <row r="25050" spans="1:2" x14ac:dyDescent="0.25">
      <c r="A25050"/>
      <c r="B25050"/>
    </row>
    <row r="25051" spans="1:2" x14ac:dyDescent="0.25">
      <c r="A25051"/>
      <c r="B25051"/>
    </row>
    <row r="25052" spans="1:2" x14ac:dyDescent="0.25">
      <c r="A25052"/>
      <c r="B25052"/>
    </row>
    <row r="25053" spans="1:2" x14ac:dyDescent="0.25">
      <c r="A25053"/>
      <c r="B25053"/>
    </row>
    <row r="25054" spans="1:2" x14ac:dyDescent="0.25">
      <c r="A25054"/>
      <c r="B25054"/>
    </row>
    <row r="25055" spans="1:2" x14ac:dyDescent="0.25">
      <c r="A25055"/>
      <c r="B25055"/>
    </row>
    <row r="25056" spans="1:2" x14ac:dyDescent="0.25">
      <c r="A25056"/>
      <c r="B25056"/>
    </row>
    <row r="25057" spans="1:2" x14ac:dyDescent="0.25">
      <c r="A25057"/>
      <c r="B25057"/>
    </row>
    <row r="25058" spans="1:2" x14ac:dyDescent="0.25">
      <c r="A25058"/>
      <c r="B25058"/>
    </row>
    <row r="25059" spans="1:2" x14ac:dyDescent="0.25">
      <c r="A25059"/>
      <c r="B25059"/>
    </row>
    <row r="25060" spans="1:2" x14ac:dyDescent="0.25">
      <c r="A25060"/>
      <c r="B25060"/>
    </row>
    <row r="25061" spans="1:2" x14ac:dyDescent="0.25">
      <c r="A25061"/>
      <c r="B25061"/>
    </row>
    <row r="25062" spans="1:2" x14ac:dyDescent="0.25">
      <c r="A25062"/>
      <c r="B25062"/>
    </row>
    <row r="25063" spans="1:2" x14ac:dyDescent="0.25">
      <c r="A25063"/>
      <c r="B25063"/>
    </row>
    <row r="25064" spans="1:2" x14ac:dyDescent="0.25">
      <c r="A25064"/>
      <c r="B25064"/>
    </row>
    <row r="25065" spans="1:2" x14ac:dyDescent="0.25">
      <c r="A25065"/>
      <c r="B25065"/>
    </row>
    <row r="25066" spans="1:2" x14ac:dyDescent="0.25">
      <c r="A25066"/>
      <c r="B25066"/>
    </row>
    <row r="25067" spans="1:2" x14ac:dyDescent="0.25">
      <c r="A25067"/>
      <c r="B25067"/>
    </row>
    <row r="25068" spans="1:2" x14ac:dyDescent="0.25">
      <c r="A25068"/>
      <c r="B25068"/>
    </row>
    <row r="25069" spans="1:2" x14ac:dyDescent="0.25">
      <c r="A25069"/>
      <c r="B25069"/>
    </row>
    <row r="25070" spans="1:2" x14ac:dyDescent="0.25">
      <c r="A25070"/>
      <c r="B25070"/>
    </row>
    <row r="25071" spans="1:2" x14ac:dyDescent="0.25">
      <c r="A25071"/>
      <c r="B25071"/>
    </row>
    <row r="25072" spans="1:2" x14ac:dyDescent="0.25">
      <c r="A25072"/>
      <c r="B25072"/>
    </row>
    <row r="25073" spans="1:2" x14ac:dyDescent="0.25">
      <c r="A25073"/>
      <c r="B25073"/>
    </row>
    <row r="25074" spans="1:2" x14ac:dyDescent="0.25">
      <c r="A25074"/>
      <c r="B25074"/>
    </row>
    <row r="25075" spans="1:2" x14ac:dyDescent="0.25">
      <c r="A25075"/>
      <c r="B25075"/>
    </row>
    <row r="25076" spans="1:2" x14ac:dyDescent="0.25">
      <c r="A25076"/>
      <c r="B25076"/>
    </row>
    <row r="25077" spans="1:2" x14ac:dyDescent="0.25">
      <c r="A25077"/>
      <c r="B25077"/>
    </row>
    <row r="25078" spans="1:2" x14ac:dyDescent="0.25">
      <c r="A25078"/>
      <c r="B25078"/>
    </row>
    <row r="25079" spans="1:2" x14ac:dyDescent="0.25">
      <c r="A25079"/>
      <c r="B25079"/>
    </row>
    <row r="25080" spans="1:2" x14ac:dyDescent="0.25">
      <c r="A25080"/>
      <c r="B25080"/>
    </row>
    <row r="25081" spans="1:2" x14ac:dyDescent="0.25">
      <c r="A25081"/>
      <c r="B25081"/>
    </row>
    <row r="25082" spans="1:2" x14ac:dyDescent="0.25">
      <c r="A25082"/>
      <c r="B25082"/>
    </row>
    <row r="25083" spans="1:2" x14ac:dyDescent="0.25">
      <c r="A25083"/>
      <c r="B25083"/>
    </row>
    <row r="25084" spans="1:2" x14ac:dyDescent="0.25">
      <c r="A25084"/>
      <c r="B25084"/>
    </row>
    <row r="25085" spans="1:2" x14ac:dyDescent="0.25">
      <c r="A25085"/>
      <c r="B25085"/>
    </row>
    <row r="25086" spans="1:2" x14ac:dyDescent="0.25">
      <c r="A25086"/>
      <c r="B25086"/>
    </row>
    <row r="25087" spans="1:2" x14ac:dyDescent="0.25">
      <c r="A25087"/>
      <c r="B25087"/>
    </row>
    <row r="25088" spans="1:2" x14ac:dyDescent="0.25">
      <c r="A25088"/>
      <c r="B25088"/>
    </row>
    <row r="25089" spans="1:2" x14ac:dyDescent="0.25">
      <c r="A25089"/>
      <c r="B25089"/>
    </row>
    <row r="25090" spans="1:2" x14ac:dyDescent="0.25">
      <c r="A25090"/>
      <c r="B25090"/>
    </row>
    <row r="25091" spans="1:2" x14ac:dyDescent="0.25">
      <c r="A25091"/>
      <c r="B25091"/>
    </row>
    <row r="25092" spans="1:2" x14ac:dyDescent="0.25">
      <c r="A25092"/>
      <c r="B25092"/>
    </row>
    <row r="25093" spans="1:2" x14ac:dyDescent="0.25">
      <c r="A25093"/>
      <c r="B25093"/>
    </row>
    <row r="25094" spans="1:2" x14ac:dyDescent="0.25">
      <c r="A25094"/>
      <c r="B25094"/>
    </row>
    <row r="25095" spans="1:2" x14ac:dyDescent="0.25">
      <c r="A25095"/>
      <c r="B25095"/>
    </row>
    <row r="25096" spans="1:2" x14ac:dyDescent="0.25">
      <c r="A25096"/>
      <c r="B25096"/>
    </row>
    <row r="25097" spans="1:2" x14ac:dyDescent="0.25">
      <c r="A25097"/>
      <c r="B25097"/>
    </row>
    <row r="25098" spans="1:2" x14ac:dyDescent="0.25">
      <c r="A25098"/>
      <c r="B25098"/>
    </row>
    <row r="25099" spans="1:2" x14ac:dyDescent="0.25">
      <c r="A25099"/>
      <c r="B25099"/>
    </row>
    <row r="25100" spans="1:2" x14ac:dyDescent="0.25">
      <c r="A25100"/>
      <c r="B25100"/>
    </row>
    <row r="25101" spans="1:2" x14ac:dyDescent="0.25">
      <c r="A25101"/>
      <c r="B25101"/>
    </row>
    <row r="25102" spans="1:2" x14ac:dyDescent="0.25">
      <c r="A25102"/>
      <c r="B25102"/>
    </row>
    <row r="25103" spans="1:2" x14ac:dyDescent="0.25">
      <c r="A25103"/>
      <c r="B25103"/>
    </row>
    <row r="25104" spans="1:2" x14ac:dyDescent="0.25">
      <c r="A25104"/>
      <c r="B25104"/>
    </row>
    <row r="25105" spans="1:2" x14ac:dyDescent="0.25">
      <c r="A25105"/>
      <c r="B25105"/>
    </row>
    <row r="25106" spans="1:2" x14ac:dyDescent="0.25">
      <c r="A25106"/>
      <c r="B25106"/>
    </row>
    <row r="25107" spans="1:2" x14ac:dyDescent="0.25">
      <c r="A25107"/>
      <c r="B25107"/>
    </row>
    <row r="25108" spans="1:2" x14ac:dyDescent="0.25">
      <c r="A25108"/>
      <c r="B25108"/>
    </row>
    <row r="25109" spans="1:2" x14ac:dyDescent="0.25">
      <c r="A25109"/>
      <c r="B25109"/>
    </row>
    <row r="25110" spans="1:2" x14ac:dyDescent="0.25">
      <c r="A25110"/>
      <c r="B25110"/>
    </row>
    <row r="25111" spans="1:2" x14ac:dyDescent="0.25">
      <c r="A25111"/>
      <c r="B25111"/>
    </row>
    <row r="25112" spans="1:2" x14ac:dyDescent="0.25">
      <c r="A25112"/>
      <c r="B25112"/>
    </row>
    <row r="25113" spans="1:2" x14ac:dyDescent="0.25">
      <c r="A25113"/>
      <c r="B25113"/>
    </row>
    <row r="25114" spans="1:2" x14ac:dyDescent="0.25">
      <c r="A25114"/>
      <c r="B25114"/>
    </row>
    <row r="25115" spans="1:2" x14ac:dyDescent="0.25">
      <c r="A25115"/>
      <c r="B25115"/>
    </row>
    <row r="25116" spans="1:2" x14ac:dyDescent="0.25">
      <c r="A25116"/>
      <c r="B25116"/>
    </row>
    <row r="25117" spans="1:2" x14ac:dyDescent="0.25">
      <c r="A25117"/>
      <c r="B25117"/>
    </row>
    <row r="25118" spans="1:2" x14ac:dyDescent="0.25">
      <c r="A25118"/>
      <c r="B25118"/>
    </row>
    <row r="25119" spans="1:2" x14ac:dyDescent="0.25">
      <c r="A25119"/>
      <c r="B25119"/>
    </row>
    <row r="25120" spans="1:2" x14ac:dyDescent="0.25">
      <c r="A25120"/>
      <c r="B25120"/>
    </row>
    <row r="25121" spans="1:2" x14ac:dyDescent="0.25">
      <c r="A25121"/>
      <c r="B25121"/>
    </row>
    <row r="25122" spans="1:2" x14ac:dyDescent="0.25">
      <c r="A25122"/>
      <c r="B25122"/>
    </row>
    <row r="25123" spans="1:2" x14ac:dyDescent="0.25">
      <c r="A25123"/>
      <c r="B25123"/>
    </row>
    <row r="25124" spans="1:2" x14ac:dyDescent="0.25">
      <c r="A25124"/>
      <c r="B25124"/>
    </row>
    <row r="25125" spans="1:2" x14ac:dyDescent="0.25">
      <c r="A25125"/>
      <c r="B25125"/>
    </row>
    <row r="25126" spans="1:2" x14ac:dyDescent="0.25">
      <c r="A25126"/>
      <c r="B25126"/>
    </row>
    <row r="25127" spans="1:2" x14ac:dyDescent="0.25">
      <c r="A25127"/>
      <c r="B25127"/>
    </row>
    <row r="25128" spans="1:2" x14ac:dyDescent="0.25">
      <c r="A25128"/>
      <c r="B25128"/>
    </row>
    <row r="25129" spans="1:2" x14ac:dyDescent="0.25">
      <c r="A25129"/>
      <c r="B25129"/>
    </row>
    <row r="25130" spans="1:2" x14ac:dyDescent="0.25">
      <c r="A25130"/>
      <c r="B25130"/>
    </row>
    <row r="25131" spans="1:2" x14ac:dyDescent="0.25">
      <c r="A25131"/>
      <c r="B25131"/>
    </row>
    <row r="25132" spans="1:2" x14ac:dyDescent="0.25">
      <c r="A25132"/>
      <c r="B25132"/>
    </row>
    <row r="25133" spans="1:2" x14ac:dyDescent="0.25">
      <c r="A25133"/>
      <c r="B25133"/>
    </row>
    <row r="25134" spans="1:2" x14ac:dyDescent="0.25">
      <c r="A25134"/>
      <c r="B25134"/>
    </row>
    <row r="25135" spans="1:2" x14ac:dyDescent="0.25">
      <c r="A25135"/>
      <c r="B25135"/>
    </row>
    <row r="25136" spans="1:2" x14ac:dyDescent="0.25">
      <c r="A25136"/>
      <c r="B25136"/>
    </row>
    <row r="25137" spans="1:2" x14ac:dyDescent="0.25">
      <c r="A25137"/>
      <c r="B25137"/>
    </row>
    <row r="25138" spans="1:2" x14ac:dyDescent="0.25">
      <c r="A25138"/>
      <c r="B25138"/>
    </row>
    <row r="25139" spans="1:2" x14ac:dyDescent="0.25">
      <c r="A25139"/>
      <c r="B25139"/>
    </row>
    <row r="25140" spans="1:2" x14ac:dyDescent="0.25">
      <c r="A25140"/>
      <c r="B25140"/>
    </row>
    <row r="25141" spans="1:2" x14ac:dyDescent="0.25">
      <c r="A25141"/>
      <c r="B25141"/>
    </row>
    <row r="25142" spans="1:2" x14ac:dyDescent="0.25">
      <c r="A25142"/>
      <c r="B25142"/>
    </row>
    <row r="25143" spans="1:2" x14ac:dyDescent="0.25">
      <c r="A25143"/>
      <c r="B25143"/>
    </row>
    <row r="25144" spans="1:2" x14ac:dyDescent="0.25">
      <c r="A25144"/>
      <c r="B25144"/>
    </row>
    <row r="25145" spans="1:2" x14ac:dyDescent="0.25">
      <c r="A25145"/>
      <c r="B25145"/>
    </row>
    <row r="25146" spans="1:2" x14ac:dyDescent="0.25">
      <c r="A25146"/>
      <c r="B25146"/>
    </row>
    <row r="25147" spans="1:2" x14ac:dyDescent="0.25">
      <c r="A25147"/>
      <c r="B25147"/>
    </row>
    <row r="25148" spans="1:2" x14ac:dyDescent="0.25">
      <c r="A25148"/>
      <c r="B25148"/>
    </row>
    <row r="25149" spans="1:2" x14ac:dyDescent="0.25">
      <c r="A25149"/>
      <c r="B25149"/>
    </row>
    <row r="25150" spans="1:2" x14ac:dyDescent="0.25">
      <c r="A25150"/>
      <c r="B25150"/>
    </row>
    <row r="25151" spans="1:2" x14ac:dyDescent="0.25">
      <c r="A25151"/>
      <c r="B25151"/>
    </row>
    <row r="25152" spans="1:2" x14ac:dyDescent="0.25">
      <c r="A25152"/>
      <c r="B25152"/>
    </row>
    <row r="25153" spans="1:2" x14ac:dyDescent="0.25">
      <c r="A25153"/>
      <c r="B25153"/>
    </row>
    <row r="25154" spans="1:2" x14ac:dyDescent="0.25">
      <c r="A25154"/>
      <c r="B25154"/>
    </row>
    <row r="25155" spans="1:2" x14ac:dyDescent="0.25">
      <c r="A25155"/>
      <c r="B25155"/>
    </row>
    <row r="25156" spans="1:2" x14ac:dyDescent="0.25">
      <c r="A25156"/>
      <c r="B25156"/>
    </row>
    <row r="25157" spans="1:2" x14ac:dyDescent="0.25">
      <c r="A25157"/>
      <c r="B25157"/>
    </row>
    <row r="25158" spans="1:2" x14ac:dyDescent="0.25">
      <c r="A25158"/>
      <c r="B25158"/>
    </row>
    <row r="25159" spans="1:2" x14ac:dyDescent="0.25">
      <c r="A25159"/>
      <c r="B25159"/>
    </row>
    <row r="25160" spans="1:2" x14ac:dyDescent="0.25">
      <c r="A25160"/>
      <c r="B25160"/>
    </row>
    <row r="25161" spans="1:2" x14ac:dyDescent="0.25">
      <c r="A25161"/>
      <c r="B25161"/>
    </row>
    <row r="25162" spans="1:2" x14ac:dyDescent="0.25">
      <c r="A25162"/>
      <c r="B25162"/>
    </row>
    <row r="25163" spans="1:2" x14ac:dyDescent="0.25">
      <c r="A25163"/>
      <c r="B25163"/>
    </row>
    <row r="25164" spans="1:2" x14ac:dyDescent="0.25">
      <c r="A25164"/>
      <c r="B25164"/>
    </row>
    <row r="25165" spans="1:2" x14ac:dyDescent="0.25">
      <c r="A25165"/>
      <c r="B25165"/>
    </row>
    <row r="25166" spans="1:2" x14ac:dyDescent="0.25">
      <c r="A25166"/>
      <c r="B25166"/>
    </row>
    <row r="25167" spans="1:2" x14ac:dyDescent="0.25">
      <c r="A25167"/>
      <c r="B25167"/>
    </row>
    <row r="25168" spans="1:2" x14ac:dyDescent="0.25">
      <c r="A25168"/>
      <c r="B25168"/>
    </row>
    <row r="25169" spans="1:2" x14ac:dyDescent="0.25">
      <c r="A25169"/>
      <c r="B25169"/>
    </row>
    <row r="25170" spans="1:2" x14ac:dyDescent="0.25">
      <c r="A25170"/>
      <c r="B25170"/>
    </row>
    <row r="25171" spans="1:2" x14ac:dyDescent="0.25">
      <c r="A25171"/>
      <c r="B25171"/>
    </row>
    <row r="25172" spans="1:2" x14ac:dyDescent="0.25">
      <c r="A25172"/>
      <c r="B25172"/>
    </row>
    <row r="25173" spans="1:2" x14ac:dyDescent="0.25">
      <c r="A25173"/>
      <c r="B25173"/>
    </row>
    <row r="25174" spans="1:2" x14ac:dyDescent="0.25">
      <c r="A25174"/>
      <c r="B25174"/>
    </row>
    <row r="25175" spans="1:2" x14ac:dyDescent="0.25">
      <c r="A25175"/>
      <c r="B25175"/>
    </row>
    <row r="25176" spans="1:2" x14ac:dyDescent="0.25">
      <c r="A25176"/>
      <c r="B25176"/>
    </row>
    <row r="25177" spans="1:2" x14ac:dyDescent="0.25">
      <c r="A25177"/>
      <c r="B25177"/>
    </row>
    <row r="25178" spans="1:2" x14ac:dyDescent="0.25">
      <c r="A25178"/>
      <c r="B25178"/>
    </row>
    <row r="25179" spans="1:2" x14ac:dyDescent="0.25">
      <c r="A25179"/>
      <c r="B25179"/>
    </row>
    <row r="25180" spans="1:2" x14ac:dyDescent="0.25">
      <c r="A25180"/>
      <c r="B25180"/>
    </row>
    <row r="25181" spans="1:2" x14ac:dyDescent="0.25">
      <c r="A25181"/>
      <c r="B25181"/>
    </row>
    <row r="25182" spans="1:2" x14ac:dyDescent="0.25">
      <c r="A25182"/>
      <c r="B25182"/>
    </row>
    <row r="25183" spans="1:2" x14ac:dyDescent="0.25">
      <c r="A25183"/>
      <c r="B25183"/>
    </row>
    <row r="25184" spans="1:2" x14ac:dyDescent="0.25">
      <c r="A25184"/>
      <c r="B25184"/>
    </row>
    <row r="25185" spans="1:2" x14ac:dyDescent="0.25">
      <c r="A25185"/>
      <c r="B25185"/>
    </row>
    <row r="25186" spans="1:2" x14ac:dyDescent="0.25">
      <c r="A25186"/>
      <c r="B25186"/>
    </row>
    <row r="25187" spans="1:2" x14ac:dyDescent="0.25">
      <c r="A25187"/>
      <c r="B25187"/>
    </row>
    <row r="25188" spans="1:2" x14ac:dyDescent="0.25">
      <c r="A25188"/>
      <c r="B25188"/>
    </row>
    <row r="25189" spans="1:2" x14ac:dyDescent="0.25">
      <c r="A25189"/>
      <c r="B25189"/>
    </row>
    <row r="25190" spans="1:2" x14ac:dyDescent="0.25">
      <c r="A25190"/>
      <c r="B25190"/>
    </row>
    <row r="25191" spans="1:2" x14ac:dyDescent="0.25">
      <c r="A25191"/>
      <c r="B25191"/>
    </row>
    <row r="25192" spans="1:2" x14ac:dyDescent="0.25">
      <c r="A25192"/>
      <c r="B25192"/>
    </row>
    <row r="25193" spans="1:2" x14ac:dyDescent="0.25">
      <c r="A25193"/>
      <c r="B25193"/>
    </row>
    <row r="25194" spans="1:2" x14ac:dyDescent="0.25">
      <c r="A25194"/>
      <c r="B25194"/>
    </row>
    <row r="25195" spans="1:2" x14ac:dyDescent="0.25">
      <c r="A25195"/>
      <c r="B25195"/>
    </row>
    <row r="25196" spans="1:2" x14ac:dyDescent="0.25">
      <c r="A25196"/>
      <c r="B25196"/>
    </row>
    <row r="25197" spans="1:2" x14ac:dyDescent="0.25">
      <c r="A25197"/>
      <c r="B25197"/>
    </row>
    <row r="25198" spans="1:2" x14ac:dyDescent="0.25">
      <c r="A25198"/>
      <c r="B25198"/>
    </row>
    <row r="25199" spans="1:2" x14ac:dyDescent="0.25">
      <c r="A25199"/>
      <c r="B25199"/>
    </row>
    <row r="25200" spans="1:2" x14ac:dyDescent="0.25">
      <c r="A25200"/>
      <c r="B25200"/>
    </row>
    <row r="25201" spans="1:2" x14ac:dyDescent="0.25">
      <c r="A25201"/>
      <c r="B25201"/>
    </row>
    <row r="25202" spans="1:2" x14ac:dyDescent="0.25">
      <c r="A25202"/>
      <c r="B25202"/>
    </row>
    <row r="25203" spans="1:2" x14ac:dyDescent="0.25">
      <c r="A25203"/>
      <c r="B25203"/>
    </row>
    <row r="25204" spans="1:2" x14ac:dyDescent="0.25">
      <c r="A25204"/>
      <c r="B25204"/>
    </row>
    <row r="25205" spans="1:2" x14ac:dyDescent="0.25">
      <c r="A25205"/>
      <c r="B25205"/>
    </row>
    <row r="25206" spans="1:2" x14ac:dyDescent="0.25">
      <c r="A25206"/>
      <c r="B25206"/>
    </row>
    <row r="25207" spans="1:2" x14ac:dyDescent="0.25">
      <c r="A25207"/>
      <c r="B25207"/>
    </row>
    <row r="25208" spans="1:2" x14ac:dyDescent="0.25">
      <c r="A25208"/>
      <c r="B25208"/>
    </row>
    <row r="25209" spans="1:2" x14ac:dyDescent="0.25">
      <c r="A25209"/>
      <c r="B25209"/>
    </row>
    <row r="25210" spans="1:2" x14ac:dyDescent="0.25">
      <c r="A25210"/>
      <c r="B25210"/>
    </row>
    <row r="25211" spans="1:2" x14ac:dyDescent="0.25">
      <c r="A25211"/>
      <c r="B25211"/>
    </row>
    <row r="25212" spans="1:2" x14ac:dyDescent="0.25">
      <c r="A25212"/>
      <c r="B25212"/>
    </row>
    <row r="25213" spans="1:2" x14ac:dyDescent="0.25">
      <c r="A25213"/>
      <c r="B25213"/>
    </row>
    <row r="25214" spans="1:2" x14ac:dyDescent="0.25">
      <c r="A25214"/>
      <c r="B25214"/>
    </row>
    <row r="25215" spans="1:2" x14ac:dyDescent="0.25">
      <c r="A25215"/>
      <c r="B25215"/>
    </row>
    <row r="25216" spans="1:2" x14ac:dyDescent="0.25">
      <c r="A25216"/>
      <c r="B25216"/>
    </row>
    <row r="25217" spans="1:2" x14ac:dyDescent="0.25">
      <c r="A25217"/>
      <c r="B25217"/>
    </row>
    <row r="25218" spans="1:2" x14ac:dyDescent="0.25">
      <c r="A25218"/>
      <c r="B25218"/>
    </row>
    <row r="25219" spans="1:2" x14ac:dyDescent="0.25">
      <c r="A25219"/>
      <c r="B25219"/>
    </row>
    <row r="25220" spans="1:2" x14ac:dyDescent="0.25">
      <c r="A25220"/>
      <c r="B25220"/>
    </row>
    <row r="25221" spans="1:2" x14ac:dyDescent="0.25">
      <c r="A25221"/>
      <c r="B25221"/>
    </row>
    <row r="25222" spans="1:2" x14ac:dyDescent="0.25">
      <c r="A25222"/>
      <c r="B25222"/>
    </row>
    <row r="25223" spans="1:2" x14ac:dyDescent="0.25">
      <c r="A25223"/>
      <c r="B25223"/>
    </row>
    <row r="25224" spans="1:2" x14ac:dyDescent="0.25">
      <c r="A25224"/>
      <c r="B25224"/>
    </row>
    <row r="25225" spans="1:2" x14ac:dyDescent="0.25">
      <c r="A25225"/>
      <c r="B25225"/>
    </row>
    <row r="25226" spans="1:2" x14ac:dyDescent="0.25">
      <c r="A25226"/>
      <c r="B25226"/>
    </row>
    <row r="25227" spans="1:2" x14ac:dyDescent="0.25">
      <c r="A25227"/>
      <c r="B25227"/>
    </row>
    <row r="25228" spans="1:2" x14ac:dyDescent="0.25">
      <c r="A25228"/>
      <c r="B25228"/>
    </row>
    <row r="25229" spans="1:2" x14ac:dyDescent="0.25">
      <c r="A25229"/>
      <c r="B25229"/>
    </row>
    <row r="25230" spans="1:2" x14ac:dyDescent="0.25">
      <c r="A25230"/>
      <c r="B25230"/>
    </row>
    <row r="25231" spans="1:2" x14ac:dyDescent="0.25">
      <c r="A25231"/>
      <c r="B25231"/>
    </row>
    <row r="25232" spans="1:2" x14ac:dyDescent="0.25">
      <c r="A25232"/>
      <c r="B25232"/>
    </row>
    <row r="25233" spans="1:2" x14ac:dyDescent="0.25">
      <c r="A25233"/>
      <c r="B25233"/>
    </row>
    <row r="25234" spans="1:2" x14ac:dyDescent="0.25">
      <c r="A25234"/>
      <c r="B25234"/>
    </row>
    <row r="25235" spans="1:2" x14ac:dyDescent="0.25">
      <c r="A25235"/>
      <c r="B25235"/>
    </row>
    <row r="25236" spans="1:2" x14ac:dyDescent="0.25">
      <c r="A25236"/>
      <c r="B25236"/>
    </row>
    <row r="25237" spans="1:2" x14ac:dyDescent="0.25">
      <c r="A25237"/>
      <c r="B25237"/>
    </row>
    <row r="25238" spans="1:2" x14ac:dyDescent="0.25">
      <c r="A25238"/>
      <c r="B25238"/>
    </row>
    <row r="25239" spans="1:2" x14ac:dyDescent="0.25">
      <c r="A25239"/>
      <c r="B25239"/>
    </row>
    <row r="25240" spans="1:2" x14ac:dyDescent="0.25">
      <c r="A25240"/>
      <c r="B25240"/>
    </row>
    <row r="25241" spans="1:2" x14ac:dyDescent="0.25">
      <c r="A25241"/>
      <c r="B25241"/>
    </row>
    <row r="25242" spans="1:2" x14ac:dyDescent="0.25">
      <c r="A25242"/>
      <c r="B25242"/>
    </row>
    <row r="25243" spans="1:2" x14ac:dyDescent="0.25">
      <c r="A25243"/>
      <c r="B25243"/>
    </row>
    <row r="25244" spans="1:2" x14ac:dyDescent="0.25">
      <c r="A25244"/>
      <c r="B25244"/>
    </row>
    <row r="25245" spans="1:2" x14ac:dyDescent="0.25">
      <c r="A25245"/>
      <c r="B25245"/>
    </row>
    <row r="25246" spans="1:2" x14ac:dyDescent="0.25">
      <c r="A25246"/>
      <c r="B25246"/>
    </row>
    <row r="25247" spans="1:2" x14ac:dyDescent="0.25">
      <c r="A25247"/>
      <c r="B25247"/>
    </row>
    <row r="25248" spans="1:2" x14ac:dyDescent="0.25">
      <c r="A25248"/>
      <c r="B25248"/>
    </row>
    <row r="25249" spans="1:2" x14ac:dyDescent="0.25">
      <c r="A25249"/>
      <c r="B25249"/>
    </row>
    <row r="25250" spans="1:2" x14ac:dyDescent="0.25">
      <c r="A25250"/>
      <c r="B25250"/>
    </row>
    <row r="25251" spans="1:2" x14ac:dyDescent="0.25">
      <c r="A25251"/>
      <c r="B25251"/>
    </row>
    <row r="25252" spans="1:2" x14ac:dyDescent="0.25">
      <c r="A25252"/>
      <c r="B25252"/>
    </row>
    <row r="25253" spans="1:2" x14ac:dyDescent="0.25">
      <c r="A25253"/>
      <c r="B25253"/>
    </row>
    <row r="25254" spans="1:2" x14ac:dyDescent="0.25">
      <c r="A25254"/>
      <c r="B25254"/>
    </row>
    <row r="25255" spans="1:2" x14ac:dyDescent="0.25">
      <c r="A25255"/>
      <c r="B25255"/>
    </row>
    <row r="25256" spans="1:2" x14ac:dyDescent="0.25">
      <c r="A25256"/>
      <c r="B25256"/>
    </row>
    <row r="25257" spans="1:2" x14ac:dyDescent="0.25">
      <c r="A25257"/>
      <c r="B25257"/>
    </row>
    <row r="25258" spans="1:2" x14ac:dyDescent="0.25">
      <c r="A25258"/>
      <c r="B25258"/>
    </row>
    <row r="25259" spans="1:2" x14ac:dyDescent="0.25">
      <c r="A25259"/>
      <c r="B25259"/>
    </row>
    <row r="25260" spans="1:2" x14ac:dyDescent="0.25">
      <c r="A25260"/>
      <c r="B25260"/>
    </row>
    <row r="25261" spans="1:2" x14ac:dyDescent="0.25">
      <c r="A25261"/>
      <c r="B25261"/>
    </row>
    <row r="25262" spans="1:2" x14ac:dyDescent="0.25">
      <c r="A25262"/>
      <c r="B25262"/>
    </row>
    <row r="25263" spans="1:2" x14ac:dyDescent="0.25">
      <c r="A25263"/>
      <c r="B25263"/>
    </row>
    <row r="25264" spans="1:2" x14ac:dyDescent="0.25">
      <c r="A25264"/>
      <c r="B25264"/>
    </row>
    <row r="25265" spans="1:2" x14ac:dyDescent="0.25">
      <c r="A25265"/>
      <c r="B25265"/>
    </row>
    <row r="25266" spans="1:2" x14ac:dyDescent="0.25">
      <c r="A25266"/>
      <c r="B25266"/>
    </row>
    <row r="25267" spans="1:2" x14ac:dyDescent="0.25">
      <c r="A25267"/>
      <c r="B25267"/>
    </row>
    <row r="25268" spans="1:2" x14ac:dyDescent="0.25">
      <c r="A25268"/>
      <c r="B25268"/>
    </row>
    <row r="25269" spans="1:2" x14ac:dyDescent="0.25">
      <c r="A25269"/>
      <c r="B25269"/>
    </row>
    <row r="25270" spans="1:2" x14ac:dyDescent="0.25">
      <c r="A25270"/>
      <c r="B25270"/>
    </row>
    <row r="25271" spans="1:2" x14ac:dyDescent="0.25">
      <c r="A25271"/>
      <c r="B25271"/>
    </row>
    <row r="25272" spans="1:2" x14ac:dyDescent="0.25">
      <c r="A25272"/>
      <c r="B25272"/>
    </row>
    <row r="25273" spans="1:2" x14ac:dyDescent="0.25">
      <c r="A25273"/>
      <c r="B25273"/>
    </row>
    <row r="25274" spans="1:2" x14ac:dyDescent="0.25">
      <c r="A25274"/>
      <c r="B25274"/>
    </row>
    <row r="25275" spans="1:2" x14ac:dyDescent="0.25">
      <c r="A25275"/>
      <c r="B25275"/>
    </row>
    <row r="25276" spans="1:2" x14ac:dyDescent="0.25">
      <c r="A25276"/>
      <c r="B25276"/>
    </row>
    <row r="25277" spans="1:2" x14ac:dyDescent="0.25">
      <c r="A25277"/>
      <c r="B25277"/>
    </row>
    <row r="25278" spans="1:2" x14ac:dyDescent="0.25">
      <c r="A25278"/>
      <c r="B25278"/>
    </row>
    <row r="25279" spans="1:2" x14ac:dyDescent="0.25">
      <c r="A25279"/>
      <c r="B25279"/>
    </row>
    <row r="25280" spans="1:2" x14ac:dyDescent="0.25">
      <c r="A25280"/>
      <c r="B25280"/>
    </row>
    <row r="25281" spans="1:2" x14ac:dyDescent="0.25">
      <c r="A25281"/>
      <c r="B25281"/>
    </row>
    <row r="25282" spans="1:2" x14ac:dyDescent="0.25">
      <c r="A25282"/>
      <c r="B25282"/>
    </row>
    <row r="25283" spans="1:2" x14ac:dyDescent="0.25">
      <c r="A25283"/>
      <c r="B25283"/>
    </row>
    <row r="25284" spans="1:2" x14ac:dyDescent="0.25">
      <c r="A25284"/>
      <c r="B25284"/>
    </row>
    <row r="25285" spans="1:2" x14ac:dyDescent="0.25">
      <c r="A25285"/>
      <c r="B25285"/>
    </row>
    <row r="25286" spans="1:2" x14ac:dyDescent="0.25">
      <c r="A25286"/>
      <c r="B25286"/>
    </row>
    <row r="25287" spans="1:2" x14ac:dyDescent="0.25">
      <c r="A25287"/>
      <c r="B25287"/>
    </row>
    <row r="25288" spans="1:2" x14ac:dyDescent="0.25">
      <c r="A25288"/>
      <c r="B25288"/>
    </row>
    <row r="25289" spans="1:2" x14ac:dyDescent="0.25">
      <c r="A25289"/>
      <c r="B25289"/>
    </row>
    <row r="25290" spans="1:2" x14ac:dyDescent="0.25">
      <c r="A25290"/>
      <c r="B25290"/>
    </row>
    <row r="25291" spans="1:2" x14ac:dyDescent="0.25">
      <c r="A25291"/>
      <c r="B25291"/>
    </row>
    <row r="25292" spans="1:2" x14ac:dyDescent="0.25">
      <c r="A25292"/>
      <c r="B25292"/>
    </row>
    <row r="25293" spans="1:2" x14ac:dyDescent="0.25">
      <c r="A25293"/>
      <c r="B25293"/>
    </row>
    <row r="25294" spans="1:2" x14ac:dyDescent="0.25">
      <c r="A25294"/>
      <c r="B25294"/>
    </row>
    <row r="25295" spans="1:2" x14ac:dyDescent="0.25">
      <c r="A25295"/>
      <c r="B25295"/>
    </row>
    <row r="25296" spans="1:2" x14ac:dyDescent="0.25">
      <c r="A25296"/>
      <c r="B25296"/>
    </row>
    <row r="25297" spans="1:2" x14ac:dyDescent="0.25">
      <c r="A25297"/>
      <c r="B25297"/>
    </row>
    <row r="25298" spans="1:2" x14ac:dyDescent="0.25">
      <c r="A25298"/>
      <c r="B25298"/>
    </row>
    <row r="25299" spans="1:2" x14ac:dyDescent="0.25">
      <c r="A25299"/>
      <c r="B25299"/>
    </row>
    <row r="25300" spans="1:2" x14ac:dyDescent="0.25">
      <c r="A25300"/>
      <c r="B25300"/>
    </row>
    <row r="25301" spans="1:2" x14ac:dyDescent="0.25">
      <c r="A25301"/>
      <c r="B25301"/>
    </row>
    <row r="25302" spans="1:2" x14ac:dyDescent="0.25">
      <c r="A25302"/>
      <c r="B25302"/>
    </row>
    <row r="25303" spans="1:2" x14ac:dyDescent="0.25">
      <c r="A25303"/>
      <c r="B25303"/>
    </row>
    <row r="25304" spans="1:2" x14ac:dyDescent="0.25">
      <c r="A25304"/>
      <c r="B25304"/>
    </row>
    <row r="25305" spans="1:2" x14ac:dyDescent="0.25">
      <c r="A25305"/>
      <c r="B25305"/>
    </row>
    <row r="25306" spans="1:2" x14ac:dyDescent="0.25">
      <c r="A25306"/>
      <c r="B25306"/>
    </row>
    <row r="25307" spans="1:2" x14ac:dyDescent="0.25">
      <c r="A25307"/>
      <c r="B25307"/>
    </row>
    <row r="25308" spans="1:2" x14ac:dyDescent="0.25">
      <c r="A25308"/>
      <c r="B25308"/>
    </row>
    <row r="25309" spans="1:2" x14ac:dyDescent="0.25">
      <c r="A25309"/>
      <c r="B25309"/>
    </row>
    <row r="25310" spans="1:2" x14ac:dyDescent="0.25">
      <c r="A25310"/>
      <c r="B25310"/>
    </row>
    <row r="25311" spans="1:2" x14ac:dyDescent="0.25">
      <c r="A25311"/>
      <c r="B25311"/>
    </row>
    <row r="25312" spans="1:2" x14ac:dyDescent="0.25">
      <c r="A25312"/>
      <c r="B25312"/>
    </row>
    <row r="25313" spans="1:2" x14ac:dyDescent="0.25">
      <c r="A25313"/>
      <c r="B25313"/>
    </row>
    <row r="25314" spans="1:2" x14ac:dyDescent="0.25">
      <c r="A25314"/>
      <c r="B25314"/>
    </row>
    <row r="25315" spans="1:2" x14ac:dyDescent="0.25">
      <c r="A25315"/>
      <c r="B25315"/>
    </row>
    <row r="25316" spans="1:2" x14ac:dyDescent="0.25">
      <c r="A25316"/>
      <c r="B25316"/>
    </row>
    <row r="25317" spans="1:2" x14ac:dyDescent="0.25">
      <c r="A25317"/>
      <c r="B25317"/>
    </row>
    <row r="25318" spans="1:2" x14ac:dyDescent="0.25">
      <c r="A25318"/>
      <c r="B25318"/>
    </row>
    <row r="25319" spans="1:2" x14ac:dyDescent="0.25">
      <c r="A25319"/>
      <c r="B25319"/>
    </row>
    <row r="25320" spans="1:2" x14ac:dyDescent="0.25">
      <c r="A25320"/>
      <c r="B25320"/>
    </row>
    <row r="25321" spans="1:2" x14ac:dyDescent="0.25">
      <c r="A25321"/>
      <c r="B25321"/>
    </row>
    <row r="25322" spans="1:2" x14ac:dyDescent="0.25">
      <c r="A25322"/>
      <c r="B25322"/>
    </row>
    <row r="25323" spans="1:2" x14ac:dyDescent="0.25">
      <c r="A25323"/>
      <c r="B25323"/>
    </row>
    <row r="25324" spans="1:2" x14ac:dyDescent="0.25">
      <c r="A25324"/>
      <c r="B25324"/>
    </row>
    <row r="25325" spans="1:2" x14ac:dyDescent="0.25">
      <c r="A25325"/>
      <c r="B25325"/>
    </row>
    <row r="25326" spans="1:2" x14ac:dyDescent="0.25">
      <c r="A25326"/>
      <c r="B25326"/>
    </row>
    <row r="25327" spans="1:2" x14ac:dyDescent="0.25">
      <c r="A25327"/>
      <c r="B25327"/>
    </row>
    <row r="25328" spans="1:2" x14ac:dyDescent="0.25">
      <c r="A25328"/>
      <c r="B25328"/>
    </row>
    <row r="25329" spans="1:2" x14ac:dyDescent="0.25">
      <c r="A25329"/>
      <c r="B25329"/>
    </row>
    <row r="25330" spans="1:2" x14ac:dyDescent="0.25">
      <c r="A25330"/>
      <c r="B25330"/>
    </row>
    <row r="25331" spans="1:2" x14ac:dyDescent="0.25">
      <c r="A25331"/>
      <c r="B25331"/>
    </row>
    <row r="25332" spans="1:2" x14ac:dyDescent="0.25">
      <c r="A25332"/>
      <c r="B25332"/>
    </row>
    <row r="25333" spans="1:2" x14ac:dyDescent="0.25">
      <c r="A25333"/>
      <c r="B25333"/>
    </row>
    <row r="25334" spans="1:2" x14ac:dyDescent="0.25">
      <c r="A25334"/>
      <c r="B25334"/>
    </row>
    <row r="25335" spans="1:2" x14ac:dyDescent="0.25">
      <c r="A25335"/>
      <c r="B25335"/>
    </row>
    <row r="25336" spans="1:2" x14ac:dyDescent="0.25">
      <c r="A25336"/>
      <c r="B25336"/>
    </row>
    <row r="25337" spans="1:2" x14ac:dyDescent="0.25">
      <c r="A25337"/>
      <c r="B25337"/>
    </row>
    <row r="25338" spans="1:2" x14ac:dyDescent="0.25">
      <c r="A25338"/>
      <c r="B25338"/>
    </row>
    <row r="25339" spans="1:2" x14ac:dyDescent="0.25">
      <c r="A25339"/>
      <c r="B25339"/>
    </row>
    <row r="25340" spans="1:2" x14ac:dyDescent="0.25">
      <c r="A25340"/>
      <c r="B25340"/>
    </row>
    <row r="25341" spans="1:2" x14ac:dyDescent="0.25">
      <c r="A25341"/>
      <c r="B25341"/>
    </row>
    <row r="25342" spans="1:2" x14ac:dyDescent="0.25">
      <c r="A25342"/>
      <c r="B25342"/>
    </row>
    <row r="25343" spans="1:2" x14ac:dyDescent="0.25">
      <c r="A25343"/>
      <c r="B25343"/>
    </row>
    <row r="25344" spans="1:2" x14ac:dyDescent="0.25">
      <c r="A25344"/>
      <c r="B25344"/>
    </row>
    <row r="25345" spans="1:2" x14ac:dyDescent="0.25">
      <c r="A25345"/>
      <c r="B25345"/>
    </row>
    <row r="25346" spans="1:2" x14ac:dyDescent="0.25">
      <c r="A25346"/>
      <c r="B25346"/>
    </row>
    <row r="25347" spans="1:2" x14ac:dyDescent="0.25">
      <c r="A25347"/>
      <c r="B25347"/>
    </row>
    <row r="25348" spans="1:2" x14ac:dyDescent="0.25">
      <c r="A25348"/>
      <c r="B25348"/>
    </row>
    <row r="25349" spans="1:2" x14ac:dyDescent="0.25">
      <c r="A25349"/>
      <c r="B25349"/>
    </row>
    <row r="25350" spans="1:2" x14ac:dyDescent="0.25">
      <c r="A25350"/>
      <c r="B25350"/>
    </row>
    <row r="25351" spans="1:2" x14ac:dyDescent="0.25">
      <c r="A25351"/>
      <c r="B25351"/>
    </row>
    <row r="25352" spans="1:2" x14ac:dyDescent="0.25">
      <c r="A25352"/>
      <c r="B25352"/>
    </row>
    <row r="25353" spans="1:2" x14ac:dyDescent="0.25">
      <c r="A25353"/>
      <c r="B25353"/>
    </row>
    <row r="25354" spans="1:2" x14ac:dyDescent="0.25">
      <c r="A25354"/>
      <c r="B25354"/>
    </row>
    <row r="25355" spans="1:2" x14ac:dyDescent="0.25">
      <c r="A25355"/>
      <c r="B25355"/>
    </row>
    <row r="25356" spans="1:2" x14ac:dyDescent="0.25">
      <c r="A25356"/>
      <c r="B25356"/>
    </row>
    <row r="25357" spans="1:2" x14ac:dyDescent="0.25">
      <c r="A25357"/>
      <c r="B25357"/>
    </row>
    <row r="25358" spans="1:2" x14ac:dyDescent="0.25">
      <c r="A25358"/>
      <c r="B25358"/>
    </row>
    <row r="25359" spans="1:2" x14ac:dyDescent="0.25">
      <c r="A25359"/>
      <c r="B25359"/>
    </row>
    <row r="25360" spans="1:2" x14ac:dyDescent="0.25">
      <c r="A25360"/>
      <c r="B25360"/>
    </row>
    <row r="25361" spans="1:2" x14ac:dyDescent="0.25">
      <c r="A25361"/>
      <c r="B25361"/>
    </row>
    <row r="25362" spans="1:2" x14ac:dyDescent="0.25">
      <c r="A25362"/>
      <c r="B25362"/>
    </row>
    <row r="25363" spans="1:2" x14ac:dyDescent="0.25">
      <c r="A25363"/>
      <c r="B25363"/>
    </row>
    <row r="25364" spans="1:2" x14ac:dyDescent="0.25">
      <c r="A25364"/>
      <c r="B25364"/>
    </row>
    <row r="25365" spans="1:2" x14ac:dyDescent="0.25">
      <c r="A25365"/>
      <c r="B25365"/>
    </row>
    <row r="25366" spans="1:2" x14ac:dyDescent="0.25">
      <c r="A25366"/>
      <c r="B25366"/>
    </row>
    <row r="25367" spans="1:2" x14ac:dyDescent="0.25">
      <c r="A25367"/>
      <c r="B25367"/>
    </row>
    <row r="25368" spans="1:2" x14ac:dyDescent="0.25">
      <c r="A25368"/>
      <c r="B25368"/>
    </row>
    <row r="25369" spans="1:2" x14ac:dyDescent="0.25">
      <c r="A25369"/>
      <c r="B25369"/>
    </row>
    <row r="25370" spans="1:2" x14ac:dyDescent="0.25">
      <c r="A25370"/>
      <c r="B25370"/>
    </row>
    <row r="25371" spans="1:2" x14ac:dyDescent="0.25">
      <c r="A25371"/>
      <c r="B25371"/>
    </row>
    <row r="25372" spans="1:2" x14ac:dyDescent="0.25">
      <c r="A25372"/>
      <c r="B25372"/>
    </row>
    <row r="25373" spans="1:2" x14ac:dyDescent="0.25">
      <c r="A25373"/>
      <c r="B25373"/>
    </row>
    <row r="25374" spans="1:2" x14ac:dyDescent="0.25">
      <c r="A25374"/>
      <c r="B25374"/>
    </row>
    <row r="25375" spans="1:2" x14ac:dyDescent="0.25">
      <c r="A25375"/>
      <c r="B25375"/>
    </row>
    <row r="25376" spans="1:2" x14ac:dyDescent="0.25">
      <c r="A25376"/>
      <c r="B25376"/>
    </row>
    <row r="25377" spans="1:2" x14ac:dyDescent="0.25">
      <c r="A25377"/>
      <c r="B25377"/>
    </row>
    <row r="25378" spans="1:2" x14ac:dyDescent="0.25">
      <c r="A25378"/>
      <c r="B25378"/>
    </row>
    <row r="25379" spans="1:2" x14ac:dyDescent="0.25">
      <c r="A25379"/>
      <c r="B25379"/>
    </row>
    <row r="25380" spans="1:2" x14ac:dyDescent="0.25">
      <c r="A25380"/>
      <c r="B25380"/>
    </row>
    <row r="25381" spans="1:2" x14ac:dyDescent="0.25">
      <c r="A25381"/>
      <c r="B25381"/>
    </row>
    <row r="25382" spans="1:2" x14ac:dyDescent="0.25">
      <c r="A25382"/>
      <c r="B25382"/>
    </row>
    <row r="25383" spans="1:2" x14ac:dyDescent="0.25">
      <c r="A25383"/>
      <c r="B25383"/>
    </row>
    <row r="25384" spans="1:2" x14ac:dyDescent="0.25">
      <c r="A25384"/>
      <c r="B25384"/>
    </row>
    <row r="25385" spans="1:2" x14ac:dyDescent="0.25">
      <c r="A25385"/>
      <c r="B25385"/>
    </row>
    <row r="25386" spans="1:2" x14ac:dyDescent="0.25">
      <c r="A25386"/>
      <c r="B25386"/>
    </row>
    <row r="25387" spans="1:2" x14ac:dyDescent="0.25">
      <c r="A25387"/>
      <c r="B25387"/>
    </row>
    <row r="25388" spans="1:2" x14ac:dyDescent="0.25">
      <c r="A25388"/>
      <c r="B25388"/>
    </row>
    <row r="25389" spans="1:2" x14ac:dyDescent="0.25">
      <c r="A25389"/>
      <c r="B25389"/>
    </row>
    <row r="25390" spans="1:2" x14ac:dyDescent="0.25">
      <c r="A25390"/>
      <c r="B25390"/>
    </row>
    <row r="25391" spans="1:2" x14ac:dyDescent="0.25">
      <c r="A25391"/>
      <c r="B25391"/>
    </row>
    <row r="25392" spans="1:2" x14ac:dyDescent="0.25">
      <c r="A25392"/>
      <c r="B25392"/>
    </row>
    <row r="25393" spans="1:2" x14ac:dyDescent="0.25">
      <c r="A25393"/>
      <c r="B25393"/>
    </row>
    <row r="25394" spans="1:2" x14ac:dyDescent="0.25">
      <c r="A25394"/>
      <c r="B25394"/>
    </row>
    <row r="25395" spans="1:2" x14ac:dyDescent="0.25">
      <c r="A25395"/>
      <c r="B25395"/>
    </row>
    <row r="25396" spans="1:2" x14ac:dyDescent="0.25">
      <c r="A25396"/>
      <c r="B25396"/>
    </row>
    <row r="25397" spans="1:2" x14ac:dyDescent="0.25">
      <c r="A25397"/>
      <c r="B25397"/>
    </row>
    <row r="25398" spans="1:2" x14ac:dyDescent="0.25">
      <c r="A25398"/>
      <c r="B25398"/>
    </row>
    <row r="25399" spans="1:2" x14ac:dyDescent="0.25">
      <c r="A25399"/>
      <c r="B25399"/>
    </row>
    <row r="25400" spans="1:2" x14ac:dyDescent="0.25">
      <c r="A25400"/>
      <c r="B25400"/>
    </row>
    <row r="25401" spans="1:2" x14ac:dyDescent="0.25">
      <c r="A25401"/>
      <c r="B25401"/>
    </row>
    <row r="25402" spans="1:2" x14ac:dyDescent="0.25">
      <c r="A25402"/>
      <c r="B25402"/>
    </row>
    <row r="25403" spans="1:2" x14ac:dyDescent="0.25">
      <c r="A25403"/>
      <c r="B25403"/>
    </row>
    <row r="25404" spans="1:2" x14ac:dyDescent="0.25">
      <c r="A25404"/>
      <c r="B25404"/>
    </row>
    <row r="25405" spans="1:2" x14ac:dyDescent="0.25">
      <c r="A25405"/>
      <c r="B25405"/>
    </row>
    <row r="25406" spans="1:2" x14ac:dyDescent="0.25">
      <c r="A25406"/>
      <c r="B25406"/>
    </row>
    <row r="25407" spans="1:2" x14ac:dyDescent="0.25">
      <c r="A25407"/>
      <c r="B25407"/>
    </row>
    <row r="25408" spans="1:2" x14ac:dyDescent="0.25">
      <c r="A25408"/>
      <c r="B25408"/>
    </row>
    <row r="25409" spans="1:2" x14ac:dyDescent="0.25">
      <c r="A25409"/>
      <c r="B25409"/>
    </row>
    <row r="25410" spans="1:2" x14ac:dyDescent="0.25">
      <c r="A25410"/>
      <c r="B25410"/>
    </row>
    <row r="25411" spans="1:2" x14ac:dyDescent="0.25">
      <c r="A25411"/>
      <c r="B25411"/>
    </row>
    <row r="25412" spans="1:2" x14ac:dyDescent="0.25">
      <c r="A25412"/>
      <c r="B25412"/>
    </row>
    <row r="25413" spans="1:2" x14ac:dyDescent="0.25">
      <c r="A25413"/>
      <c r="B25413"/>
    </row>
    <row r="25414" spans="1:2" x14ac:dyDescent="0.25">
      <c r="A25414"/>
      <c r="B25414"/>
    </row>
    <row r="25415" spans="1:2" x14ac:dyDescent="0.25">
      <c r="A25415"/>
      <c r="B25415"/>
    </row>
    <row r="25416" spans="1:2" x14ac:dyDescent="0.25">
      <c r="A25416"/>
      <c r="B25416"/>
    </row>
    <row r="25417" spans="1:2" x14ac:dyDescent="0.25">
      <c r="A25417"/>
      <c r="B25417"/>
    </row>
    <row r="25418" spans="1:2" x14ac:dyDescent="0.25">
      <c r="A25418"/>
      <c r="B25418"/>
    </row>
    <row r="25419" spans="1:2" x14ac:dyDescent="0.25">
      <c r="A25419"/>
      <c r="B25419"/>
    </row>
    <row r="25420" spans="1:2" x14ac:dyDescent="0.25">
      <c r="A25420"/>
      <c r="B25420"/>
    </row>
    <row r="25421" spans="1:2" x14ac:dyDescent="0.25">
      <c r="A25421"/>
      <c r="B25421"/>
    </row>
    <row r="25422" spans="1:2" x14ac:dyDescent="0.25">
      <c r="A25422"/>
      <c r="B25422"/>
    </row>
    <row r="25423" spans="1:2" x14ac:dyDescent="0.25">
      <c r="A25423"/>
      <c r="B25423"/>
    </row>
    <row r="25424" spans="1:2" x14ac:dyDescent="0.25">
      <c r="A25424"/>
      <c r="B25424"/>
    </row>
    <row r="25425" spans="1:2" x14ac:dyDescent="0.25">
      <c r="A25425"/>
      <c r="B25425"/>
    </row>
    <row r="25426" spans="1:2" x14ac:dyDescent="0.25">
      <c r="A25426"/>
      <c r="B25426"/>
    </row>
    <row r="25427" spans="1:2" x14ac:dyDescent="0.25">
      <c r="A25427"/>
      <c r="B25427"/>
    </row>
    <row r="25428" spans="1:2" x14ac:dyDescent="0.25">
      <c r="A25428"/>
      <c r="B25428"/>
    </row>
    <row r="25429" spans="1:2" x14ac:dyDescent="0.25">
      <c r="A25429"/>
      <c r="B25429"/>
    </row>
    <row r="25430" spans="1:2" x14ac:dyDescent="0.25">
      <c r="A25430"/>
      <c r="B25430"/>
    </row>
    <row r="25431" spans="1:2" x14ac:dyDescent="0.25">
      <c r="A25431"/>
      <c r="B25431"/>
    </row>
    <row r="25432" spans="1:2" x14ac:dyDescent="0.25">
      <c r="A25432"/>
      <c r="B25432"/>
    </row>
    <row r="25433" spans="1:2" x14ac:dyDescent="0.25">
      <c r="A25433"/>
      <c r="B25433"/>
    </row>
    <row r="25434" spans="1:2" x14ac:dyDescent="0.25">
      <c r="A25434"/>
      <c r="B25434"/>
    </row>
    <row r="25435" spans="1:2" x14ac:dyDescent="0.25">
      <c r="A25435"/>
      <c r="B25435"/>
    </row>
    <row r="25436" spans="1:2" x14ac:dyDescent="0.25">
      <c r="A25436"/>
      <c r="B25436"/>
    </row>
    <row r="25437" spans="1:2" x14ac:dyDescent="0.25">
      <c r="A25437"/>
      <c r="B25437"/>
    </row>
    <row r="25438" spans="1:2" x14ac:dyDescent="0.25">
      <c r="A25438"/>
      <c r="B25438"/>
    </row>
    <row r="25439" spans="1:2" x14ac:dyDescent="0.25">
      <c r="A25439"/>
      <c r="B25439"/>
    </row>
    <row r="25440" spans="1:2" x14ac:dyDescent="0.25">
      <c r="A25440"/>
      <c r="B25440"/>
    </row>
    <row r="25441" spans="1:2" x14ac:dyDescent="0.25">
      <c r="A25441"/>
      <c r="B25441"/>
    </row>
    <row r="25442" spans="1:2" x14ac:dyDescent="0.25">
      <c r="A25442"/>
      <c r="B25442"/>
    </row>
    <row r="25443" spans="1:2" x14ac:dyDescent="0.25">
      <c r="A25443"/>
      <c r="B25443"/>
    </row>
    <row r="25444" spans="1:2" x14ac:dyDescent="0.25">
      <c r="A25444"/>
      <c r="B25444"/>
    </row>
    <row r="25445" spans="1:2" x14ac:dyDescent="0.25">
      <c r="A25445"/>
      <c r="B25445"/>
    </row>
    <row r="25446" spans="1:2" x14ac:dyDescent="0.25">
      <c r="A25446"/>
      <c r="B25446"/>
    </row>
    <row r="25447" spans="1:2" x14ac:dyDescent="0.25">
      <c r="A25447"/>
      <c r="B25447"/>
    </row>
    <row r="25448" spans="1:2" x14ac:dyDescent="0.25">
      <c r="A25448"/>
      <c r="B25448"/>
    </row>
    <row r="25449" spans="1:2" x14ac:dyDescent="0.25">
      <c r="A25449"/>
      <c r="B25449"/>
    </row>
    <row r="25450" spans="1:2" x14ac:dyDescent="0.25">
      <c r="A25450"/>
      <c r="B25450"/>
    </row>
    <row r="25451" spans="1:2" x14ac:dyDescent="0.25">
      <c r="A25451"/>
      <c r="B25451"/>
    </row>
    <row r="25452" spans="1:2" x14ac:dyDescent="0.25">
      <c r="A25452"/>
      <c r="B25452"/>
    </row>
    <row r="25453" spans="1:2" x14ac:dyDescent="0.25">
      <c r="A25453"/>
      <c r="B25453"/>
    </row>
    <row r="25454" spans="1:2" x14ac:dyDescent="0.25">
      <c r="A25454"/>
      <c r="B25454"/>
    </row>
    <row r="25455" spans="1:2" x14ac:dyDescent="0.25">
      <c r="A25455"/>
      <c r="B25455"/>
    </row>
    <row r="25456" spans="1:2" x14ac:dyDescent="0.25">
      <c r="A25456"/>
      <c r="B25456"/>
    </row>
    <row r="25457" spans="1:2" x14ac:dyDescent="0.25">
      <c r="A25457"/>
      <c r="B25457"/>
    </row>
    <row r="25458" spans="1:2" x14ac:dyDescent="0.25">
      <c r="A25458"/>
      <c r="B25458"/>
    </row>
    <row r="25459" spans="1:2" x14ac:dyDescent="0.25">
      <c r="A25459"/>
      <c r="B25459"/>
    </row>
    <row r="25460" spans="1:2" x14ac:dyDescent="0.25">
      <c r="A25460"/>
      <c r="B25460"/>
    </row>
    <row r="25461" spans="1:2" x14ac:dyDescent="0.25">
      <c r="A25461"/>
      <c r="B25461"/>
    </row>
    <row r="25462" spans="1:2" x14ac:dyDescent="0.25">
      <c r="A25462"/>
      <c r="B25462"/>
    </row>
    <row r="25463" spans="1:2" x14ac:dyDescent="0.25">
      <c r="A25463"/>
      <c r="B25463"/>
    </row>
    <row r="25464" spans="1:2" x14ac:dyDescent="0.25">
      <c r="A25464"/>
      <c r="B25464"/>
    </row>
    <row r="25465" spans="1:2" x14ac:dyDescent="0.25">
      <c r="A25465"/>
      <c r="B25465"/>
    </row>
    <row r="25466" spans="1:2" x14ac:dyDescent="0.25">
      <c r="A25466"/>
      <c r="B25466"/>
    </row>
    <row r="25467" spans="1:2" x14ac:dyDescent="0.25">
      <c r="A25467"/>
      <c r="B25467"/>
    </row>
    <row r="25468" spans="1:2" x14ac:dyDescent="0.25">
      <c r="A25468"/>
      <c r="B25468"/>
    </row>
    <row r="25469" spans="1:2" x14ac:dyDescent="0.25">
      <c r="A25469"/>
      <c r="B25469"/>
    </row>
    <row r="25470" spans="1:2" x14ac:dyDescent="0.25">
      <c r="A25470"/>
      <c r="B25470"/>
    </row>
    <row r="25471" spans="1:2" x14ac:dyDescent="0.25">
      <c r="A25471"/>
      <c r="B25471"/>
    </row>
    <row r="25472" spans="1:2" x14ac:dyDescent="0.25">
      <c r="A25472"/>
      <c r="B25472"/>
    </row>
    <row r="25473" spans="1:2" x14ac:dyDescent="0.25">
      <c r="A25473"/>
      <c r="B25473"/>
    </row>
    <row r="25474" spans="1:2" x14ac:dyDescent="0.25">
      <c r="A25474"/>
      <c r="B25474"/>
    </row>
    <row r="25475" spans="1:2" x14ac:dyDescent="0.25">
      <c r="A25475"/>
      <c r="B25475"/>
    </row>
    <row r="25476" spans="1:2" x14ac:dyDescent="0.25">
      <c r="A25476"/>
      <c r="B25476"/>
    </row>
    <row r="25477" spans="1:2" x14ac:dyDescent="0.25">
      <c r="A25477"/>
      <c r="B25477"/>
    </row>
    <row r="25478" spans="1:2" x14ac:dyDescent="0.25">
      <c r="A25478"/>
      <c r="B25478"/>
    </row>
    <row r="25479" spans="1:2" x14ac:dyDescent="0.25">
      <c r="A25479"/>
      <c r="B25479"/>
    </row>
    <row r="25480" spans="1:2" x14ac:dyDescent="0.25">
      <c r="A25480"/>
      <c r="B25480"/>
    </row>
    <row r="25481" spans="1:2" x14ac:dyDescent="0.25">
      <c r="A25481"/>
      <c r="B25481"/>
    </row>
    <row r="25482" spans="1:2" x14ac:dyDescent="0.25">
      <c r="A25482"/>
      <c r="B25482"/>
    </row>
    <row r="25483" spans="1:2" x14ac:dyDescent="0.25">
      <c r="A25483"/>
      <c r="B25483"/>
    </row>
    <row r="25484" spans="1:2" x14ac:dyDescent="0.25">
      <c r="A25484"/>
      <c r="B25484"/>
    </row>
    <row r="25485" spans="1:2" x14ac:dyDescent="0.25">
      <c r="A25485"/>
      <c r="B25485"/>
    </row>
    <row r="25486" spans="1:2" x14ac:dyDescent="0.25">
      <c r="A25486"/>
      <c r="B25486"/>
    </row>
    <row r="25487" spans="1:2" x14ac:dyDescent="0.25">
      <c r="A25487"/>
      <c r="B25487"/>
    </row>
    <row r="25488" spans="1:2" x14ac:dyDescent="0.25">
      <c r="A25488"/>
      <c r="B25488"/>
    </row>
    <row r="25489" spans="1:2" x14ac:dyDescent="0.25">
      <c r="A25489"/>
      <c r="B25489"/>
    </row>
    <row r="25490" spans="1:2" x14ac:dyDescent="0.25">
      <c r="A25490"/>
      <c r="B25490"/>
    </row>
    <row r="25491" spans="1:2" x14ac:dyDescent="0.25">
      <c r="A25491"/>
      <c r="B25491"/>
    </row>
    <row r="25492" spans="1:2" x14ac:dyDescent="0.25">
      <c r="A25492"/>
      <c r="B25492"/>
    </row>
    <row r="25493" spans="1:2" x14ac:dyDescent="0.25">
      <c r="A25493"/>
      <c r="B25493"/>
    </row>
    <row r="25494" spans="1:2" x14ac:dyDescent="0.25">
      <c r="A25494"/>
      <c r="B25494"/>
    </row>
    <row r="25495" spans="1:2" x14ac:dyDescent="0.25">
      <c r="A25495"/>
      <c r="B25495"/>
    </row>
    <row r="25496" spans="1:2" x14ac:dyDescent="0.25">
      <c r="A25496"/>
      <c r="B25496"/>
    </row>
    <row r="25497" spans="1:2" x14ac:dyDescent="0.25">
      <c r="A25497"/>
      <c r="B25497"/>
    </row>
    <row r="25498" spans="1:2" x14ac:dyDescent="0.25">
      <c r="A25498"/>
      <c r="B25498"/>
    </row>
    <row r="25499" spans="1:2" x14ac:dyDescent="0.25">
      <c r="A25499"/>
      <c r="B25499"/>
    </row>
    <row r="25500" spans="1:2" x14ac:dyDescent="0.25">
      <c r="A25500"/>
      <c r="B25500"/>
    </row>
    <row r="25501" spans="1:2" x14ac:dyDescent="0.25">
      <c r="A25501"/>
      <c r="B25501"/>
    </row>
    <row r="25502" spans="1:2" x14ac:dyDescent="0.25">
      <c r="A25502"/>
      <c r="B25502"/>
    </row>
    <row r="25503" spans="1:2" x14ac:dyDescent="0.25">
      <c r="A25503"/>
      <c r="B25503"/>
    </row>
    <row r="25504" spans="1:2" x14ac:dyDescent="0.25">
      <c r="A25504"/>
      <c r="B25504"/>
    </row>
    <row r="25505" spans="1:2" x14ac:dyDescent="0.25">
      <c r="A25505"/>
      <c r="B25505"/>
    </row>
    <row r="25506" spans="1:2" x14ac:dyDescent="0.25">
      <c r="A25506"/>
      <c r="B25506"/>
    </row>
    <row r="25507" spans="1:2" x14ac:dyDescent="0.25">
      <c r="A25507"/>
      <c r="B25507"/>
    </row>
    <row r="25508" spans="1:2" x14ac:dyDescent="0.25">
      <c r="A25508"/>
      <c r="B25508"/>
    </row>
    <row r="25509" spans="1:2" x14ac:dyDescent="0.25">
      <c r="A25509"/>
      <c r="B25509"/>
    </row>
    <row r="25510" spans="1:2" x14ac:dyDescent="0.25">
      <c r="A25510"/>
      <c r="B25510"/>
    </row>
    <row r="25511" spans="1:2" x14ac:dyDescent="0.25">
      <c r="A25511"/>
      <c r="B25511"/>
    </row>
    <row r="25512" spans="1:2" x14ac:dyDescent="0.25">
      <c r="A25512"/>
      <c r="B25512"/>
    </row>
    <row r="25513" spans="1:2" x14ac:dyDescent="0.25">
      <c r="A25513"/>
      <c r="B25513"/>
    </row>
    <row r="25514" spans="1:2" x14ac:dyDescent="0.25">
      <c r="A25514"/>
      <c r="B25514"/>
    </row>
    <row r="25515" spans="1:2" x14ac:dyDescent="0.25">
      <c r="A25515"/>
      <c r="B25515"/>
    </row>
    <row r="25516" spans="1:2" x14ac:dyDescent="0.25">
      <c r="A25516"/>
      <c r="B25516"/>
    </row>
    <row r="25517" spans="1:2" x14ac:dyDescent="0.25">
      <c r="A25517"/>
      <c r="B25517"/>
    </row>
    <row r="25518" spans="1:2" x14ac:dyDescent="0.25">
      <c r="A25518"/>
      <c r="B25518"/>
    </row>
    <row r="25519" spans="1:2" x14ac:dyDescent="0.25">
      <c r="A25519"/>
      <c r="B25519"/>
    </row>
    <row r="25520" spans="1:2" x14ac:dyDescent="0.25">
      <c r="A25520"/>
      <c r="B25520"/>
    </row>
    <row r="25521" spans="1:2" x14ac:dyDescent="0.25">
      <c r="A25521"/>
      <c r="B25521"/>
    </row>
    <row r="25522" spans="1:2" x14ac:dyDescent="0.25">
      <c r="A25522"/>
      <c r="B25522"/>
    </row>
    <row r="25523" spans="1:2" x14ac:dyDescent="0.25">
      <c r="A25523"/>
      <c r="B25523"/>
    </row>
    <row r="25524" spans="1:2" x14ac:dyDescent="0.25">
      <c r="A25524"/>
      <c r="B25524"/>
    </row>
    <row r="25525" spans="1:2" x14ac:dyDescent="0.25">
      <c r="A25525"/>
      <c r="B25525"/>
    </row>
    <row r="25526" spans="1:2" x14ac:dyDescent="0.25">
      <c r="A25526"/>
      <c r="B25526"/>
    </row>
    <row r="25527" spans="1:2" x14ac:dyDescent="0.25">
      <c r="A25527"/>
      <c r="B25527"/>
    </row>
    <row r="25528" spans="1:2" x14ac:dyDescent="0.25">
      <c r="A25528"/>
      <c r="B25528"/>
    </row>
    <row r="25529" spans="1:2" x14ac:dyDescent="0.25">
      <c r="A25529"/>
      <c r="B25529"/>
    </row>
    <row r="25530" spans="1:2" x14ac:dyDescent="0.25">
      <c r="A25530"/>
      <c r="B25530"/>
    </row>
    <row r="25531" spans="1:2" x14ac:dyDescent="0.25">
      <c r="A25531"/>
      <c r="B25531"/>
    </row>
    <row r="25532" spans="1:2" x14ac:dyDescent="0.25">
      <c r="A25532"/>
      <c r="B25532"/>
    </row>
    <row r="25533" spans="1:2" x14ac:dyDescent="0.25">
      <c r="A25533"/>
      <c r="B25533"/>
    </row>
    <row r="25534" spans="1:2" x14ac:dyDescent="0.25">
      <c r="A25534"/>
      <c r="B25534"/>
    </row>
    <row r="25535" spans="1:2" x14ac:dyDescent="0.25">
      <c r="A25535"/>
      <c r="B25535"/>
    </row>
    <row r="25536" spans="1:2" x14ac:dyDescent="0.25">
      <c r="A25536"/>
      <c r="B25536"/>
    </row>
    <row r="25537" spans="1:2" x14ac:dyDescent="0.25">
      <c r="A25537"/>
      <c r="B25537"/>
    </row>
    <row r="25538" spans="1:2" x14ac:dyDescent="0.25">
      <c r="A25538"/>
      <c r="B25538"/>
    </row>
    <row r="25539" spans="1:2" x14ac:dyDescent="0.25">
      <c r="A25539"/>
      <c r="B25539"/>
    </row>
    <row r="25540" spans="1:2" x14ac:dyDescent="0.25">
      <c r="A25540"/>
      <c r="B25540"/>
    </row>
    <row r="25541" spans="1:2" x14ac:dyDescent="0.25">
      <c r="A25541"/>
      <c r="B25541"/>
    </row>
    <row r="25542" spans="1:2" x14ac:dyDescent="0.25">
      <c r="A25542"/>
      <c r="B25542"/>
    </row>
    <row r="25543" spans="1:2" x14ac:dyDescent="0.25">
      <c r="A25543"/>
      <c r="B25543"/>
    </row>
    <row r="25544" spans="1:2" x14ac:dyDescent="0.25">
      <c r="A25544"/>
      <c r="B25544"/>
    </row>
    <row r="25545" spans="1:2" x14ac:dyDescent="0.25">
      <c r="A25545"/>
      <c r="B25545"/>
    </row>
    <row r="25546" spans="1:2" x14ac:dyDescent="0.25">
      <c r="A25546"/>
      <c r="B25546"/>
    </row>
    <row r="25547" spans="1:2" x14ac:dyDescent="0.25">
      <c r="A25547"/>
      <c r="B25547"/>
    </row>
    <row r="25548" spans="1:2" x14ac:dyDescent="0.25">
      <c r="A25548"/>
      <c r="B25548"/>
    </row>
    <row r="25549" spans="1:2" x14ac:dyDescent="0.25">
      <c r="A25549"/>
      <c r="B25549"/>
    </row>
    <row r="25550" spans="1:2" x14ac:dyDescent="0.25">
      <c r="A25550"/>
      <c r="B25550"/>
    </row>
    <row r="25551" spans="1:2" x14ac:dyDescent="0.25">
      <c r="A25551"/>
      <c r="B25551"/>
    </row>
    <row r="25552" spans="1:2" x14ac:dyDescent="0.25">
      <c r="A25552"/>
      <c r="B25552"/>
    </row>
    <row r="25553" spans="1:2" x14ac:dyDescent="0.25">
      <c r="A25553"/>
      <c r="B25553"/>
    </row>
    <row r="25554" spans="1:2" x14ac:dyDescent="0.25">
      <c r="A25554"/>
      <c r="B25554"/>
    </row>
    <row r="25555" spans="1:2" x14ac:dyDescent="0.25">
      <c r="A25555"/>
      <c r="B25555"/>
    </row>
    <row r="25556" spans="1:2" x14ac:dyDescent="0.25">
      <c r="A25556"/>
      <c r="B25556"/>
    </row>
    <row r="25557" spans="1:2" x14ac:dyDescent="0.25">
      <c r="A25557"/>
      <c r="B25557"/>
    </row>
    <row r="25558" spans="1:2" x14ac:dyDescent="0.25">
      <c r="A25558"/>
      <c r="B25558"/>
    </row>
    <row r="25559" spans="1:2" x14ac:dyDescent="0.25">
      <c r="A25559"/>
      <c r="B25559"/>
    </row>
    <row r="25560" spans="1:2" x14ac:dyDescent="0.25">
      <c r="A25560"/>
      <c r="B25560"/>
    </row>
    <row r="25561" spans="1:2" x14ac:dyDescent="0.25">
      <c r="A25561"/>
      <c r="B25561"/>
    </row>
    <row r="25562" spans="1:2" x14ac:dyDescent="0.25">
      <c r="A25562"/>
      <c r="B25562"/>
    </row>
    <row r="25563" spans="1:2" x14ac:dyDescent="0.25">
      <c r="A25563"/>
      <c r="B25563"/>
    </row>
    <row r="25564" spans="1:2" x14ac:dyDescent="0.25">
      <c r="A25564"/>
      <c r="B25564"/>
    </row>
    <row r="25565" spans="1:2" x14ac:dyDescent="0.25">
      <c r="A25565"/>
      <c r="B25565"/>
    </row>
    <row r="25566" spans="1:2" x14ac:dyDescent="0.25">
      <c r="A25566"/>
      <c r="B25566"/>
    </row>
    <row r="25567" spans="1:2" x14ac:dyDescent="0.25">
      <c r="A25567"/>
      <c r="B25567"/>
    </row>
    <row r="25568" spans="1:2" x14ac:dyDescent="0.25">
      <c r="A25568"/>
      <c r="B25568"/>
    </row>
    <row r="25569" spans="1:2" x14ac:dyDescent="0.25">
      <c r="A25569"/>
      <c r="B25569"/>
    </row>
    <row r="25570" spans="1:2" x14ac:dyDescent="0.25">
      <c r="A25570"/>
      <c r="B25570"/>
    </row>
    <row r="25571" spans="1:2" x14ac:dyDescent="0.25">
      <c r="A25571"/>
      <c r="B25571"/>
    </row>
    <row r="25572" spans="1:2" x14ac:dyDescent="0.25">
      <c r="A25572"/>
      <c r="B25572"/>
    </row>
    <row r="25573" spans="1:2" x14ac:dyDescent="0.25">
      <c r="A25573"/>
      <c r="B25573"/>
    </row>
    <row r="25574" spans="1:2" x14ac:dyDescent="0.25">
      <c r="A25574"/>
      <c r="B25574"/>
    </row>
    <row r="25575" spans="1:2" x14ac:dyDescent="0.25">
      <c r="A25575"/>
      <c r="B25575"/>
    </row>
    <row r="25576" spans="1:2" x14ac:dyDescent="0.25">
      <c r="A25576"/>
      <c r="B25576"/>
    </row>
    <row r="25577" spans="1:2" x14ac:dyDescent="0.25">
      <c r="A25577"/>
      <c r="B25577"/>
    </row>
    <row r="25578" spans="1:2" x14ac:dyDescent="0.25">
      <c r="A25578"/>
      <c r="B25578"/>
    </row>
    <row r="25579" spans="1:2" x14ac:dyDescent="0.25">
      <c r="A25579"/>
      <c r="B25579"/>
    </row>
    <row r="25580" spans="1:2" x14ac:dyDescent="0.25">
      <c r="A25580"/>
      <c r="B25580"/>
    </row>
    <row r="25581" spans="1:2" x14ac:dyDescent="0.25">
      <c r="A25581"/>
      <c r="B25581"/>
    </row>
    <row r="25582" spans="1:2" x14ac:dyDescent="0.25">
      <c r="A25582"/>
      <c r="B25582"/>
    </row>
    <row r="25583" spans="1:2" x14ac:dyDescent="0.25">
      <c r="A25583"/>
      <c r="B25583"/>
    </row>
    <row r="25584" spans="1:2" x14ac:dyDescent="0.25">
      <c r="A25584"/>
      <c r="B25584"/>
    </row>
    <row r="25585" spans="1:2" x14ac:dyDescent="0.25">
      <c r="A25585"/>
      <c r="B25585"/>
    </row>
    <row r="25586" spans="1:2" x14ac:dyDescent="0.25">
      <c r="A25586"/>
      <c r="B25586"/>
    </row>
    <row r="25587" spans="1:2" x14ac:dyDescent="0.25">
      <c r="A25587"/>
      <c r="B25587"/>
    </row>
    <row r="25588" spans="1:2" x14ac:dyDescent="0.25">
      <c r="A25588"/>
      <c r="B25588"/>
    </row>
    <row r="25589" spans="1:2" x14ac:dyDescent="0.25">
      <c r="A25589"/>
      <c r="B25589"/>
    </row>
    <row r="25590" spans="1:2" x14ac:dyDescent="0.25">
      <c r="A25590"/>
      <c r="B25590"/>
    </row>
    <row r="25591" spans="1:2" x14ac:dyDescent="0.25">
      <c r="A25591"/>
      <c r="B25591"/>
    </row>
    <row r="25592" spans="1:2" x14ac:dyDescent="0.25">
      <c r="A25592"/>
      <c r="B25592"/>
    </row>
    <row r="25593" spans="1:2" x14ac:dyDescent="0.25">
      <c r="A25593"/>
      <c r="B25593"/>
    </row>
    <row r="25594" spans="1:2" x14ac:dyDescent="0.25">
      <c r="A25594"/>
      <c r="B25594"/>
    </row>
    <row r="25595" spans="1:2" x14ac:dyDescent="0.25">
      <c r="A25595"/>
      <c r="B25595"/>
    </row>
    <row r="25596" spans="1:2" x14ac:dyDescent="0.25">
      <c r="A25596"/>
      <c r="B25596"/>
    </row>
    <row r="25597" spans="1:2" x14ac:dyDescent="0.25">
      <c r="A25597"/>
      <c r="B25597"/>
    </row>
    <row r="25598" spans="1:2" x14ac:dyDescent="0.25">
      <c r="A25598"/>
      <c r="B25598"/>
    </row>
    <row r="25599" spans="1:2" x14ac:dyDescent="0.25">
      <c r="A25599"/>
      <c r="B25599"/>
    </row>
    <row r="25600" spans="1:2" x14ac:dyDescent="0.25">
      <c r="A25600"/>
      <c r="B25600"/>
    </row>
    <row r="25601" spans="1:2" x14ac:dyDescent="0.25">
      <c r="A25601"/>
      <c r="B25601"/>
    </row>
    <row r="25602" spans="1:2" x14ac:dyDescent="0.25">
      <c r="A25602"/>
      <c r="B25602"/>
    </row>
    <row r="25603" spans="1:2" x14ac:dyDescent="0.25">
      <c r="A25603"/>
      <c r="B25603"/>
    </row>
    <row r="25604" spans="1:2" x14ac:dyDescent="0.25">
      <c r="A25604"/>
      <c r="B25604"/>
    </row>
    <row r="25605" spans="1:2" x14ac:dyDescent="0.25">
      <c r="A25605"/>
      <c r="B25605"/>
    </row>
    <row r="25606" spans="1:2" x14ac:dyDescent="0.25">
      <c r="A25606"/>
      <c r="B25606"/>
    </row>
    <row r="25607" spans="1:2" x14ac:dyDescent="0.25">
      <c r="A25607"/>
      <c r="B25607"/>
    </row>
    <row r="25608" spans="1:2" x14ac:dyDescent="0.25">
      <c r="A25608"/>
      <c r="B25608"/>
    </row>
    <row r="25609" spans="1:2" x14ac:dyDescent="0.25">
      <c r="A25609"/>
      <c r="B25609"/>
    </row>
    <row r="25610" spans="1:2" x14ac:dyDescent="0.25">
      <c r="A25610"/>
      <c r="B25610"/>
    </row>
    <row r="25611" spans="1:2" x14ac:dyDescent="0.25">
      <c r="A25611"/>
      <c r="B25611"/>
    </row>
    <row r="25612" spans="1:2" x14ac:dyDescent="0.25">
      <c r="A25612"/>
      <c r="B25612"/>
    </row>
    <row r="25613" spans="1:2" x14ac:dyDescent="0.25">
      <c r="A25613"/>
      <c r="B25613"/>
    </row>
    <row r="25614" spans="1:2" x14ac:dyDescent="0.25">
      <c r="A25614"/>
      <c r="B25614"/>
    </row>
    <row r="25615" spans="1:2" x14ac:dyDescent="0.25">
      <c r="A25615"/>
      <c r="B25615"/>
    </row>
    <row r="25616" spans="1:2" x14ac:dyDescent="0.25">
      <c r="A25616"/>
      <c r="B25616"/>
    </row>
    <row r="25617" spans="1:2" x14ac:dyDescent="0.25">
      <c r="A25617"/>
      <c r="B25617"/>
    </row>
    <row r="25618" spans="1:2" x14ac:dyDescent="0.25">
      <c r="A25618"/>
      <c r="B25618"/>
    </row>
    <row r="25619" spans="1:2" x14ac:dyDescent="0.25">
      <c r="A25619"/>
      <c r="B25619"/>
    </row>
    <row r="25620" spans="1:2" x14ac:dyDescent="0.25">
      <c r="A25620"/>
      <c r="B25620"/>
    </row>
    <row r="25621" spans="1:2" x14ac:dyDescent="0.25">
      <c r="A25621"/>
      <c r="B25621"/>
    </row>
    <row r="25622" spans="1:2" x14ac:dyDescent="0.25">
      <c r="A25622"/>
      <c r="B25622"/>
    </row>
    <row r="25623" spans="1:2" x14ac:dyDescent="0.25">
      <c r="A25623"/>
      <c r="B25623"/>
    </row>
    <row r="25624" spans="1:2" x14ac:dyDescent="0.25">
      <c r="A25624"/>
      <c r="B25624"/>
    </row>
    <row r="25625" spans="1:2" x14ac:dyDescent="0.25">
      <c r="A25625"/>
      <c r="B25625"/>
    </row>
    <row r="25626" spans="1:2" x14ac:dyDescent="0.25">
      <c r="A25626"/>
      <c r="B25626"/>
    </row>
    <row r="25627" spans="1:2" x14ac:dyDescent="0.25">
      <c r="A25627"/>
      <c r="B25627"/>
    </row>
    <row r="25628" spans="1:2" x14ac:dyDescent="0.25">
      <c r="A25628"/>
      <c r="B25628"/>
    </row>
    <row r="25629" spans="1:2" x14ac:dyDescent="0.25">
      <c r="A25629"/>
      <c r="B25629"/>
    </row>
    <row r="25630" spans="1:2" x14ac:dyDescent="0.25">
      <c r="A25630"/>
      <c r="B25630"/>
    </row>
    <row r="25631" spans="1:2" x14ac:dyDescent="0.25">
      <c r="A25631"/>
      <c r="B25631"/>
    </row>
    <row r="25632" spans="1:2" x14ac:dyDescent="0.25">
      <c r="A25632"/>
      <c r="B25632"/>
    </row>
    <row r="25633" spans="1:2" x14ac:dyDescent="0.25">
      <c r="A25633"/>
      <c r="B25633"/>
    </row>
    <row r="25634" spans="1:2" x14ac:dyDescent="0.25">
      <c r="A25634"/>
      <c r="B25634"/>
    </row>
    <row r="25635" spans="1:2" x14ac:dyDescent="0.25">
      <c r="A25635"/>
      <c r="B25635"/>
    </row>
    <row r="25636" spans="1:2" x14ac:dyDescent="0.25">
      <c r="A25636"/>
      <c r="B25636"/>
    </row>
    <row r="25637" spans="1:2" x14ac:dyDescent="0.25">
      <c r="A25637"/>
      <c r="B25637"/>
    </row>
    <row r="25638" spans="1:2" x14ac:dyDescent="0.25">
      <c r="A25638"/>
      <c r="B25638"/>
    </row>
    <row r="25639" spans="1:2" x14ac:dyDescent="0.25">
      <c r="A25639"/>
      <c r="B25639"/>
    </row>
    <row r="25640" spans="1:2" x14ac:dyDescent="0.25">
      <c r="A25640"/>
      <c r="B25640"/>
    </row>
    <row r="25641" spans="1:2" x14ac:dyDescent="0.25">
      <c r="A25641"/>
      <c r="B25641"/>
    </row>
    <row r="25642" spans="1:2" x14ac:dyDescent="0.25">
      <c r="A25642"/>
      <c r="B25642"/>
    </row>
    <row r="25643" spans="1:2" x14ac:dyDescent="0.25">
      <c r="A25643"/>
      <c r="B25643"/>
    </row>
    <row r="25644" spans="1:2" x14ac:dyDescent="0.25">
      <c r="A25644"/>
      <c r="B25644"/>
    </row>
    <row r="25645" spans="1:2" x14ac:dyDescent="0.25">
      <c r="A25645"/>
      <c r="B25645"/>
    </row>
    <row r="25646" spans="1:2" x14ac:dyDescent="0.25">
      <c r="A25646"/>
      <c r="B25646"/>
    </row>
    <row r="25647" spans="1:2" x14ac:dyDescent="0.25">
      <c r="A25647"/>
      <c r="B25647"/>
    </row>
    <row r="25648" spans="1:2" x14ac:dyDescent="0.25">
      <c r="A25648"/>
      <c r="B25648"/>
    </row>
    <row r="25649" spans="1:2" x14ac:dyDescent="0.25">
      <c r="A25649"/>
      <c r="B25649"/>
    </row>
    <row r="25650" spans="1:2" x14ac:dyDescent="0.25">
      <c r="A25650"/>
      <c r="B25650"/>
    </row>
    <row r="25651" spans="1:2" x14ac:dyDescent="0.25">
      <c r="A25651"/>
      <c r="B25651"/>
    </row>
    <row r="25652" spans="1:2" x14ac:dyDescent="0.25">
      <c r="A25652"/>
      <c r="B25652"/>
    </row>
    <row r="25653" spans="1:2" x14ac:dyDescent="0.25">
      <c r="A25653"/>
      <c r="B25653"/>
    </row>
    <row r="25654" spans="1:2" x14ac:dyDescent="0.25">
      <c r="A25654"/>
      <c r="B25654"/>
    </row>
    <row r="25655" spans="1:2" x14ac:dyDescent="0.25">
      <c r="A25655"/>
      <c r="B25655"/>
    </row>
    <row r="25656" spans="1:2" x14ac:dyDescent="0.25">
      <c r="A25656"/>
      <c r="B25656"/>
    </row>
    <row r="25657" spans="1:2" x14ac:dyDescent="0.25">
      <c r="A25657"/>
      <c r="B25657"/>
    </row>
    <row r="25658" spans="1:2" x14ac:dyDescent="0.25">
      <c r="A25658"/>
      <c r="B25658"/>
    </row>
    <row r="25659" spans="1:2" x14ac:dyDescent="0.25">
      <c r="A25659"/>
      <c r="B25659"/>
    </row>
    <row r="25660" spans="1:2" x14ac:dyDescent="0.25">
      <c r="A25660"/>
      <c r="B25660"/>
    </row>
    <row r="25661" spans="1:2" x14ac:dyDescent="0.25">
      <c r="A25661"/>
      <c r="B25661"/>
    </row>
    <row r="25662" spans="1:2" x14ac:dyDescent="0.25">
      <c r="A25662"/>
      <c r="B25662"/>
    </row>
    <row r="25663" spans="1:2" x14ac:dyDescent="0.25">
      <c r="A25663"/>
      <c r="B25663"/>
    </row>
    <row r="25664" spans="1:2" x14ac:dyDescent="0.25">
      <c r="A25664"/>
      <c r="B25664"/>
    </row>
    <row r="25665" spans="1:2" x14ac:dyDescent="0.25">
      <c r="A25665"/>
      <c r="B25665"/>
    </row>
    <row r="25666" spans="1:2" x14ac:dyDescent="0.25">
      <c r="A25666"/>
      <c r="B25666"/>
    </row>
    <row r="25667" spans="1:2" x14ac:dyDescent="0.25">
      <c r="A25667"/>
      <c r="B25667"/>
    </row>
    <row r="25668" spans="1:2" x14ac:dyDescent="0.25">
      <c r="A25668"/>
      <c r="B25668"/>
    </row>
    <row r="25669" spans="1:2" x14ac:dyDescent="0.25">
      <c r="A25669"/>
      <c r="B25669"/>
    </row>
    <row r="25670" spans="1:2" x14ac:dyDescent="0.25">
      <c r="A25670"/>
      <c r="B25670"/>
    </row>
    <row r="25671" spans="1:2" x14ac:dyDescent="0.25">
      <c r="A25671"/>
      <c r="B25671"/>
    </row>
    <row r="25672" spans="1:2" x14ac:dyDescent="0.25">
      <c r="A25672"/>
      <c r="B25672"/>
    </row>
    <row r="25673" spans="1:2" x14ac:dyDescent="0.25">
      <c r="A25673"/>
      <c r="B25673"/>
    </row>
    <row r="25674" spans="1:2" x14ac:dyDescent="0.25">
      <c r="A25674"/>
      <c r="B25674"/>
    </row>
    <row r="25675" spans="1:2" x14ac:dyDescent="0.25">
      <c r="A25675"/>
      <c r="B25675"/>
    </row>
    <row r="25676" spans="1:2" x14ac:dyDescent="0.25">
      <c r="A25676"/>
      <c r="B25676"/>
    </row>
    <row r="25677" spans="1:2" x14ac:dyDescent="0.25">
      <c r="A25677"/>
      <c r="B25677"/>
    </row>
    <row r="25678" spans="1:2" x14ac:dyDescent="0.25">
      <c r="A25678"/>
      <c r="B25678"/>
    </row>
    <row r="25679" spans="1:2" x14ac:dyDescent="0.25">
      <c r="A25679"/>
      <c r="B25679"/>
    </row>
    <row r="25680" spans="1:2" x14ac:dyDescent="0.25">
      <c r="A25680"/>
      <c r="B25680"/>
    </row>
    <row r="25681" spans="1:2" x14ac:dyDescent="0.25">
      <c r="A25681"/>
      <c r="B25681"/>
    </row>
    <row r="25682" spans="1:2" x14ac:dyDescent="0.25">
      <c r="A25682"/>
      <c r="B25682"/>
    </row>
    <row r="25683" spans="1:2" x14ac:dyDescent="0.25">
      <c r="A25683"/>
      <c r="B25683"/>
    </row>
    <row r="25684" spans="1:2" x14ac:dyDescent="0.25">
      <c r="A25684"/>
      <c r="B25684"/>
    </row>
    <row r="25685" spans="1:2" x14ac:dyDescent="0.25">
      <c r="A25685"/>
      <c r="B25685"/>
    </row>
    <row r="25686" spans="1:2" x14ac:dyDescent="0.25">
      <c r="A25686"/>
      <c r="B25686"/>
    </row>
    <row r="25687" spans="1:2" x14ac:dyDescent="0.25">
      <c r="A25687"/>
      <c r="B25687"/>
    </row>
    <row r="25688" spans="1:2" x14ac:dyDescent="0.25">
      <c r="A25688"/>
      <c r="B25688"/>
    </row>
    <row r="25689" spans="1:2" x14ac:dyDescent="0.25">
      <c r="A25689"/>
      <c r="B25689"/>
    </row>
    <row r="25690" spans="1:2" x14ac:dyDescent="0.25">
      <c r="A25690"/>
      <c r="B25690"/>
    </row>
    <row r="25691" spans="1:2" x14ac:dyDescent="0.25">
      <c r="A25691"/>
      <c r="B25691"/>
    </row>
    <row r="25692" spans="1:2" x14ac:dyDescent="0.25">
      <c r="A25692"/>
      <c r="B25692"/>
    </row>
    <row r="25693" spans="1:2" x14ac:dyDescent="0.25">
      <c r="A25693"/>
      <c r="B25693"/>
    </row>
    <row r="25694" spans="1:2" x14ac:dyDescent="0.25">
      <c r="A25694"/>
      <c r="B25694"/>
    </row>
    <row r="25695" spans="1:2" x14ac:dyDescent="0.25">
      <c r="A25695"/>
      <c r="B25695"/>
    </row>
    <row r="25696" spans="1:2" x14ac:dyDescent="0.25">
      <c r="A25696"/>
      <c r="B25696"/>
    </row>
    <row r="25697" spans="1:2" x14ac:dyDescent="0.25">
      <c r="A25697"/>
      <c r="B25697"/>
    </row>
    <row r="25698" spans="1:2" x14ac:dyDescent="0.25">
      <c r="A25698"/>
      <c r="B25698"/>
    </row>
    <row r="25699" spans="1:2" x14ac:dyDescent="0.25">
      <c r="A25699"/>
      <c r="B25699"/>
    </row>
    <row r="25700" spans="1:2" x14ac:dyDescent="0.25">
      <c r="A25700"/>
      <c r="B25700"/>
    </row>
    <row r="25701" spans="1:2" x14ac:dyDescent="0.25">
      <c r="A25701"/>
      <c r="B25701"/>
    </row>
    <row r="25702" spans="1:2" x14ac:dyDescent="0.25">
      <c r="A25702"/>
      <c r="B25702"/>
    </row>
    <row r="25703" spans="1:2" x14ac:dyDescent="0.25">
      <c r="A25703"/>
      <c r="B25703"/>
    </row>
    <row r="25704" spans="1:2" x14ac:dyDescent="0.25">
      <c r="A25704"/>
      <c r="B25704"/>
    </row>
    <row r="25705" spans="1:2" x14ac:dyDescent="0.25">
      <c r="A25705"/>
      <c r="B25705"/>
    </row>
    <row r="25706" spans="1:2" x14ac:dyDescent="0.25">
      <c r="A25706"/>
      <c r="B25706"/>
    </row>
    <row r="25707" spans="1:2" x14ac:dyDescent="0.25">
      <c r="A25707"/>
      <c r="B25707"/>
    </row>
    <row r="25708" spans="1:2" x14ac:dyDescent="0.25">
      <c r="A25708"/>
      <c r="B25708"/>
    </row>
    <row r="25709" spans="1:2" x14ac:dyDescent="0.25">
      <c r="A25709"/>
      <c r="B25709"/>
    </row>
    <row r="25710" spans="1:2" x14ac:dyDescent="0.25">
      <c r="A25710"/>
      <c r="B25710"/>
    </row>
    <row r="25711" spans="1:2" x14ac:dyDescent="0.25">
      <c r="A25711"/>
      <c r="B25711"/>
    </row>
    <row r="25712" spans="1:2" x14ac:dyDescent="0.25">
      <c r="A25712"/>
      <c r="B25712"/>
    </row>
    <row r="25713" spans="1:2" x14ac:dyDescent="0.25">
      <c r="A25713"/>
      <c r="B25713"/>
    </row>
    <row r="25714" spans="1:2" x14ac:dyDescent="0.25">
      <c r="A25714"/>
      <c r="B25714"/>
    </row>
    <row r="25715" spans="1:2" x14ac:dyDescent="0.25">
      <c r="A25715"/>
      <c r="B25715"/>
    </row>
    <row r="25716" spans="1:2" x14ac:dyDescent="0.25">
      <c r="A25716"/>
      <c r="B25716"/>
    </row>
    <row r="25717" spans="1:2" x14ac:dyDescent="0.25">
      <c r="A25717"/>
      <c r="B25717"/>
    </row>
    <row r="25718" spans="1:2" x14ac:dyDescent="0.25">
      <c r="A25718"/>
      <c r="B25718"/>
    </row>
    <row r="25719" spans="1:2" x14ac:dyDescent="0.25">
      <c r="A25719"/>
      <c r="B25719"/>
    </row>
    <row r="25720" spans="1:2" x14ac:dyDescent="0.25">
      <c r="A25720"/>
      <c r="B25720"/>
    </row>
    <row r="25721" spans="1:2" x14ac:dyDescent="0.25">
      <c r="A25721"/>
      <c r="B25721"/>
    </row>
    <row r="25722" spans="1:2" x14ac:dyDescent="0.25">
      <c r="A25722"/>
      <c r="B25722"/>
    </row>
    <row r="25723" spans="1:2" x14ac:dyDescent="0.25">
      <c r="A25723"/>
      <c r="B25723"/>
    </row>
    <row r="25724" spans="1:2" x14ac:dyDescent="0.25">
      <c r="A25724"/>
      <c r="B25724"/>
    </row>
    <row r="25725" spans="1:2" x14ac:dyDescent="0.25">
      <c r="A25725"/>
      <c r="B25725"/>
    </row>
    <row r="25726" spans="1:2" x14ac:dyDescent="0.25">
      <c r="A25726"/>
      <c r="B25726"/>
    </row>
    <row r="25727" spans="1:2" x14ac:dyDescent="0.25">
      <c r="A25727"/>
      <c r="B25727"/>
    </row>
    <row r="25728" spans="1:2" x14ac:dyDescent="0.25">
      <c r="A25728"/>
      <c r="B25728"/>
    </row>
    <row r="25729" spans="1:2" x14ac:dyDescent="0.25">
      <c r="A25729"/>
      <c r="B25729"/>
    </row>
    <row r="25730" spans="1:2" x14ac:dyDescent="0.25">
      <c r="A25730"/>
      <c r="B25730"/>
    </row>
    <row r="25731" spans="1:2" x14ac:dyDescent="0.25">
      <c r="A25731"/>
      <c r="B25731"/>
    </row>
    <row r="25732" spans="1:2" x14ac:dyDescent="0.25">
      <c r="A25732"/>
      <c r="B25732"/>
    </row>
    <row r="25733" spans="1:2" x14ac:dyDescent="0.25">
      <c r="A25733"/>
      <c r="B25733"/>
    </row>
    <row r="25734" spans="1:2" x14ac:dyDescent="0.25">
      <c r="A25734"/>
      <c r="B25734"/>
    </row>
    <row r="25735" spans="1:2" x14ac:dyDescent="0.25">
      <c r="A25735"/>
      <c r="B25735"/>
    </row>
    <row r="25736" spans="1:2" x14ac:dyDescent="0.25">
      <c r="A25736"/>
      <c r="B25736"/>
    </row>
    <row r="25737" spans="1:2" x14ac:dyDescent="0.25">
      <c r="A25737"/>
      <c r="B25737"/>
    </row>
    <row r="25738" spans="1:2" x14ac:dyDescent="0.25">
      <c r="A25738"/>
      <c r="B25738"/>
    </row>
    <row r="25739" spans="1:2" x14ac:dyDescent="0.25">
      <c r="A25739"/>
      <c r="B25739"/>
    </row>
    <row r="25740" spans="1:2" x14ac:dyDescent="0.25">
      <c r="A25740"/>
      <c r="B25740"/>
    </row>
    <row r="25741" spans="1:2" x14ac:dyDescent="0.25">
      <c r="A25741"/>
      <c r="B25741"/>
    </row>
    <row r="25742" spans="1:2" x14ac:dyDescent="0.25">
      <c r="A25742"/>
      <c r="B25742"/>
    </row>
    <row r="25743" spans="1:2" x14ac:dyDescent="0.25">
      <c r="A25743"/>
      <c r="B25743"/>
    </row>
    <row r="25744" spans="1:2" x14ac:dyDescent="0.25">
      <c r="A25744"/>
      <c r="B25744"/>
    </row>
    <row r="25745" spans="1:2" x14ac:dyDescent="0.25">
      <c r="A25745"/>
      <c r="B25745"/>
    </row>
    <row r="25746" spans="1:2" x14ac:dyDescent="0.25">
      <c r="A25746"/>
      <c r="B25746"/>
    </row>
    <row r="25747" spans="1:2" x14ac:dyDescent="0.25">
      <c r="A25747"/>
      <c r="B25747"/>
    </row>
    <row r="25748" spans="1:2" x14ac:dyDescent="0.25">
      <c r="A25748"/>
      <c r="B25748"/>
    </row>
    <row r="25749" spans="1:2" x14ac:dyDescent="0.25">
      <c r="A25749"/>
      <c r="B25749"/>
    </row>
    <row r="25750" spans="1:2" x14ac:dyDescent="0.25">
      <c r="A25750"/>
      <c r="B25750"/>
    </row>
    <row r="25751" spans="1:2" x14ac:dyDescent="0.25">
      <c r="A25751"/>
      <c r="B25751"/>
    </row>
    <row r="25752" spans="1:2" x14ac:dyDescent="0.25">
      <c r="A25752"/>
      <c r="B25752"/>
    </row>
    <row r="25753" spans="1:2" x14ac:dyDescent="0.25">
      <c r="A25753"/>
      <c r="B25753"/>
    </row>
    <row r="25754" spans="1:2" x14ac:dyDescent="0.25">
      <c r="A25754"/>
      <c r="B25754"/>
    </row>
    <row r="25755" spans="1:2" x14ac:dyDescent="0.25">
      <c r="A25755"/>
      <c r="B25755"/>
    </row>
    <row r="25756" spans="1:2" x14ac:dyDescent="0.25">
      <c r="A25756"/>
      <c r="B25756"/>
    </row>
    <row r="25757" spans="1:2" x14ac:dyDescent="0.25">
      <c r="A25757"/>
      <c r="B25757"/>
    </row>
    <row r="25758" spans="1:2" x14ac:dyDescent="0.25">
      <c r="A25758"/>
      <c r="B25758"/>
    </row>
    <row r="25759" spans="1:2" x14ac:dyDescent="0.25">
      <c r="A25759"/>
      <c r="B25759"/>
    </row>
    <row r="25760" spans="1:2" x14ac:dyDescent="0.25">
      <c r="A25760"/>
      <c r="B25760"/>
    </row>
    <row r="25761" spans="1:2" x14ac:dyDescent="0.25">
      <c r="A25761"/>
      <c r="B25761"/>
    </row>
    <row r="25762" spans="1:2" x14ac:dyDescent="0.25">
      <c r="A25762"/>
      <c r="B25762"/>
    </row>
    <row r="25763" spans="1:2" x14ac:dyDescent="0.25">
      <c r="A25763"/>
      <c r="B25763"/>
    </row>
    <row r="25764" spans="1:2" x14ac:dyDescent="0.25">
      <c r="A25764"/>
      <c r="B25764"/>
    </row>
    <row r="25765" spans="1:2" x14ac:dyDescent="0.25">
      <c r="A25765"/>
      <c r="B25765"/>
    </row>
    <row r="25766" spans="1:2" x14ac:dyDescent="0.25">
      <c r="A25766"/>
      <c r="B25766"/>
    </row>
    <row r="25767" spans="1:2" x14ac:dyDescent="0.25">
      <c r="A25767"/>
      <c r="B25767"/>
    </row>
    <row r="25768" spans="1:2" x14ac:dyDescent="0.25">
      <c r="A25768"/>
      <c r="B25768"/>
    </row>
    <row r="25769" spans="1:2" x14ac:dyDescent="0.25">
      <c r="A25769"/>
      <c r="B25769"/>
    </row>
    <row r="25770" spans="1:2" x14ac:dyDescent="0.25">
      <c r="A25770"/>
      <c r="B25770"/>
    </row>
    <row r="25771" spans="1:2" x14ac:dyDescent="0.25">
      <c r="A25771"/>
      <c r="B25771"/>
    </row>
    <row r="25772" spans="1:2" x14ac:dyDescent="0.25">
      <c r="A25772"/>
      <c r="B25772"/>
    </row>
    <row r="25773" spans="1:2" x14ac:dyDescent="0.25">
      <c r="A25773"/>
      <c r="B25773"/>
    </row>
    <row r="25774" spans="1:2" x14ac:dyDescent="0.25">
      <c r="A25774"/>
      <c r="B25774"/>
    </row>
    <row r="25775" spans="1:2" x14ac:dyDescent="0.25">
      <c r="A25775"/>
      <c r="B25775"/>
    </row>
    <row r="25776" spans="1:2" x14ac:dyDescent="0.25">
      <c r="A25776"/>
      <c r="B25776"/>
    </row>
    <row r="25777" spans="1:2" x14ac:dyDescent="0.25">
      <c r="A25777"/>
      <c r="B25777"/>
    </row>
    <row r="25778" spans="1:2" x14ac:dyDescent="0.25">
      <c r="A25778"/>
      <c r="B25778"/>
    </row>
    <row r="25779" spans="1:2" x14ac:dyDescent="0.25">
      <c r="A25779"/>
      <c r="B25779"/>
    </row>
    <row r="25780" spans="1:2" x14ac:dyDescent="0.25">
      <c r="A25780"/>
      <c r="B25780"/>
    </row>
    <row r="25781" spans="1:2" x14ac:dyDescent="0.25">
      <c r="A25781"/>
      <c r="B25781"/>
    </row>
    <row r="25782" spans="1:2" x14ac:dyDescent="0.25">
      <c r="A25782"/>
      <c r="B25782"/>
    </row>
    <row r="25783" spans="1:2" x14ac:dyDescent="0.25">
      <c r="A25783"/>
      <c r="B25783"/>
    </row>
    <row r="25784" spans="1:2" x14ac:dyDescent="0.25">
      <c r="A25784"/>
      <c r="B25784"/>
    </row>
    <row r="25785" spans="1:2" x14ac:dyDescent="0.25">
      <c r="A25785"/>
      <c r="B25785"/>
    </row>
    <row r="25786" spans="1:2" x14ac:dyDescent="0.25">
      <c r="A25786"/>
      <c r="B25786"/>
    </row>
    <row r="25787" spans="1:2" x14ac:dyDescent="0.25">
      <c r="A25787"/>
      <c r="B25787"/>
    </row>
    <row r="25788" spans="1:2" x14ac:dyDescent="0.25">
      <c r="A25788"/>
      <c r="B25788"/>
    </row>
    <row r="25789" spans="1:2" x14ac:dyDescent="0.25">
      <c r="A25789"/>
      <c r="B25789"/>
    </row>
    <row r="25790" spans="1:2" x14ac:dyDescent="0.25">
      <c r="A25790"/>
      <c r="B25790"/>
    </row>
    <row r="25791" spans="1:2" x14ac:dyDescent="0.25">
      <c r="A25791"/>
      <c r="B25791"/>
    </row>
    <row r="25792" spans="1:2" x14ac:dyDescent="0.25">
      <c r="A25792"/>
      <c r="B25792"/>
    </row>
    <row r="25793" spans="1:2" x14ac:dyDescent="0.25">
      <c r="A25793"/>
      <c r="B25793"/>
    </row>
    <row r="25794" spans="1:2" x14ac:dyDescent="0.25">
      <c r="A25794"/>
      <c r="B25794"/>
    </row>
    <row r="25795" spans="1:2" x14ac:dyDescent="0.25">
      <c r="A25795"/>
      <c r="B25795"/>
    </row>
    <row r="25796" spans="1:2" x14ac:dyDescent="0.25">
      <c r="A25796"/>
      <c r="B25796"/>
    </row>
    <row r="25797" spans="1:2" x14ac:dyDescent="0.25">
      <c r="A25797"/>
      <c r="B25797"/>
    </row>
    <row r="25798" spans="1:2" x14ac:dyDescent="0.25">
      <c r="A25798"/>
      <c r="B25798"/>
    </row>
    <row r="25799" spans="1:2" x14ac:dyDescent="0.25">
      <c r="A25799"/>
      <c r="B25799"/>
    </row>
    <row r="25800" spans="1:2" x14ac:dyDescent="0.25">
      <c r="A25800"/>
      <c r="B25800"/>
    </row>
    <row r="25801" spans="1:2" x14ac:dyDescent="0.25">
      <c r="A25801"/>
      <c r="B25801"/>
    </row>
    <row r="25802" spans="1:2" x14ac:dyDescent="0.25">
      <c r="A25802"/>
      <c r="B25802"/>
    </row>
    <row r="25803" spans="1:2" x14ac:dyDescent="0.25">
      <c r="A25803"/>
      <c r="B25803"/>
    </row>
    <row r="25804" spans="1:2" x14ac:dyDescent="0.25">
      <c r="A25804"/>
      <c r="B25804"/>
    </row>
    <row r="25805" spans="1:2" x14ac:dyDescent="0.25">
      <c r="A25805"/>
      <c r="B25805"/>
    </row>
    <row r="25806" spans="1:2" x14ac:dyDescent="0.25">
      <c r="A25806"/>
      <c r="B25806"/>
    </row>
    <row r="25807" spans="1:2" x14ac:dyDescent="0.25">
      <c r="A25807"/>
      <c r="B25807"/>
    </row>
    <row r="25808" spans="1:2" x14ac:dyDescent="0.25">
      <c r="A25808"/>
      <c r="B25808"/>
    </row>
    <row r="25809" spans="1:2" x14ac:dyDescent="0.25">
      <c r="A25809"/>
      <c r="B25809"/>
    </row>
    <row r="25810" spans="1:2" x14ac:dyDescent="0.25">
      <c r="A25810"/>
      <c r="B25810"/>
    </row>
    <row r="25811" spans="1:2" x14ac:dyDescent="0.25">
      <c r="A25811"/>
      <c r="B25811"/>
    </row>
    <row r="25812" spans="1:2" x14ac:dyDescent="0.25">
      <c r="A25812"/>
      <c r="B25812"/>
    </row>
    <row r="25813" spans="1:2" x14ac:dyDescent="0.25">
      <c r="A25813"/>
      <c r="B25813"/>
    </row>
    <row r="25814" spans="1:2" x14ac:dyDescent="0.25">
      <c r="A25814"/>
      <c r="B25814"/>
    </row>
    <row r="25815" spans="1:2" x14ac:dyDescent="0.25">
      <c r="A25815"/>
      <c r="B25815"/>
    </row>
    <row r="25816" spans="1:2" x14ac:dyDescent="0.25">
      <c r="A25816"/>
      <c r="B25816"/>
    </row>
    <row r="25817" spans="1:2" x14ac:dyDescent="0.25">
      <c r="A25817"/>
      <c r="B25817"/>
    </row>
    <row r="25818" spans="1:2" x14ac:dyDescent="0.25">
      <c r="A25818"/>
      <c r="B25818"/>
    </row>
    <row r="25819" spans="1:2" x14ac:dyDescent="0.25">
      <c r="A25819"/>
      <c r="B25819"/>
    </row>
    <row r="25820" spans="1:2" x14ac:dyDescent="0.25">
      <c r="A25820"/>
      <c r="B25820"/>
    </row>
    <row r="25821" spans="1:2" x14ac:dyDescent="0.25">
      <c r="A25821"/>
      <c r="B25821"/>
    </row>
    <row r="25822" spans="1:2" x14ac:dyDescent="0.25">
      <c r="A25822"/>
      <c r="B25822"/>
    </row>
    <row r="25823" spans="1:2" x14ac:dyDescent="0.25">
      <c r="A25823"/>
      <c r="B25823"/>
    </row>
    <row r="25824" spans="1:2" x14ac:dyDescent="0.25">
      <c r="A25824"/>
      <c r="B25824"/>
    </row>
    <row r="25825" spans="1:2" x14ac:dyDescent="0.25">
      <c r="A25825"/>
      <c r="B25825"/>
    </row>
    <row r="25826" spans="1:2" x14ac:dyDescent="0.25">
      <c r="A25826"/>
      <c r="B25826"/>
    </row>
    <row r="25827" spans="1:2" x14ac:dyDescent="0.25">
      <c r="A25827"/>
      <c r="B25827"/>
    </row>
    <row r="25828" spans="1:2" x14ac:dyDescent="0.25">
      <c r="A25828"/>
      <c r="B25828"/>
    </row>
    <row r="25829" spans="1:2" x14ac:dyDescent="0.25">
      <c r="A25829"/>
      <c r="B25829"/>
    </row>
    <row r="25830" spans="1:2" x14ac:dyDescent="0.25">
      <c r="A25830"/>
      <c r="B25830"/>
    </row>
    <row r="25831" spans="1:2" x14ac:dyDescent="0.25">
      <c r="A25831"/>
      <c r="B25831"/>
    </row>
    <row r="25832" spans="1:2" x14ac:dyDescent="0.25">
      <c r="A25832"/>
      <c r="B25832"/>
    </row>
    <row r="25833" spans="1:2" x14ac:dyDescent="0.25">
      <c r="A25833"/>
      <c r="B25833"/>
    </row>
    <row r="25834" spans="1:2" x14ac:dyDescent="0.25">
      <c r="A25834"/>
      <c r="B25834"/>
    </row>
    <row r="25835" spans="1:2" x14ac:dyDescent="0.25">
      <c r="A25835"/>
      <c r="B25835"/>
    </row>
    <row r="25836" spans="1:2" x14ac:dyDescent="0.25">
      <c r="A25836"/>
      <c r="B25836"/>
    </row>
    <row r="25837" spans="1:2" x14ac:dyDescent="0.25">
      <c r="A25837"/>
      <c r="B25837"/>
    </row>
    <row r="25838" spans="1:2" x14ac:dyDescent="0.25">
      <c r="A25838"/>
      <c r="B25838"/>
    </row>
    <row r="25839" spans="1:2" x14ac:dyDescent="0.25">
      <c r="A25839"/>
      <c r="B25839"/>
    </row>
    <row r="25840" spans="1:2" x14ac:dyDescent="0.25">
      <c r="A25840"/>
      <c r="B25840"/>
    </row>
    <row r="25841" spans="1:2" x14ac:dyDescent="0.25">
      <c r="A25841"/>
      <c r="B25841"/>
    </row>
    <row r="25842" spans="1:2" x14ac:dyDescent="0.25">
      <c r="A25842"/>
      <c r="B25842"/>
    </row>
    <row r="25843" spans="1:2" x14ac:dyDescent="0.25">
      <c r="A25843"/>
      <c r="B25843"/>
    </row>
    <row r="25844" spans="1:2" x14ac:dyDescent="0.25">
      <c r="A25844"/>
      <c r="B25844"/>
    </row>
    <row r="25845" spans="1:2" x14ac:dyDescent="0.25">
      <c r="A25845"/>
      <c r="B25845"/>
    </row>
    <row r="25846" spans="1:2" x14ac:dyDescent="0.25">
      <c r="A25846"/>
      <c r="B25846"/>
    </row>
    <row r="25847" spans="1:2" x14ac:dyDescent="0.25">
      <c r="A25847"/>
      <c r="B25847"/>
    </row>
    <row r="25848" spans="1:2" x14ac:dyDescent="0.25">
      <c r="A25848"/>
      <c r="B25848"/>
    </row>
    <row r="25849" spans="1:2" x14ac:dyDescent="0.25">
      <c r="A25849"/>
      <c r="B25849"/>
    </row>
    <row r="25850" spans="1:2" x14ac:dyDescent="0.25">
      <c r="A25850"/>
      <c r="B25850"/>
    </row>
    <row r="25851" spans="1:2" x14ac:dyDescent="0.25">
      <c r="A25851"/>
      <c r="B25851"/>
    </row>
    <row r="25852" spans="1:2" x14ac:dyDescent="0.25">
      <c r="A25852"/>
      <c r="B25852"/>
    </row>
    <row r="25853" spans="1:2" x14ac:dyDescent="0.25">
      <c r="A25853"/>
      <c r="B25853"/>
    </row>
    <row r="25854" spans="1:2" x14ac:dyDescent="0.25">
      <c r="A25854"/>
      <c r="B25854"/>
    </row>
    <row r="25855" spans="1:2" x14ac:dyDescent="0.25">
      <c r="A25855"/>
      <c r="B25855"/>
    </row>
    <row r="25856" spans="1:2" x14ac:dyDescent="0.25">
      <c r="A25856"/>
      <c r="B25856"/>
    </row>
    <row r="25857" spans="1:2" x14ac:dyDescent="0.25">
      <c r="A25857"/>
      <c r="B25857"/>
    </row>
    <row r="25858" spans="1:2" x14ac:dyDescent="0.25">
      <c r="A25858"/>
      <c r="B25858"/>
    </row>
    <row r="25859" spans="1:2" x14ac:dyDescent="0.25">
      <c r="A25859"/>
      <c r="B25859"/>
    </row>
    <row r="25860" spans="1:2" x14ac:dyDescent="0.25">
      <c r="A25860"/>
      <c r="B25860"/>
    </row>
    <row r="25861" spans="1:2" x14ac:dyDescent="0.25">
      <c r="A25861"/>
      <c r="B25861"/>
    </row>
    <row r="25862" spans="1:2" x14ac:dyDescent="0.25">
      <c r="A25862"/>
      <c r="B25862"/>
    </row>
    <row r="25863" spans="1:2" x14ac:dyDescent="0.25">
      <c r="A25863"/>
      <c r="B25863"/>
    </row>
    <row r="25864" spans="1:2" x14ac:dyDescent="0.25">
      <c r="A25864"/>
      <c r="B25864"/>
    </row>
    <row r="25865" spans="1:2" x14ac:dyDescent="0.25">
      <c r="A25865"/>
      <c r="B25865"/>
    </row>
    <row r="25866" spans="1:2" x14ac:dyDescent="0.25">
      <c r="A25866"/>
      <c r="B25866"/>
    </row>
    <row r="25867" spans="1:2" x14ac:dyDescent="0.25">
      <c r="A25867"/>
      <c r="B25867"/>
    </row>
    <row r="25868" spans="1:2" x14ac:dyDescent="0.25">
      <c r="A25868"/>
      <c r="B25868"/>
    </row>
    <row r="25869" spans="1:2" x14ac:dyDescent="0.25">
      <c r="A25869"/>
      <c r="B25869"/>
    </row>
    <row r="25870" spans="1:2" x14ac:dyDescent="0.25">
      <c r="A25870"/>
      <c r="B25870"/>
    </row>
    <row r="25871" spans="1:2" x14ac:dyDescent="0.25">
      <c r="A25871"/>
      <c r="B25871"/>
    </row>
    <row r="25872" spans="1:2" x14ac:dyDescent="0.25">
      <c r="A25872"/>
      <c r="B25872"/>
    </row>
    <row r="25873" spans="1:2" x14ac:dyDescent="0.25">
      <c r="A25873"/>
      <c r="B25873"/>
    </row>
    <row r="25874" spans="1:2" x14ac:dyDescent="0.25">
      <c r="A25874"/>
      <c r="B25874"/>
    </row>
    <row r="25875" spans="1:2" x14ac:dyDescent="0.25">
      <c r="A25875"/>
      <c r="B25875"/>
    </row>
    <row r="25876" spans="1:2" x14ac:dyDescent="0.25">
      <c r="A25876"/>
      <c r="B25876"/>
    </row>
    <row r="25877" spans="1:2" x14ac:dyDescent="0.25">
      <c r="A25877"/>
      <c r="B25877"/>
    </row>
    <row r="25878" spans="1:2" x14ac:dyDescent="0.25">
      <c r="A25878"/>
      <c r="B25878"/>
    </row>
    <row r="25879" spans="1:2" x14ac:dyDescent="0.25">
      <c r="A25879"/>
      <c r="B25879"/>
    </row>
    <row r="25880" spans="1:2" x14ac:dyDescent="0.25">
      <c r="A25880"/>
      <c r="B25880"/>
    </row>
    <row r="25881" spans="1:2" x14ac:dyDescent="0.25">
      <c r="A25881"/>
      <c r="B25881"/>
    </row>
    <row r="25882" spans="1:2" x14ac:dyDescent="0.25">
      <c r="A25882"/>
      <c r="B25882"/>
    </row>
    <row r="25883" spans="1:2" x14ac:dyDescent="0.25">
      <c r="A25883"/>
      <c r="B25883"/>
    </row>
    <row r="25884" spans="1:2" x14ac:dyDescent="0.25">
      <c r="A25884"/>
      <c r="B25884"/>
    </row>
    <row r="25885" spans="1:2" x14ac:dyDescent="0.25">
      <c r="A25885"/>
      <c r="B25885"/>
    </row>
    <row r="25886" spans="1:2" x14ac:dyDescent="0.25">
      <c r="A25886"/>
      <c r="B25886"/>
    </row>
    <row r="25887" spans="1:2" x14ac:dyDescent="0.25">
      <c r="A25887"/>
      <c r="B25887"/>
    </row>
    <row r="25888" spans="1:2" x14ac:dyDescent="0.25">
      <c r="A25888"/>
      <c r="B25888"/>
    </row>
    <row r="25889" spans="1:2" x14ac:dyDescent="0.25">
      <c r="A25889"/>
      <c r="B25889"/>
    </row>
    <row r="25890" spans="1:2" x14ac:dyDescent="0.25">
      <c r="A25890"/>
      <c r="B25890"/>
    </row>
    <row r="25891" spans="1:2" x14ac:dyDescent="0.25">
      <c r="A25891"/>
      <c r="B25891"/>
    </row>
    <row r="25892" spans="1:2" x14ac:dyDescent="0.25">
      <c r="A25892"/>
      <c r="B25892"/>
    </row>
    <row r="25893" spans="1:2" x14ac:dyDescent="0.25">
      <c r="A25893"/>
      <c r="B25893"/>
    </row>
    <row r="25894" spans="1:2" x14ac:dyDescent="0.25">
      <c r="A25894"/>
      <c r="B25894"/>
    </row>
    <row r="25895" spans="1:2" x14ac:dyDescent="0.25">
      <c r="A25895"/>
      <c r="B25895"/>
    </row>
    <row r="25896" spans="1:2" x14ac:dyDescent="0.25">
      <c r="A25896"/>
      <c r="B25896"/>
    </row>
    <row r="25897" spans="1:2" x14ac:dyDescent="0.25">
      <c r="A25897"/>
      <c r="B25897"/>
    </row>
    <row r="25898" spans="1:2" x14ac:dyDescent="0.25">
      <c r="A25898"/>
      <c r="B25898"/>
    </row>
    <row r="25899" spans="1:2" x14ac:dyDescent="0.25">
      <c r="A25899"/>
      <c r="B25899"/>
    </row>
    <row r="25900" spans="1:2" x14ac:dyDescent="0.25">
      <c r="A25900"/>
      <c r="B25900"/>
    </row>
    <row r="25901" spans="1:2" x14ac:dyDescent="0.25">
      <c r="A25901"/>
      <c r="B25901"/>
    </row>
    <row r="25902" spans="1:2" x14ac:dyDescent="0.25">
      <c r="A25902"/>
      <c r="B25902"/>
    </row>
    <row r="25903" spans="1:2" x14ac:dyDescent="0.25">
      <c r="A25903"/>
      <c r="B25903"/>
    </row>
    <row r="25904" spans="1:2" x14ac:dyDescent="0.25">
      <c r="A25904"/>
      <c r="B25904"/>
    </row>
    <row r="25905" spans="1:2" x14ac:dyDescent="0.25">
      <c r="A25905"/>
      <c r="B25905"/>
    </row>
    <row r="25906" spans="1:2" x14ac:dyDescent="0.25">
      <c r="A25906"/>
      <c r="B25906"/>
    </row>
    <row r="25907" spans="1:2" x14ac:dyDescent="0.25">
      <c r="A25907"/>
      <c r="B25907"/>
    </row>
    <row r="25908" spans="1:2" x14ac:dyDescent="0.25">
      <c r="A25908"/>
      <c r="B25908"/>
    </row>
    <row r="25909" spans="1:2" x14ac:dyDescent="0.25">
      <c r="A25909"/>
      <c r="B25909"/>
    </row>
    <row r="25910" spans="1:2" x14ac:dyDescent="0.25">
      <c r="A25910"/>
      <c r="B25910"/>
    </row>
    <row r="25911" spans="1:2" x14ac:dyDescent="0.25">
      <c r="A25911"/>
      <c r="B25911"/>
    </row>
    <row r="25912" spans="1:2" x14ac:dyDescent="0.25">
      <c r="A25912"/>
      <c r="B25912"/>
    </row>
    <row r="25913" spans="1:2" x14ac:dyDescent="0.25">
      <c r="A25913"/>
      <c r="B25913"/>
    </row>
    <row r="25914" spans="1:2" x14ac:dyDescent="0.25">
      <c r="A25914"/>
      <c r="B25914"/>
    </row>
    <row r="25915" spans="1:2" x14ac:dyDescent="0.25">
      <c r="A25915"/>
      <c r="B25915"/>
    </row>
    <row r="25916" spans="1:2" x14ac:dyDescent="0.25">
      <c r="A25916"/>
      <c r="B25916"/>
    </row>
    <row r="25917" spans="1:2" x14ac:dyDescent="0.25">
      <c r="A25917"/>
      <c r="B25917"/>
    </row>
    <row r="25918" spans="1:2" x14ac:dyDescent="0.25">
      <c r="A25918"/>
      <c r="B25918"/>
    </row>
    <row r="25919" spans="1:2" x14ac:dyDescent="0.25">
      <c r="A25919"/>
      <c r="B25919"/>
    </row>
    <row r="25920" spans="1:2" x14ac:dyDescent="0.25">
      <c r="A25920"/>
      <c r="B25920"/>
    </row>
    <row r="25921" spans="1:2" x14ac:dyDescent="0.25">
      <c r="A25921"/>
      <c r="B25921"/>
    </row>
    <row r="25922" spans="1:2" x14ac:dyDescent="0.25">
      <c r="A25922"/>
      <c r="B25922"/>
    </row>
    <row r="25923" spans="1:2" x14ac:dyDescent="0.25">
      <c r="A25923"/>
      <c r="B25923"/>
    </row>
    <row r="25924" spans="1:2" x14ac:dyDescent="0.25">
      <c r="A25924"/>
      <c r="B25924"/>
    </row>
    <row r="25925" spans="1:2" x14ac:dyDescent="0.25">
      <c r="A25925"/>
      <c r="B25925"/>
    </row>
    <row r="25926" spans="1:2" x14ac:dyDescent="0.25">
      <c r="A25926"/>
      <c r="B25926"/>
    </row>
    <row r="25927" spans="1:2" x14ac:dyDescent="0.25">
      <c r="A25927"/>
      <c r="B25927"/>
    </row>
    <row r="25928" spans="1:2" x14ac:dyDescent="0.25">
      <c r="A25928"/>
      <c r="B25928"/>
    </row>
    <row r="25929" spans="1:2" x14ac:dyDescent="0.25">
      <c r="A25929"/>
      <c r="B25929"/>
    </row>
    <row r="25930" spans="1:2" x14ac:dyDescent="0.25">
      <c r="A25930"/>
      <c r="B25930"/>
    </row>
    <row r="25931" spans="1:2" x14ac:dyDescent="0.25">
      <c r="A25931"/>
      <c r="B25931"/>
    </row>
    <row r="25932" spans="1:2" x14ac:dyDescent="0.25">
      <c r="A25932"/>
      <c r="B25932"/>
    </row>
    <row r="25933" spans="1:2" x14ac:dyDescent="0.25">
      <c r="A25933"/>
      <c r="B25933"/>
    </row>
    <row r="25934" spans="1:2" x14ac:dyDescent="0.25">
      <c r="A25934"/>
      <c r="B25934"/>
    </row>
    <row r="25935" spans="1:2" x14ac:dyDescent="0.25">
      <c r="A25935"/>
      <c r="B25935"/>
    </row>
    <row r="25936" spans="1:2" x14ac:dyDescent="0.25">
      <c r="A25936"/>
      <c r="B25936"/>
    </row>
    <row r="25937" spans="1:2" x14ac:dyDescent="0.25">
      <c r="A25937"/>
      <c r="B25937"/>
    </row>
    <row r="25938" spans="1:2" x14ac:dyDescent="0.25">
      <c r="A25938"/>
      <c r="B25938"/>
    </row>
    <row r="25939" spans="1:2" x14ac:dyDescent="0.25">
      <c r="A25939"/>
      <c r="B25939"/>
    </row>
    <row r="25940" spans="1:2" x14ac:dyDescent="0.25">
      <c r="A25940"/>
      <c r="B25940"/>
    </row>
    <row r="25941" spans="1:2" x14ac:dyDescent="0.25">
      <c r="A25941"/>
      <c r="B25941"/>
    </row>
    <row r="25942" spans="1:2" x14ac:dyDescent="0.25">
      <c r="A25942"/>
      <c r="B25942"/>
    </row>
    <row r="25943" spans="1:2" x14ac:dyDescent="0.25">
      <c r="A25943"/>
      <c r="B25943"/>
    </row>
    <row r="25944" spans="1:2" x14ac:dyDescent="0.25">
      <c r="A25944"/>
      <c r="B25944"/>
    </row>
    <row r="25945" spans="1:2" x14ac:dyDescent="0.25">
      <c r="A25945"/>
      <c r="B25945"/>
    </row>
    <row r="25946" spans="1:2" x14ac:dyDescent="0.25">
      <c r="A25946"/>
      <c r="B25946"/>
    </row>
    <row r="25947" spans="1:2" x14ac:dyDescent="0.25">
      <c r="A25947"/>
      <c r="B25947"/>
    </row>
    <row r="25948" spans="1:2" x14ac:dyDescent="0.25">
      <c r="A25948"/>
      <c r="B25948"/>
    </row>
    <row r="25949" spans="1:2" x14ac:dyDescent="0.25">
      <c r="A25949"/>
      <c r="B25949"/>
    </row>
    <row r="25950" spans="1:2" x14ac:dyDescent="0.25">
      <c r="A25950"/>
      <c r="B25950"/>
    </row>
    <row r="25951" spans="1:2" x14ac:dyDescent="0.25">
      <c r="A25951"/>
      <c r="B25951"/>
    </row>
    <row r="25952" spans="1:2" x14ac:dyDescent="0.25">
      <c r="A25952"/>
      <c r="B25952"/>
    </row>
    <row r="25953" spans="1:2" x14ac:dyDescent="0.25">
      <c r="A25953"/>
      <c r="B25953"/>
    </row>
    <row r="25954" spans="1:2" x14ac:dyDescent="0.25">
      <c r="A25954"/>
      <c r="B25954"/>
    </row>
    <row r="25955" spans="1:2" x14ac:dyDescent="0.25">
      <c r="A25955"/>
      <c r="B25955"/>
    </row>
    <row r="25956" spans="1:2" x14ac:dyDescent="0.25">
      <c r="A25956"/>
      <c r="B25956"/>
    </row>
    <row r="25957" spans="1:2" x14ac:dyDescent="0.25">
      <c r="A25957"/>
      <c r="B25957"/>
    </row>
    <row r="25958" spans="1:2" x14ac:dyDescent="0.25">
      <c r="A25958"/>
      <c r="B25958"/>
    </row>
    <row r="25959" spans="1:2" x14ac:dyDescent="0.25">
      <c r="A25959"/>
      <c r="B25959"/>
    </row>
    <row r="25960" spans="1:2" x14ac:dyDescent="0.25">
      <c r="A25960"/>
      <c r="B25960"/>
    </row>
    <row r="25961" spans="1:2" x14ac:dyDescent="0.25">
      <c r="A25961"/>
      <c r="B25961"/>
    </row>
    <row r="25962" spans="1:2" x14ac:dyDescent="0.25">
      <c r="A25962"/>
      <c r="B25962"/>
    </row>
    <row r="25963" spans="1:2" x14ac:dyDescent="0.25">
      <c r="A25963"/>
      <c r="B25963"/>
    </row>
    <row r="25964" spans="1:2" x14ac:dyDescent="0.25">
      <c r="A25964"/>
      <c r="B25964"/>
    </row>
    <row r="25965" spans="1:2" x14ac:dyDescent="0.25">
      <c r="A25965"/>
      <c r="B25965"/>
    </row>
    <row r="25966" spans="1:2" x14ac:dyDescent="0.25">
      <c r="A25966"/>
      <c r="B25966"/>
    </row>
    <row r="25967" spans="1:2" x14ac:dyDescent="0.25">
      <c r="A25967"/>
      <c r="B25967"/>
    </row>
    <row r="25968" spans="1:2" x14ac:dyDescent="0.25">
      <c r="A25968"/>
      <c r="B25968"/>
    </row>
    <row r="25969" spans="1:2" x14ac:dyDescent="0.25">
      <c r="A25969"/>
      <c r="B25969"/>
    </row>
    <row r="25970" spans="1:2" x14ac:dyDescent="0.25">
      <c r="A25970"/>
      <c r="B25970"/>
    </row>
    <row r="25971" spans="1:2" x14ac:dyDescent="0.25">
      <c r="A25971"/>
      <c r="B25971"/>
    </row>
    <row r="25972" spans="1:2" x14ac:dyDescent="0.25">
      <c r="A25972"/>
      <c r="B25972"/>
    </row>
    <row r="25973" spans="1:2" x14ac:dyDescent="0.25">
      <c r="A25973"/>
      <c r="B25973"/>
    </row>
    <row r="25974" spans="1:2" x14ac:dyDescent="0.25">
      <c r="A25974"/>
      <c r="B25974"/>
    </row>
    <row r="25975" spans="1:2" x14ac:dyDescent="0.25">
      <c r="A25975"/>
      <c r="B25975"/>
    </row>
    <row r="25976" spans="1:2" x14ac:dyDescent="0.25">
      <c r="A25976"/>
      <c r="B25976"/>
    </row>
    <row r="25977" spans="1:2" x14ac:dyDescent="0.25">
      <c r="A25977"/>
      <c r="B25977"/>
    </row>
    <row r="25978" spans="1:2" x14ac:dyDescent="0.25">
      <c r="A25978"/>
      <c r="B25978"/>
    </row>
    <row r="25979" spans="1:2" x14ac:dyDescent="0.25">
      <c r="A25979"/>
      <c r="B25979"/>
    </row>
    <row r="25980" spans="1:2" x14ac:dyDescent="0.25">
      <c r="A25980"/>
      <c r="B25980"/>
    </row>
    <row r="25981" spans="1:2" x14ac:dyDescent="0.25">
      <c r="A25981"/>
      <c r="B25981"/>
    </row>
    <row r="25982" spans="1:2" x14ac:dyDescent="0.25">
      <c r="A25982"/>
      <c r="B25982"/>
    </row>
    <row r="25983" spans="1:2" x14ac:dyDescent="0.25">
      <c r="A25983"/>
      <c r="B25983"/>
    </row>
    <row r="25984" spans="1:2" x14ac:dyDescent="0.25">
      <c r="A25984"/>
      <c r="B25984"/>
    </row>
    <row r="25985" spans="1:2" x14ac:dyDescent="0.25">
      <c r="A25985"/>
      <c r="B25985"/>
    </row>
    <row r="25986" spans="1:2" x14ac:dyDescent="0.25">
      <c r="A25986"/>
      <c r="B25986"/>
    </row>
    <row r="25987" spans="1:2" x14ac:dyDescent="0.25">
      <c r="A25987"/>
      <c r="B25987"/>
    </row>
    <row r="25988" spans="1:2" x14ac:dyDescent="0.25">
      <c r="A25988"/>
      <c r="B25988"/>
    </row>
    <row r="25989" spans="1:2" x14ac:dyDescent="0.25">
      <c r="A25989"/>
      <c r="B25989"/>
    </row>
    <row r="25990" spans="1:2" x14ac:dyDescent="0.25">
      <c r="A25990"/>
      <c r="B25990"/>
    </row>
    <row r="25991" spans="1:2" x14ac:dyDescent="0.25">
      <c r="A25991"/>
      <c r="B25991"/>
    </row>
    <row r="25992" spans="1:2" x14ac:dyDescent="0.25">
      <c r="A25992"/>
      <c r="B25992"/>
    </row>
    <row r="25993" spans="1:2" x14ac:dyDescent="0.25">
      <c r="A25993"/>
      <c r="B25993"/>
    </row>
    <row r="25994" spans="1:2" x14ac:dyDescent="0.25">
      <c r="A25994"/>
      <c r="B25994"/>
    </row>
    <row r="25995" spans="1:2" x14ac:dyDescent="0.25">
      <c r="A25995"/>
      <c r="B25995"/>
    </row>
    <row r="25996" spans="1:2" x14ac:dyDescent="0.25">
      <c r="A25996"/>
      <c r="B25996"/>
    </row>
    <row r="25997" spans="1:2" x14ac:dyDescent="0.25">
      <c r="A25997"/>
      <c r="B25997"/>
    </row>
    <row r="25998" spans="1:2" x14ac:dyDescent="0.25">
      <c r="A25998"/>
      <c r="B25998"/>
    </row>
    <row r="25999" spans="1:2" x14ac:dyDescent="0.25">
      <c r="A25999"/>
      <c r="B25999"/>
    </row>
    <row r="26000" spans="1:2" x14ac:dyDescent="0.25">
      <c r="A26000"/>
      <c r="B26000"/>
    </row>
    <row r="26001" spans="1:2" x14ac:dyDescent="0.25">
      <c r="A26001"/>
      <c r="B26001"/>
    </row>
    <row r="26002" spans="1:2" x14ac:dyDescent="0.25">
      <c r="A26002"/>
      <c r="B26002"/>
    </row>
    <row r="26003" spans="1:2" x14ac:dyDescent="0.25">
      <c r="A26003"/>
      <c r="B26003"/>
    </row>
    <row r="26004" spans="1:2" x14ac:dyDescent="0.25">
      <c r="A26004"/>
      <c r="B26004"/>
    </row>
    <row r="26005" spans="1:2" x14ac:dyDescent="0.25">
      <c r="A26005"/>
      <c r="B26005"/>
    </row>
    <row r="26006" spans="1:2" x14ac:dyDescent="0.25">
      <c r="A26006"/>
      <c r="B26006"/>
    </row>
    <row r="26007" spans="1:2" x14ac:dyDescent="0.25">
      <c r="A26007"/>
      <c r="B26007"/>
    </row>
    <row r="26008" spans="1:2" x14ac:dyDescent="0.25">
      <c r="A26008"/>
      <c r="B26008"/>
    </row>
    <row r="26009" spans="1:2" x14ac:dyDescent="0.25">
      <c r="A26009"/>
      <c r="B26009"/>
    </row>
    <row r="26010" spans="1:2" x14ac:dyDescent="0.25">
      <c r="A26010"/>
      <c r="B26010"/>
    </row>
    <row r="26011" spans="1:2" x14ac:dyDescent="0.25">
      <c r="A26011"/>
      <c r="B26011"/>
    </row>
    <row r="26012" spans="1:2" x14ac:dyDescent="0.25">
      <c r="A26012"/>
      <c r="B26012"/>
    </row>
    <row r="26013" spans="1:2" x14ac:dyDescent="0.25">
      <c r="A26013"/>
      <c r="B26013"/>
    </row>
    <row r="26014" spans="1:2" x14ac:dyDescent="0.25">
      <c r="A26014"/>
      <c r="B26014"/>
    </row>
    <row r="26015" spans="1:2" x14ac:dyDescent="0.25">
      <c r="A26015"/>
      <c r="B26015"/>
    </row>
    <row r="26016" spans="1:2" x14ac:dyDescent="0.25">
      <c r="A26016"/>
      <c r="B26016"/>
    </row>
    <row r="26017" spans="1:2" x14ac:dyDescent="0.25">
      <c r="A26017"/>
      <c r="B26017"/>
    </row>
    <row r="26018" spans="1:2" x14ac:dyDescent="0.25">
      <c r="A26018"/>
      <c r="B26018"/>
    </row>
    <row r="26019" spans="1:2" x14ac:dyDescent="0.25">
      <c r="A26019"/>
      <c r="B26019"/>
    </row>
    <row r="26020" spans="1:2" x14ac:dyDescent="0.25">
      <c r="A26020"/>
      <c r="B26020"/>
    </row>
    <row r="26021" spans="1:2" x14ac:dyDescent="0.25">
      <c r="A26021"/>
      <c r="B26021"/>
    </row>
    <row r="26022" spans="1:2" x14ac:dyDescent="0.25">
      <c r="A26022"/>
      <c r="B26022"/>
    </row>
    <row r="26023" spans="1:2" x14ac:dyDescent="0.25">
      <c r="A26023"/>
      <c r="B26023"/>
    </row>
    <row r="26024" spans="1:2" x14ac:dyDescent="0.25">
      <c r="A26024"/>
      <c r="B26024"/>
    </row>
    <row r="26025" spans="1:2" x14ac:dyDescent="0.25">
      <c r="A26025"/>
      <c r="B26025"/>
    </row>
    <row r="26026" spans="1:2" x14ac:dyDescent="0.25">
      <c r="A26026"/>
      <c r="B26026"/>
    </row>
    <row r="26027" spans="1:2" x14ac:dyDescent="0.25">
      <c r="A26027"/>
      <c r="B26027"/>
    </row>
    <row r="26028" spans="1:2" x14ac:dyDescent="0.25">
      <c r="A26028"/>
      <c r="B26028"/>
    </row>
    <row r="26029" spans="1:2" x14ac:dyDescent="0.25">
      <c r="A26029"/>
      <c r="B26029"/>
    </row>
    <row r="26030" spans="1:2" x14ac:dyDescent="0.25">
      <c r="A26030"/>
      <c r="B26030"/>
    </row>
    <row r="26031" spans="1:2" x14ac:dyDescent="0.25">
      <c r="A26031"/>
      <c r="B26031"/>
    </row>
    <row r="26032" spans="1:2" x14ac:dyDescent="0.25">
      <c r="A26032"/>
      <c r="B26032"/>
    </row>
    <row r="26033" spans="1:2" x14ac:dyDescent="0.25">
      <c r="A26033"/>
      <c r="B26033"/>
    </row>
    <row r="26034" spans="1:2" x14ac:dyDescent="0.25">
      <c r="A26034"/>
      <c r="B26034"/>
    </row>
    <row r="26035" spans="1:2" x14ac:dyDescent="0.25">
      <c r="A26035"/>
      <c r="B26035"/>
    </row>
    <row r="26036" spans="1:2" x14ac:dyDescent="0.25">
      <c r="A26036"/>
      <c r="B26036"/>
    </row>
    <row r="26037" spans="1:2" x14ac:dyDescent="0.25">
      <c r="A26037"/>
      <c r="B26037"/>
    </row>
    <row r="26038" spans="1:2" x14ac:dyDescent="0.25">
      <c r="A26038"/>
      <c r="B26038"/>
    </row>
    <row r="26039" spans="1:2" x14ac:dyDescent="0.25">
      <c r="A26039"/>
      <c r="B26039"/>
    </row>
    <row r="26040" spans="1:2" x14ac:dyDescent="0.25">
      <c r="A26040"/>
      <c r="B26040"/>
    </row>
    <row r="26041" spans="1:2" x14ac:dyDescent="0.25">
      <c r="A26041"/>
      <c r="B26041"/>
    </row>
    <row r="26042" spans="1:2" x14ac:dyDescent="0.25">
      <c r="A26042"/>
      <c r="B26042"/>
    </row>
    <row r="26043" spans="1:2" x14ac:dyDescent="0.25">
      <c r="A26043"/>
      <c r="B26043"/>
    </row>
    <row r="26044" spans="1:2" x14ac:dyDescent="0.25">
      <c r="A26044"/>
      <c r="B26044"/>
    </row>
    <row r="26045" spans="1:2" x14ac:dyDescent="0.25">
      <c r="A26045"/>
      <c r="B26045"/>
    </row>
    <row r="26046" spans="1:2" x14ac:dyDescent="0.25">
      <c r="A26046"/>
      <c r="B26046"/>
    </row>
    <row r="26047" spans="1:2" x14ac:dyDescent="0.25">
      <c r="A26047"/>
      <c r="B26047"/>
    </row>
    <row r="26048" spans="1:2" x14ac:dyDescent="0.25">
      <c r="A26048"/>
      <c r="B26048"/>
    </row>
    <row r="26049" spans="1:2" x14ac:dyDescent="0.25">
      <c r="A26049"/>
      <c r="B26049"/>
    </row>
    <row r="26050" spans="1:2" x14ac:dyDescent="0.25">
      <c r="A26050"/>
      <c r="B26050"/>
    </row>
    <row r="26051" spans="1:2" x14ac:dyDescent="0.25">
      <c r="A26051"/>
      <c r="B26051"/>
    </row>
    <row r="26052" spans="1:2" x14ac:dyDescent="0.25">
      <c r="A26052"/>
      <c r="B26052"/>
    </row>
    <row r="26053" spans="1:2" x14ac:dyDescent="0.25">
      <c r="A26053"/>
      <c r="B26053"/>
    </row>
    <row r="26054" spans="1:2" x14ac:dyDescent="0.25">
      <c r="A26054"/>
      <c r="B26054"/>
    </row>
    <row r="26055" spans="1:2" x14ac:dyDescent="0.25">
      <c r="A26055"/>
      <c r="B26055"/>
    </row>
    <row r="26056" spans="1:2" x14ac:dyDescent="0.25">
      <c r="A26056"/>
      <c r="B26056"/>
    </row>
    <row r="26057" spans="1:2" x14ac:dyDescent="0.25">
      <c r="A26057"/>
      <c r="B26057"/>
    </row>
    <row r="26058" spans="1:2" x14ac:dyDescent="0.25">
      <c r="A26058"/>
      <c r="B26058"/>
    </row>
    <row r="26059" spans="1:2" x14ac:dyDescent="0.25">
      <c r="A26059"/>
      <c r="B26059"/>
    </row>
    <row r="26060" spans="1:2" x14ac:dyDescent="0.25">
      <c r="A26060"/>
      <c r="B26060"/>
    </row>
    <row r="26061" spans="1:2" x14ac:dyDescent="0.25">
      <c r="A26061"/>
      <c r="B26061"/>
    </row>
    <row r="26062" spans="1:2" x14ac:dyDescent="0.25">
      <c r="A26062"/>
      <c r="B26062"/>
    </row>
    <row r="26063" spans="1:2" x14ac:dyDescent="0.25">
      <c r="A26063"/>
      <c r="B26063"/>
    </row>
    <row r="26064" spans="1:2" x14ac:dyDescent="0.25">
      <c r="A26064"/>
      <c r="B26064"/>
    </row>
    <row r="26065" spans="1:2" x14ac:dyDescent="0.25">
      <c r="A26065"/>
      <c r="B26065"/>
    </row>
    <row r="26066" spans="1:2" x14ac:dyDescent="0.25">
      <c r="A26066"/>
      <c r="B26066"/>
    </row>
    <row r="26067" spans="1:2" x14ac:dyDescent="0.25">
      <c r="A26067"/>
      <c r="B26067"/>
    </row>
    <row r="26068" spans="1:2" x14ac:dyDescent="0.25">
      <c r="A26068"/>
      <c r="B26068"/>
    </row>
    <row r="26069" spans="1:2" x14ac:dyDescent="0.25">
      <c r="A26069"/>
      <c r="B26069"/>
    </row>
    <row r="26070" spans="1:2" x14ac:dyDescent="0.25">
      <c r="A26070"/>
      <c r="B26070"/>
    </row>
    <row r="26071" spans="1:2" x14ac:dyDescent="0.25">
      <c r="A26071"/>
      <c r="B26071"/>
    </row>
    <row r="26072" spans="1:2" x14ac:dyDescent="0.25">
      <c r="A26072"/>
      <c r="B26072"/>
    </row>
    <row r="26073" spans="1:2" x14ac:dyDescent="0.25">
      <c r="A26073"/>
      <c r="B26073"/>
    </row>
    <row r="26074" spans="1:2" x14ac:dyDescent="0.25">
      <c r="A26074"/>
      <c r="B26074"/>
    </row>
    <row r="26075" spans="1:2" x14ac:dyDescent="0.25">
      <c r="A26075"/>
      <c r="B26075"/>
    </row>
    <row r="26076" spans="1:2" x14ac:dyDescent="0.25">
      <c r="A26076"/>
      <c r="B26076"/>
    </row>
    <row r="26077" spans="1:2" x14ac:dyDescent="0.25">
      <c r="A26077"/>
      <c r="B26077"/>
    </row>
    <row r="26078" spans="1:2" x14ac:dyDescent="0.25">
      <c r="A26078"/>
      <c r="B26078"/>
    </row>
    <row r="26079" spans="1:2" x14ac:dyDescent="0.25">
      <c r="A26079"/>
      <c r="B26079"/>
    </row>
    <row r="26080" spans="1:2" x14ac:dyDescent="0.25">
      <c r="A26080"/>
      <c r="B26080"/>
    </row>
    <row r="26081" spans="1:2" x14ac:dyDescent="0.25">
      <c r="A26081"/>
      <c r="B26081"/>
    </row>
    <row r="26082" spans="1:2" x14ac:dyDescent="0.25">
      <c r="A26082"/>
      <c r="B26082"/>
    </row>
    <row r="26083" spans="1:2" x14ac:dyDescent="0.25">
      <c r="A26083"/>
      <c r="B26083"/>
    </row>
    <row r="26084" spans="1:2" x14ac:dyDescent="0.25">
      <c r="A26084"/>
      <c r="B26084"/>
    </row>
    <row r="26085" spans="1:2" x14ac:dyDescent="0.25">
      <c r="A26085"/>
      <c r="B26085"/>
    </row>
    <row r="26086" spans="1:2" x14ac:dyDescent="0.25">
      <c r="A26086"/>
      <c r="B26086"/>
    </row>
    <row r="26087" spans="1:2" x14ac:dyDescent="0.25">
      <c r="A26087"/>
      <c r="B26087"/>
    </row>
    <row r="26088" spans="1:2" x14ac:dyDescent="0.25">
      <c r="A26088"/>
      <c r="B26088"/>
    </row>
    <row r="26089" spans="1:2" x14ac:dyDescent="0.25">
      <c r="A26089"/>
      <c r="B26089"/>
    </row>
    <row r="26090" spans="1:2" x14ac:dyDescent="0.25">
      <c r="A26090"/>
      <c r="B26090"/>
    </row>
    <row r="26091" spans="1:2" x14ac:dyDescent="0.25">
      <c r="A26091"/>
      <c r="B26091"/>
    </row>
    <row r="26092" spans="1:2" x14ac:dyDescent="0.25">
      <c r="A26092"/>
      <c r="B26092"/>
    </row>
    <row r="26093" spans="1:2" x14ac:dyDescent="0.25">
      <c r="A26093"/>
      <c r="B26093"/>
    </row>
    <row r="26094" spans="1:2" x14ac:dyDescent="0.25">
      <c r="A26094"/>
      <c r="B26094"/>
    </row>
    <row r="26095" spans="1:2" x14ac:dyDescent="0.25">
      <c r="A26095"/>
      <c r="B26095"/>
    </row>
    <row r="26096" spans="1:2" x14ac:dyDescent="0.25">
      <c r="A26096"/>
      <c r="B26096"/>
    </row>
    <row r="26097" spans="1:2" x14ac:dyDescent="0.25">
      <c r="A26097"/>
      <c r="B26097"/>
    </row>
    <row r="26098" spans="1:2" x14ac:dyDescent="0.25">
      <c r="A26098"/>
      <c r="B26098"/>
    </row>
    <row r="26099" spans="1:2" x14ac:dyDescent="0.25">
      <c r="A26099"/>
      <c r="B26099"/>
    </row>
    <row r="26100" spans="1:2" x14ac:dyDescent="0.25">
      <c r="A26100"/>
      <c r="B26100"/>
    </row>
    <row r="26101" spans="1:2" x14ac:dyDescent="0.25">
      <c r="A26101"/>
      <c r="B26101"/>
    </row>
    <row r="26102" spans="1:2" x14ac:dyDescent="0.25">
      <c r="A26102"/>
      <c r="B26102"/>
    </row>
    <row r="26103" spans="1:2" x14ac:dyDescent="0.25">
      <c r="A26103"/>
      <c r="B26103"/>
    </row>
    <row r="26104" spans="1:2" x14ac:dyDescent="0.25">
      <c r="A26104"/>
      <c r="B26104"/>
    </row>
    <row r="26105" spans="1:2" x14ac:dyDescent="0.25">
      <c r="A26105"/>
      <c r="B26105"/>
    </row>
    <row r="26106" spans="1:2" x14ac:dyDescent="0.25">
      <c r="A26106"/>
      <c r="B26106"/>
    </row>
    <row r="26107" spans="1:2" x14ac:dyDescent="0.25">
      <c r="A26107"/>
      <c r="B26107"/>
    </row>
    <row r="26108" spans="1:2" x14ac:dyDescent="0.25">
      <c r="A26108"/>
      <c r="B26108"/>
    </row>
    <row r="26109" spans="1:2" x14ac:dyDescent="0.25">
      <c r="A26109"/>
      <c r="B26109"/>
    </row>
    <row r="26110" spans="1:2" x14ac:dyDescent="0.25">
      <c r="A26110"/>
      <c r="B26110"/>
    </row>
    <row r="26111" spans="1:2" x14ac:dyDescent="0.25">
      <c r="A26111"/>
      <c r="B26111"/>
    </row>
    <row r="26112" spans="1:2" x14ac:dyDescent="0.25">
      <c r="A26112"/>
      <c r="B26112"/>
    </row>
    <row r="26113" spans="1:2" x14ac:dyDescent="0.25">
      <c r="A26113"/>
      <c r="B26113"/>
    </row>
    <row r="26114" spans="1:2" x14ac:dyDescent="0.25">
      <c r="A26114"/>
      <c r="B26114"/>
    </row>
    <row r="26115" spans="1:2" x14ac:dyDescent="0.25">
      <c r="A26115"/>
      <c r="B26115"/>
    </row>
    <row r="26116" spans="1:2" x14ac:dyDescent="0.25">
      <c r="A26116"/>
      <c r="B26116"/>
    </row>
    <row r="26117" spans="1:2" x14ac:dyDescent="0.25">
      <c r="A26117"/>
      <c r="B26117"/>
    </row>
    <row r="26118" spans="1:2" x14ac:dyDescent="0.25">
      <c r="A26118"/>
      <c r="B26118"/>
    </row>
    <row r="26119" spans="1:2" x14ac:dyDescent="0.25">
      <c r="A26119"/>
      <c r="B26119"/>
    </row>
    <row r="26120" spans="1:2" x14ac:dyDescent="0.25">
      <c r="A26120"/>
      <c r="B26120"/>
    </row>
    <row r="26121" spans="1:2" x14ac:dyDescent="0.25">
      <c r="A26121"/>
      <c r="B26121"/>
    </row>
    <row r="26122" spans="1:2" x14ac:dyDescent="0.25">
      <c r="A26122"/>
      <c r="B26122"/>
    </row>
    <row r="26123" spans="1:2" x14ac:dyDescent="0.25">
      <c r="A26123"/>
      <c r="B26123"/>
    </row>
    <row r="26124" spans="1:2" x14ac:dyDescent="0.25">
      <c r="A26124"/>
      <c r="B26124"/>
    </row>
    <row r="26125" spans="1:2" x14ac:dyDescent="0.25">
      <c r="A26125"/>
      <c r="B26125"/>
    </row>
    <row r="26126" spans="1:2" x14ac:dyDescent="0.25">
      <c r="A26126"/>
      <c r="B26126"/>
    </row>
    <row r="26127" spans="1:2" x14ac:dyDescent="0.25">
      <c r="A26127"/>
      <c r="B26127"/>
    </row>
    <row r="26128" spans="1:2" x14ac:dyDescent="0.25">
      <c r="A26128"/>
      <c r="B26128"/>
    </row>
    <row r="26129" spans="1:2" x14ac:dyDescent="0.25">
      <c r="A26129"/>
      <c r="B26129"/>
    </row>
    <row r="26130" spans="1:2" x14ac:dyDescent="0.25">
      <c r="A26130"/>
      <c r="B26130"/>
    </row>
    <row r="26131" spans="1:2" x14ac:dyDescent="0.25">
      <c r="A26131"/>
      <c r="B26131"/>
    </row>
    <row r="26132" spans="1:2" x14ac:dyDescent="0.25">
      <c r="A26132"/>
      <c r="B26132"/>
    </row>
    <row r="26133" spans="1:2" x14ac:dyDescent="0.25">
      <c r="A26133"/>
      <c r="B26133"/>
    </row>
    <row r="26134" spans="1:2" x14ac:dyDescent="0.25">
      <c r="A26134"/>
      <c r="B26134"/>
    </row>
    <row r="26135" spans="1:2" x14ac:dyDescent="0.25">
      <c r="A26135"/>
      <c r="B26135"/>
    </row>
    <row r="26136" spans="1:2" x14ac:dyDescent="0.25">
      <c r="A26136"/>
      <c r="B26136"/>
    </row>
    <row r="26137" spans="1:2" x14ac:dyDescent="0.25">
      <c r="A26137"/>
      <c r="B26137"/>
    </row>
    <row r="26138" spans="1:2" x14ac:dyDescent="0.25">
      <c r="A26138"/>
      <c r="B26138"/>
    </row>
    <row r="26139" spans="1:2" x14ac:dyDescent="0.25">
      <c r="A26139"/>
      <c r="B26139"/>
    </row>
    <row r="26140" spans="1:2" x14ac:dyDescent="0.25">
      <c r="A26140"/>
      <c r="B26140"/>
    </row>
    <row r="26141" spans="1:2" x14ac:dyDescent="0.25">
      <c r="A26141"/>
      <c r="B26141"/>
    </row>
    <row r="26142" spans="1:2" x14ac:dyDescent="0.25">
      <c r="A26142"/>
      <c r="B26142"/>
    </row>
    <row r="26143" spans="1:2" x14ac:dyDescent="0.25">
      <c r="A26143"/>
      <c r="B26143"/>
    </row>
    <row r="26144" spans="1:2" x14ac:dyDescent="0.25">
      <c r="A26144"/>
      <c r="B26144"/>
    </row>
    <row r="26145" spans="1:2" x14ac:dyDescent="0.25">
      <c r="A26145"/>
      <c r="B26145"/>
    </row>
    <row r="26146" spans="1:2" x14ac:dyDescent="0.25">
      <c r="A26146"/>
      <c r="B26146"/>
    </row>
    <row r="26147" spans="1:2" x14ac:dyDescent="0.25">
      <c r="A26147"/>
      <c r="B26147"/>
    </row>
    <row r="26148" spans="1:2" x14ac:dyDescent="0.25">
      <c r="A26148"/>
      <c r="B26148"/>
    </row>
    <row r="26149" spans="1:2" x14ac:dyDescent="0.25">
      <c r="A26149"/>
      <c r="B26149"/>
    </row>
    <row r="26150" spans="1:2" x14ac:dyDescent="0.25">
      <c r="A26150"/>
      <c r="B26150"/>
    </row>
    <row r="26151" spans="1:2" x14ac:dyDescent="0.25">
      <c r="A26151"/>
      <c r="B26151"/>
    </row>
    <row r="26152" spans="1:2" x14ac:dyDescent="0.25">
      <c r="A26152"/>
      <c r="B26152"/>
    </row>
    <row r="26153" spans="1:2" x14ac:dyDescent="0.25">
      <c r="A26153"/>
      <c r="B26153"/>
    </row>
    <row r="26154" spans="1:2" x14ac:dyDescent="0.25">
      <c r="A26154"/>
      <c r="B26154"/>
    </row>
    <row r="26155" spans="1:2" x14ac:dyDescent="0.25">
      <c r="A26155"/>
      <c r="B26155"/>
    </row>
    <row r="26156" spans="1:2" x14ac:dyDescent="0.25">
      <c r="A26156"/>
      <c r="B26156"/>
    </row>
    <row r="26157" spans="1:2" x14ac:dyDescent="0.25">
      <c r="A26157"/>
      <c r="B26157"/>
    </row>
    <row r="26158" spans="1:2" x14ac:dyDescent="0.25">
      <c r="A26158"/>
      <c r="B26158"/>
    </row>
    <row r="26159" spans="1:2" x14ac:dyDescent="0.25">
      <c r="A26159"/>
      <c r="B26159"/>
    </row>
    <row r="26160" spans="1:2" x14ac:dyDescent="0.25">
      <c r="A26160"/>
      <c r="B26160"/>
    </row>
    <row r="26161" spans="1:2" x14ac:dyDescent="0.25">
      <c r="A26161"/>
      <c r="B26161"/>
    </row>
    <row r="26162" spans="1:2" x14ac:dyDescent="0.25">
      <c r="A26162"/>
      <c r="B26162"/>
    </row>
    <row r="26163" spans="1:2" x14ac:dyDescent="0.25">
      <c r="A26163"/>
      <c r="B26163"/>
    </row>
    <row r="26164" spans="1:2" x14ac:dyDescent="0.25">
      <c r="A26164"/>
      <c r="B26164"/>
    </row>
    <row r="26165" spans="1:2" x14ac:dyDescent="0.25">
      <c r="A26165"/>
      <c r="B26165"/>
    </row>
    <row r="26166" spans="1:2" x14ac:dyDescent="0.25">
      <c r="A26166"/>
      <c r="B26166"/>
    </row>
    <row r="26167" spans="1:2" x14ac:dyDescent="0.25">
      <c r="A26167"/>
      <c r="B26167"/>
    </row>
    <row r="26168" spans="1:2" x14ac:dyDescent="0.25">
      <c r="A26168"/>
      <c r="B26168"/>
    </row>
    <row r="26169" spans="1:2" x14ac:dyDescent="0.25">
      <c r="A26169"/>
      <c r="B26169"/>
    </row>
    <row r="26170" spans="1:2" x14ac:dyDescent="0.25">
      <c r="A26170"/>
      <c r="B26170"/>
    </row>
    <row r="26171" spans="1:2" x14ac:dyDescent="0.25">
      <c r="A26171"/>
      <c r="B26171"/>
    </row>
    <row r="26172" spans="1:2" x14ac:dyDescent="0.25">
      <c r="A26172"/>
      <c r="B26172"/>
    </row>
    <row r="26173" spans="1:2" x14ac:dyDescent="0.25">
      <c r="A26173"/>
      <c r="B26173"/>
    </row>
    <row r="26174" spans="1:2" x14ac:dyDescent="0.25">
      <c r="A26174"/>
      <c r="B26174"/>
    </row>
    <row r="26175" spans="1:2" x14ac:dyDescent="0.25">
      <c r="A26175"/>
      <c r="B26175"/>
    </row>
    <row r="26176" spans="1:2" x14ac:dyDescent="0.25">
      <c r="A26176"/>
      <c r="B26176"/>
    </row>
    <row r="26177" spans="1:2" x14ac:dyDescent="0.25">
      <c r="A26177"/>
      <c r="B26177"/>
    </row>
    <row r="26178" spans="1:2" x14ac:dyDescent="0.25">
      <c r="A26178"/>
      <c r="B26178"/>
    </row>
    <row r="26179" spans="1:2" x14ac:dyDescent="0.25">
      <c r="A26179"/>
      <c r="B26179"/>
    </row>
    <row r="26180" spans="1:2" x14ac:dyDescent="0.25">
      <c r="A26180"/>
      <c r="B26180"/>
    </row>
    <row r="26181" spans="1:2" x14ac:dyDescent="0.25">
      <c r="A26181"/>
      <c r="B26181"/>
    </row>
    <row r="26182" spans="1:2" x14ac:dyDescent="0.25">
      <c r="A26182"/>
      <c r="B26182"/>
    </row>
    <row r="26183" spans="1:2" x14ac:dyDescent="0.25">
      <c r="A26183"/>
      <c r="B26183"/>
    </row>
    <row r="26184" spans="1:2" x14ac:dyDescent="0.25">
      <c r="A26184"/>
      <c r="B26184"/>
    </row>
    <row r="26185" spans="1:2" x14ac:dyDescent="0.25">
      <c r="A26185"/>
      <c r="B26185"/>
    </row>
    <row r="26186" spans="1:2" x14ac:dyDescent="0.25">
      <c r="A26186"/>
      <c r="B26186"/>
    </row>
    <row r="26187" spans="1:2" x14ac:dyDescent="0.25">
      <c r="A26187"/>
      <c r="B26187"/>
    </row>
    <row r="26188" spans="1:2" x14ac:dyDescent="0.25">
      <c r="A26188"/>
      <c r="B26188"/>
    </row>
    <row r="26189" spans="1:2" x14ac:dyDescent="0.25">
      <c r="A26189"/>
      <c r="B26189"/>
    </row>
    <row r="26190" spans="1:2" x14ac:dyDescent="0.25">
      <c r="A26190"/>
      <c r="B26190"/>
    </row>
    <row r="26191" spans="1:2" x14ac:dyDescent="0.25">
      <c r="A26191"/>
      <c r="B26191"/>
    </row>
    <row r="26192" spans="1:2" x14ac:dyDescent="0.25">
      <c r="A26192"/>
      <c r="B26192"/>
    </row>
    <row r="26193" spans="1:2" x14ac:dyDescent="0.25">
      <c r="A26193"/>
      <c r="B26193"/>
    </row>
    <row r="26194" spans="1:2" x14ac:dyDescent="0.25">
      <c r="A26194"/>
      <c r="B26194"/>
    </row>
    <row r="26195" spans="1:2" x14ac:dyDescent="0.25">
      <c r="A26195"/>
      <c r="B26195"/>
    </row>
    <row r="26196" spans="1:2" x14ac:dyDescent="0.25">
      <c r="A26196"/>
      <c r="B26196"/>
    </row>
    <row r="26197" spans="1:2" x14ac:dyDescent="0.25">
      <c r="A26197"/>
      <c r="B26197"/>
    </row>
    <row r="26198" spans="1:2" x14ac:dyDescent="0.25">
      <c r="A26198"/>
      <c r="B26198"/>
    </row>
    <row r="26199" spans="1:2" x14ac:dyDescent="0.25">
      <c r="A26199"/>
      <c r="B26199"/>
    </row>
    <row r="26200" spans="1:2" x14ac:dyDescent="0.25">
      <c r="A26200"/>
      <c r="B26200"/>
    </row>
    <row r="26201" spans="1:2" x14ac:dyDescent="0.25">
      <c r="A26201"/>
      <c r="B26201"/>
    </row>
    <row r="26202" spans="1:2" x14ac:dyDescent="0.25">
      <c r="A26202"/>
      <c r="B26202"/>
    </row>
    <row r="26203" spans="1:2" x14ac:dyDescent="0.25">
      <c r="A26203"/>
      <c r="B26203"/>
    </row>
    <row r="26204" spans="1:2" x14ac:dyDescent="0.25">
      <c r="A26204"/>
      <c r="B26204"/>
    </row>
    <row r="26205" spans="1:2" x14ac:dyDescent="0.25">
      <c r="A26205"/>
      <c r="B26205"/>
    </row>
    <row r="26206" spans="1:2" x14ac:dyDescent="0.25">
      <c r="A26206"/>
      <c r="B26206"/>
    </row>
    <row r="26207" spans="1:2" x14ac:dyDescent="0.25">
      <c r="A26207"/>
      <c r="B26207"/>
    </row>
    <row r="26208" spans="1:2" x14ac:dyDescent="0.25">
      <c r="A26208"/>
      <c r="B26208"/>
    </row>
    <row r="26209" spans="1:2" x14ac:dyDescent="0.25">
      <c r="A26209"/>
      <c r="B26209"/>
    </row>
    <row r="26210" spans="1:2" x14ac:dyDescent="0.25">
      <c r="A26210"/>
      <c r="B26210"/>
    </row>
    <row r="26211" spans="1:2" x14ac:dyDescent="0.25">
      <c r="A26211"/>
      <c r="B26211"/>
    </row>
    <row r="26212" spans="1:2" x14ac:dyDescent="0.25">
      <c r="A26212"/>
      <c r="B26212"/>
    </row>
    <row r="26213" spans="1:2" x14ac:dyDescent="0.25">
      <c r="A26213"/>
      <c r="B26213"/>
    </row>
    <row r="26214" spans="1:2" x14ac:dyDescent="0.25">
      <c r="A26214"/>
      <c r="B26214"/>
    </row>
    <row r="26215" spans="1:2" x14ac:dyDescent="0.25">
      <c r="A26215"/>
      <c r="B26215"/>
    </row>
    <row r="26216" spans="1:2" x14ac:dyDescent="0.25">
      <c r="A26216"/>
      <c r="B26216"/>
    </row>
    <row r="26217" spans="1:2" x14ac:dyDescent="0.25">
      <c r="A26217"/>
      <c r="B26217"/>
    </row>
    <row r="26218" spans="1:2" x14ac:dyDescent="0.25">
      <c r="A26218"/>
      <c r="B26218"/>
    </row>
    <row r="26219" spans="1:2" x14ac:dyDescent="0.25">
      <c r="A26219"/>
      <c r="B26219"/>
    </row>
    <row r="26220" spans="1:2" x14ac:dyDescent="0.25">
      <c r="A26220"/>
      <c r="B26220"/>
    </row>
    <row r="26221" spans="1:2" x14ac:dyDescent="0.25">
      <c r="A26221"/>
      <c r="B26221"/>
    </row>
    <row r="26222" spans="1:2" x14ac:dyDescent="0.25">
      <c r="A26222"/>
      <c r="B26222"/>
    </row>
    <row r="26223" spans="1:2" x14ac:dyDescent="0.25">
      <c r="A26223"/>
      <c r="B26223"/>
    </row>
    <row r="26224" spans="1:2" x14ac:dyDescent="0.25">
      <c r="A26224"/>
      <c r="B26224"/>
    </row>
    <row r="26225" spans="1:2" x14ac:dyDescent="0.25">
      <c r="A26225"/>
      <c r="B26225"/>
    </row>
    <row r="26226" spans="1:2" x14ac:dyDescent="0.25">
      <c r="A26226"/>
      <c r="B26226"/>
    </row>
    <row r="26227" spans="1:2" x14ac:dyDescent="0.25">
      <c r="A26227"/>
      <c r="B26227"/>
    </row>
    <row r="26228" spans="1:2" x14ac:dyDescent="0.25">
      <c r="A26228"/>
      <c r="B26228"/>
    </row>
    <row r="26229" spans="1:2" x14ac:dyDescent="0.25">
      <c r="A26229"/>
      <c r="B26229"/>
    </row>
    <row r="26230" spans="1:2" x14ac:dyDescent="0.25">
      <c r="A26230"/>
      <c r="B26230"/>
    </row>
    <row r="26231" spans="1:2" x14ac:dyDescent="0.25">
      <c r="A26231"/>
      <c r="B26231"/>
    </row>
    <row r="26232" spans="1:2" x14ac:dyDescent="0.25">
      <c r="A26232"/>
      <c r="B26232"/>
    </row>
    <row r="26233" spans="1:2" x14ac:dyDescent="0.25">
      <c r="A26233"/>
      <c r="B26233"/>
    </row>
    <row r="26234" spans="1:2" x14ac:dyDescent="0.25">
      <c r="A26234"/>
      <c r="B26234"/>
    </row>
    <row r="26235" spans="1:2" x14ac:dyDescent="0.25">
      <c r="A26235"/>
      <c r="B26235"/>
    </row>
    <row r="26236" spans="1:2" x14ac:dyDescent="0.25">
      <c r="A26236"/>
      <c r="B26236"/>
    </row>
    <row r="26237" spans="1:2" x14ac:dyDescent="0.25">
      <c r="A26237"/>
      <c r="B26237"/>
    </row>
    <row r="26238" spans="1:2" x14ac:dyDescent="0.25">
      <c r="A26238"/>
      <c r="B26238"/>
    </row>
    <row r="26239" spans="1:2" x14ac:dyDescent="0.25">
      <c r="A26239"/>
      <c r="B26239"/>
    </row>
    <row r="26240" spans="1:2" x14ac:dyDescent="0.25">
      <c r="A26240"/>
      <c r="B26240"/>
    </row>
    <row r="26241" spans="1:2" x14ac:dyDescent="0.25">
      <c r="A26241"/>
      <c r="B26241"/>
    </row>
    <row r="26242" spans="1:2" x14ac:dyDescent="0.25">
      <c r="A26242"/>
      <c r="B26242"/>
    </row>
    <row r="26243" spans="1:2" x14ac:dyDescent="0.25">
      <c r="A26243"/>
      <c r="B26243"/>
    </row>
    <row r="26244" spans="1:2" x14ac:dyDescent="0.25">
      <c r="A26244"/>
      <c r="B26244"/>
    </row>
    <row r="26245" spans="1:2" x14ac:dyDescent="0.25">
      <c r="A26245"/>
      <c r="B26245"/>
    </row>
    <row r="26246" spans="1:2" x14ac:dyDescent="0.25">
      <c r="A26246"/>
      <c r="B26246"/>
    </row>
    <row r="26247" spans="1:2" x14ac:dyDescent="0.25">
      <c r="A26247"/>
      <c r="B26247"/>
    </row>
    <row r="26248" spans="1:2" x14ac:dyDescent="0.25">
      <c r="A26248"/>
      <c r="B26248"/>
    </row>
    <row r="26249" spans="1:2" x14ac:dyDescent="0.25">
      <c r="A26249"/>
      <c r="B26249"/>
    </row>
    <row r="26250" spans="1:2" x14ac:dyDescent="0.25">
      <c r="A26250"/>
      <c r="B26250"/>
    </row>
    <row r="26251" spans="1:2" x14ac:dyDescent="0.25">
      <c r="A26251"/>
      <c r="B26251"/>
    </row>
    <row r="26252" spans="1:2" x14ac:dyDescent="0.25">
      <c r="A26252"/>
      <c r="B26252"/>
    </row>
    <row r="26253" spans="1:2" x14ac:dyDescent="0.25">
      <c r="A26253"/>
      <c r="B26253"/>
    </row>
    <row r="26254" spans="1:2" x14ac:dyDescent="0.25">
      <c r="A26254"/>
      <c r="B26254"/>
    </row>
    <row r="26255" spans="1:2" x14ac:dyDescent="0.25">
      <c r="A26255"/>
      <c r="B26255"/>
    </row>
    <row r="26256" spans="1:2" x14ac:dyDescent="0.25">
      <c r="A26256"/>
      <c r="B26256"/>
    </row>
    <row r="26257" spans="1:2" x14ac:dyDescent="0.25">
      <c r="A26257"/>
      <c r="B26257"/>
    </row>
    <row r="26258" spans="1:2" x14ac:dyDescent="0.25">
      <c r="A26258"/>
      <c r="B26258"/>
    </row>
    <row r="26259" spans="1:2" x14ac:dyDescent="0.25">
      <c r="A26259"/>
      <c r="B26259"/>
    </row>
    <row r="26260" spans="1:2" x14ac:dyDescent="0.25">
      <c r="A26260"/>
      <c r="B26260"/>
    </row>
    <row r="26261" spans="1:2" x14ac:dyDescent="0.25">
      <c r="A26261"/>
      <c r="B26261"/>
    </row>
    <row r="26262" spans="1:2" x14ac:dyDescent="0.25">
      <c r="A26262"/>
      <c r="B26262"/>
    </row>
    <row r="26263" spans="1:2" x14ac:dyDescent="0.25">
      <c r="A26263"/>
      <c r="B26263"/>
    </row>
    <row r="26264" spans="1:2" x14ac:dyDescent="0.25">
      <c r="A26264"/>
      <c r="B26264"/>
    </row>
    <row r="26265" spans="1:2" x14ac:dyDescent="0.25">
      <c r="A26265"/>
      <c r="B26265"/>
    </row>
    <row r="26266" spans="1:2" x14ac:dyDescent="0.25">
      <c r="A26266"/>
      <c r="B26266"/>
    </row>
    <row r="26267" spans="1:2" x14ac:dyDescent="0.25">
      <c r="A26267"/>
      <c r="B26267"/>
    </row>
    <row r="26268" spans="1:2" x14ac:dyDescent="0.25">
      <c r="A26268"/>
      <c r="B26268"/>
    </row>
    <row r="26269" spans="1:2" x14ac:dyDescent="0.25">
      <c r="A26269"/>
      <c r="B26269"/>
    </row>
    <row r="26270" spans="1:2" x14ac:dyDescent="0.25">
      <c r="A26270"/>
      <c r="B26270"/>
    </row>
    <row r="26271" spans="1:2" x14ac:dyDescent="0.25">
      <c r="A26271"/>
      <c r="B26271"/>
    </row>
    <row r="26272" spans="1:2" x14ac:dyDescent="0.25">
      <c r="A26272"/>
      <c r="B26272"/>
    </row>
    <row r="26273" spans="1:2" x14ac:dyDescent="0.25">
      <c r="A26273"/>
      <c r="B26273"/>
    </row>
    <row r="26274" spans="1:2" x14ac:dyDescent="0.25">
      <c r="A26274"/>
      <c r="B26274"/>
    </row>
    <row r="26275" spans="1:2" x14ac:dyDescent="0.25">
      <c r="A26275"/>
      <c r="B26275"/>
    </row>
    <row r="26276" spans="1:2" x14ac:dyDescent="0.25">
      <c r="A26276"/>
      <c r="B26276"/>
    </row>
    <row r="26277" spans="1:2" x14ac:dyDescent="0.25">
      <c r="A26277"/>
      <c r="B26277"/>
    </row>
    <row r="26278" spans="1:2" x14ac:dyDescent="0.25">
      <c r="A26278"/>
      <c r="B26278"/>
    </row>
    <row r="26279" spans="1:2" x14ac:dyDescent="0.25">
      <c r="A26279"/>
      <c r="B26279"/>
    </row>
    <row r="26280" spans="1:2" x14ac:dyDescent="0.25">
      <c r="A26280"/>
      <c r="B26280"/>
    </row>
    <row r="26281" spans="1:2" x14ac:dyDescent="0.25">
      <c r="A26281"/>
      <c r="B26281"/>
    </row>
    <row r="26282" spans="1:2" x14ac:dyDescent="0.25">
      <c r="A26282"/>
      <c r="B26282"/>
    </row>
    <row r="26283" spans="1:2" x14ac:dyDescent="0.25">
      <c r="A26283"/>
      <c r="B26283"/>
    </row>
    <row r="26284" spans="1:2" x14ac:dyDescent="0.25">
      <c r="A26284"/>
      <c r="B26284"/>
    </row>
    <row r="26285" spans="1:2" x14ac:dyDescent="0.25">
      <c r="A26285"/>
      <c r="B26285"/>
    </row>
    <row r="26286" spans="1:2" x14ac:dyDescent="0.25">
      <c r="A26286"/>
      <c r="B26286"/>
    </row>
    <row r="26287" spans="1:2" x14ac:dyDescent="0.25">
      <c r="A26287"/>
      <c r="B26287"/>
    </row>
    <row r="26288" spans="1:2" x14ac:dyDescent="0.25">
      <c r="A26288"/>
      <c r="B26288"/>
    </row>
    <row r="26289" spans="1:2" x14ac:dyDescent="0.25">
      <c r="A26289"/>
      <c r="B26289"/>
    </row>
    <row r="26290" spans="1:2" x14ac:dyDescent="0.25">
      <c r="A26290"/>
      <c r="B26290"/>
    </row>
    <row r="26291" spans="1:2" x14ac:dyDescent="0.25">
      <c r="A26291"/>
      <c r="B26291"/>
    </row>
    <row r="26292" spans="1:2" x14ac:dyDescent="0.25">
      <c r="A26292"/>
      <c r="B26292"/>
    </row>
    <row r="26293" spans="1:2" x14ac:dyDescent="0.25">
      <c r="A26293"/>
      <c r="B26293"/>
    </row>
    <row r="26294" spans="1:2" x14ac:dyDescent="0.25">
      <c r="A26294"/>
      <c r="B26294"/>
    </row>
    <row r="26295" spans="1:2" x14ac:dyDescent="0.25">
      <c r="A26295"/>
      <c r="B26295"/>
    </row>
    <row r="26296" spans="1:2" x14ac:dyDescent="0.25">
      <c r="A26296"/>
      <c r="B26296"/>
    </row>
    <row r="26297" spans="1:2" x14ac:dyDescent="0.25">
      <c r="A26297"/>
      <c r="B26297"/>
    </row>
    <row r="26298" spans="1:2" x14ac:dyDescent="0.25">
      <c r="A26298"/>
      <c r="B26298"/>
    </row>
    <row r="26299" spans="1:2" x14ac:dyDescent="0.25">
      <c r="A26299"/>
      <c r="B26299"/>
    </row>
    <row r="26300" spans="1:2" x14ac:dyDescent="0.25">
      <c r="A26300"/>
      <c r="B26300"/>
    </row>
    <row r="26301" spans="1:2" x14ac:dyDescent="0.25">
      <c r="A26301"/>
      <c r="B26301"/>
    </row>
    <row r="26302" spans="1:2" x14ac:dyDescent="0.25">
      <c r="A26302"/>
      <c r="B26302"/>
    </row>
    <row r="26303" spans="1:2" x14ac:dyDescent="0.25">
      <c r="A26303"/>
      <c r="B26303"/>
    </row>
    <row r="26304" spans="1:2" x14ac:dyDescent="0.25">
      <c r="A26304"/>
      <c r="B26304"/>
    </row>
    <row r="26305" spans="1:2" x14ac:dyDescent="0.25">
      <c r="A26305"/>
      <c r="B26305"/>
    </row>
    <row r="26306" spans="1:2" x14ac:dyDescent="0.25">
      <c r="A26306"/>
      <c r="B26306"/>
    </row>
    <row r="26307" spans="1:2" x14ac:dyDescent="0.25">
      <c r="A26307"/>
      <c r="B26307"/>
    </row>
    <row r="26308" spans="1:2" x14ac:dyDescent="0.25">
      <c r="A26308"/>
      <c r="B26308"/>
    </row>
    <row r="26309" spans="1:2" x14ac:dyDescent="0.25">
      <c r="A26309"/>
      <c r="B26309"/>
    </row>
    <row r="26310" spans="1:2" x14ac:dyDescent="0.25">
      <c r="A26310"/>
      <c r="B26310"/>
    </row>
    <row r="26311" spans="1:2" x14ac:dyDescent="0.25">
      <c r="A26311"/>
      <c r="B26311"/>
    </row>
    <row r="26312" spans="1:2" x14ac:dyDescent="0.25">
      <c r="A26312"/>
      <c r="B26312"/>
    </row>
    <row r="26313" spans="1:2" x14ac:dyDescent="0.25">
      <c r="A26313"/>
      <c r="B26313"/>
    </row>
    <row r="26314" spans="1:2" x14ac:dyDescent="0.25">
      <c r="A26314"/>
      <c r="B26314"/>
    </row>
    <row r="26315" spans="1:2" x14ac:dyDescent="0.25">
      <c r="A26315"/>
      <c r="B26315"/>
    </row>
    <row r="26316" spans="1:2" x14ac:dyDescent="0.25">
      <c r="A26316"/>
      <c r="B26316"/>
    </row>
    <row r="26317" spans="1:2" x14ac:dyDescent="0.25">
      <c r="A26317"/>
      <c r="B26317"/>
    </row>
    <row r="26318" spans="1:2" x14ac:dyDescent="0.25">
      <c r="A26318"/>
      <c r="B26318"/>
    </row>
    <row r="26319" spans="1:2" x14ac:dyDescent="0.25">
      <c r="A26319"/>
      <c r="B26319"/>
    </row>
    <row r="26320" spans="1:2" x14ac:dyDescent="0.25">
      <c r="A26320"/>
      <c r="B26320"/>
    </row>
    <row r="26321" spans="1:2" x14ac:dyDescent="0.25">
      <c r="A26321"/>
      <c r="B26321"/>
    </row>
    <row r="26322" spans="1:2" x14ac:dyDescent="0.25">
      <c r="A26322"/>
      <c r="B26322"/>
    </row>
    <row r="26323" spans="1:2" x14ac:dyDescent="0.25">
      <c r="A26323"/>
      <c r="B26323"/>
    </row>
    <row r="26324" spans="1:2" x14ac:dyDescent="0.25">
      <c r="A26324"/>
      <c r="B26324"/>
    </row>
    <row r="26325" spans="1:2" x14ac:dyDescent="0.25">
      <c r="A26325"/>
      <c r="B26325"/>
    </row>
    <row r="26326" spans="1:2" x14ac:dyDescent="0.25">
      <c r="A26326"/>
      <c r="B26326"/>
    </row>
    <row r="26327" spans="1:2" x14ac:dyDescent="0.25">
      <c r="A26327"/>
      <c r="B26327"/>
    </row>
    <row r="26328" spans="1:2" x14ac:dyDescent="0.25">
      <c r="A26328"/>
      <c r="B26328"/>
    </row>
    <row r="26329" spans="1:2" x14ac:dyDescent="0.25">
      <c r="A26329"/>
      <c r="B26329"/>
    </row>
    <row r="26330" spans="1:2" x14ac:dyDescent="0.25">
      <c r="A26330"/>
      <c r="B26330"/>
    </row>
    <row r="26331" spans="1:2" x14ac:dyDescent="0.25">
      <c r="A26331"/>
      <c r="B26331"/>
    </row>
    <row r="26332" spans="1:2" x14ac:dyDescent="0.25">
      <c r="A26332"/>
      <c r="B26332"/>
    </row>
    <row r="26333" spans="1:2" x14ac:dyDescent="0.25">
      <c r="A26333"/>
      <c r="B26333"/>
    </row>
    <row r="26334" spans="1:2" x14ac:dyDescent="0.25">
      <c r="A26334"/>
      <c r="B26334"/>
    </row>
    <row r="26335" spans="1:2" x14ac:dyDescent="0.25">
      <c r="A26335"/>
      <c r="B26335"/>
    </row>
    <row r="26336" spans="1:2" x14ac:dyDescent="0.25">
      <c r="A26336"/>
      <c r="B26336"/>
    </row>
    <row r="26337" spans="1:2" x14ac:dyDescent="0.25">
      <c r="A26337"/>
      <c r="B26337"/>
    </row>
    <row r="26338" spans="1:2" x14ac:dyDescent="0.25">
      <c r="A26338"/>
      <c r="B26338"/>
    </row>
    <row r="26339" spans="1:2" x14ac:dyDescent="0.25">
      <c r="A26339"/>
      <c r="B26339"/>
    </row>
    <row r="26340" spans="1:2" x14ac:dyDescent="0.25">
      <c r="A26340"/>
      <c r="B26340"/>
    </row>
    <row r="26341" spans="1:2" x14ac:dyDescent="0.25">
      <c r="A26341"/>
      <c r="B26341"/>
    </row>
    <row r="26342" spans="1:2" x14ac:dyDescent="0.25">
      <c r="A26342"/>
      <c r="B26342"/>
    </row>
    <row r="26343" spans="1:2" x14ac:dyDescent="0.25">
      <c r="A26343"/>
      <c r="B26343"/>
    </row>
    <row r="26344" spans="1:2" x14ac:dyDescent="0.25">
      <c r="A26344"/>
      <c r="B26344"/>
    </row>
    <row r="26345" spans="1:2" x14ac:dyDescent="0.25">
      <c r="A26345"/>
      <c r="B26345"/>
    </row>
    <row r="26346" spans="1:2" x14ac:dyDescent="0.25">
      <c r="A26346"/>
      <c r="B26346"/>
    </row>
    <row r="26347" spans="1:2" x14ac:dyDescent="0.25">
      <c r="A26347"/>
      <c r="B26347"/>
    </row>
    <row r="26348" spans="1:2" x14ac:dyDescent="0.25">
      <c r="A26348"/>
      <c r="B26348"/>
    </row>
    <row r="26349" spans="1:2" x14ac:dyDescent="0.25">
      <c r="A26349"/>
      <c r="B26349"/>
    </row>
    <row r="26350" spans="1:2" x14ac:dyDescent="0.25">
      <c r="A26350"/>
      <c r="B26350"/>
    </row>
    <row r="26351" spans="1:2" x14ac:dyDescent="0.25">
      <c r="A26351"/>
      <c r="B26351"/>
    </row>
    <row r="26352" spans="1:2" x14ac:dyDescent="0.25">
      <c r="A26352"/>
      <c r="B26352"/>
    </row>
    <row r="26353" spans="1:2" x14ac:dyDescent="0.25">
      <c r="A26353"/>
      <c r="B26353"/>
    </row>
    <row r="26354" spans="1:2" x14ac:dyDescent="0.25">
      <c r="A26354"/>
      <c r="B26354"/>
    </row>
    <row r="26355" spans="1:2" x14ac:dyDescent="0.25">
      <c r="A26355"/>
      <c r="B26355"/>
    </row>
    <row r="26356" spans="1:2" x14ac:dyDescent="0.25">
      <c r="A26356"/>
      <c r="B26356"/>
    </row>
    <row r="26357" spans="1:2" x14ac:dyDescent="0.25">
      <c r="A26357"/>
      <c r="B26357"/>
    </row>
    <row r="26358" spans="1:2" x14ac:dyDescent="0.25">
      <c r="A26358"/>
      <c r="B26358"/>
    </row>
    <row r="26359" spans="1:2" x14ac:dyDescent="0.25">
      <c r="A26359"/>
      <c r="B26359"/>
    </row>
    <row r="26360" spans="1:2" x14ac:dyDescent="0.25">
      <c r="A26360"/>
      <c r="B26360"/>
    </row>
    <row r="26361" spans="1:2" x14ac:dyDescent="0.25">
      <c r="A26361"/>
      <c r="B26361"/>
    </row>
    <row r="26362" spans="1:2" x14ac:dyDescent="0.25">
      <c r="A26362"/>
      <c r="B26362"/>
    </row>
    <row r="26363" spans="1:2" x14ac:dyDescent="0.25">
      <c r="A26363"/>
      <c r="B26363"/>
    </row>
    <row r="26364" spans="1:2" x14ac:dyDescent="0.25">
      <c r="A26364"/>
      <c r="B26364"/>
    </row>
    <row r="26365" spans="1:2" x14ac:dyDescent="0.25">
      <c r="A26365"/>
      <c r="B26365"/>
    </row>
    <row r="26366" spans="1:2" x14ac:dyDescent="0.25">
      <c r="A26366"/>
      <c r="B26366"/>
    </row>
    <row r="26367" spans="1:2" x14ac:dyDescent="0.25">
      <c r="A26367"/>
      <c r="B26367"/>
    </row>
    <row r="26368" spans="1:2" x14ac:dyDescent="0.25">
      <c r="A26368"/>
      <c r="B26368"/>
    </row>
    <row r="26369" spans="1:2" x14ac:dyDescent="0.25">
      <c r="A26369"/>
      <c r="B26369"/>
    </row>
    <row r="26370" spans="1:2" x14ac:dyDescent="0.25">
      <c r="A26370"/>
      <c r="B26370"/>
    </row>
    <row r="26371" spans="1:2" x14ac:dyDescent="0.25">
      <c r="A26371"/>
      <c r="B26371"/>
    </row>
    <row r="26372" spans="1:2" x14ac:dyDescent="0.25">
      <c r="A26372"/>
      <c r="B26372"/>
    </row>
    <row r="26373" spans="1:2" x14ac:dyDescent="0.25">
      <c r="A26373"/>
      <c r="B26373"/>
    </row>
    <row r="26374" spans="1:2" x14ac:dyDescent="0.25">
      <c r="A26374"/>
      <c r="B26374"/>
    </row>
    <row r="26375" spans="1:2" x14ac:dyDescent="0.25">
      <c r="A26375"/>
      <c r="B26375"/>
    </row>
    <row r="26376" spans="1:2" x14ac:dyDescent="0.25">
      <c r="A26376"/>
      <c r="B26376"/>
    </row>
    <row r="26377" spans="1:2" x14ac:dyDescent="0.25">
      <c r="A26377"/>
      <c r="B26377"/>
    </row>
    <row r="26378" spans="1:2" x14ac:dyDescent="0.25">
      <c r="A26378"/>
      <c r="B26378"/>
    </row>
    <row r="26379" spans="1:2" x14ac:dyDescent="0.25">
      <c r="A26379"/>
      <c r="B26379"/>
    </row>
    <row r="26380" spans="1:2" x14ac:dyDescent="0.25">
      <c r="A26380"/>
      <c r="B26380"/>
    </row>
    <row r="26381" spans="1:2" x14ac:dyDescent="0.25">
      <c r="A26381"/>
      <c r="B26381"/>
    </row>
    <row r="26382" spans="1:2" x14ac:dyDescent="0.25">
      <c r="A26382"/>
      <c r="B26382"/>
    </row>
    <row r="26383" spans="1:2" x14ac:dyDescent="0.25">
      <c r="A26383"/>
      <c r="B26383"/>
    </row>
    <row r="26384" spans="1:2" x14ac:dyDescent="0.25">
      <c r="A26384"/>
      <c r="B26384"/>
    </row>
    <row r="26385" spans="1:2" x14ac:dyDescent="0.25">
      <c r="A26385"/>
      <c r="B26385"/>
    </row>
    <row r="26386" spans="1:2" x14ac:dyDescent="0.25">
      <c r="A26386"/>
      <c r="B26386"/>
    </row>
    <row r="26387" spans="1:2" x14ac:dyDescent="0.25">
      <c r="A26387"/>
      <c r="B26387"/>
    </row>
    <row r="26388" spans="1:2" x14ac:dyDescent="0.25">
      <c r="A26388"/>
      <c r="B26388"/>
    </row>
    <row r="26389" spans="1:2" x14ac:dyDescent="0.25">
      <c r="A26389"/>
      <c r="B26389"/>
    </row>
    <row r="26390" spans="1:2" x14ac:dyDescent="0.25">
      <c r="A26390"/>
      <c r="B26390"/>
    </row>
    <row r="26391" spans="1:2" x14ac:dyDescent="0.25">
      <c r="A26391"/>
      <c r="B26391"/>
    </row>
    <row r="26392" spans="1:2" x14ac:dyDescent="0.25">
      <c r="A26392"/>
      <c r="B26392"/>
    </row>
    <row r="26393" spans="1:2" x14ac:dyDescent="0.25">
      <c r="A26393"/>
      <c r="B26393"/>
    </row>
    <row r="26394" spans="1:2" x14ac:dyDescent="0.25">
      <c r="A26394"/>
      <c r="B26394"/>
    </row>
    <row r="26395" spans="1:2" x14ac:dyDescent="0.25">
      <c r="A26395"/>
      <c r="B26395"/>
    </row>
    <row r="26396" spans="1:2" x14ac:dyDescent="0.25">
      <c r="A26396"/>
      <c r="B26396"/>
    </row>
    <row r="26397" spans="1:2" x14ac:dyDescent="0.25">
      <c r="A26397"/>
      <c r="B26397"/>
    </row>
    <row r="26398" spans="1:2" x14ac:dyDescent="0.25">
      <c r="A26398"/>
      <c r="B26398"/>
    </row>
    <row r="26399" spans="1:2" x14ac:dyDescent="0.25">
      <c r="A26399"/>
      <c r="B26399"/>
    </row>
    <row r="26400" spans="1:2" x14ac:dyDescent="0.25">
      <c r="A26400"/>
      <c r="B26400"/>
    </row>
    <row r="26401" spans="1:2" x14ac:dyDescent="0.25">
      <c r="A26401"/>
      <c r="B26401"/>
    </row>
    <row r="26402" spans="1:2" x14ac:dyDescent="0.25">
      <c r="A26402"/>
      <c r="B26402"/>
    </row>
    <row r="26403" spans="1:2" x14ac:dyDescent="0.25">
      <c r="A26403"/>
      <c r="B26403"/>
    </row>
    <row r="26404" spans="1:2" x14ac:dyDescent="0.25">
      <c r="A26404"/>
      <c r="B26404"/>
    </row>
    <row r="26405" spans="1:2" x14ac:dyDescent="0.25">
      <c r="A26405"/>
      <c r="B26405"/>
    </row>
    <row r="26406" spans="1:2" x14ac:dyDescent="0.25">
      <c r="A26406"/>
      <c r="B26406"/>
    </row>
    <row r="26407" spans="1:2" x14ac:dyDescent="0.25">
      <c r="A26407"/>
      <c r="B26407"/>
    </row>
    <row r="26408" spans="1:2" x14ac:dyDescent="0.25">
      <c r="A26408"/>
      <c r="B26408"/>
    </row>
    <row r="26409" spans="1:2" x14ac:dyDescent="0.25">
      <c r="A26409"/>
      <c r="B26409"/>
    </row>
    <row r="26410" spans="1:2" x14ac:dyDescent="0.25">
      <c r="A26410"/>
      <c r="B26410"/>
    </row>
    <row r="26411" spans="1:2" x14ac:dyDescent="0.25">
      <c r="A26411"/>
      <c r="B26411"/>
    </row>
    <row r="26412" spans="1:2" x14ac:dyDescent="0.25">
      <c r="A26412"/>
      <c r="B26412"/>
    </row>
    <row r="26413" spans="1:2" x14ac:dyDescent="0.25">
      <c r="A26413"/>
      <c r="B26413"/>
    </row>
    <row r="26414" spans="1:2" x14ac:dyDescent="0.25">
      <c r="A26414"/>
      <c r="B26414"/>
    </row>
    <row r="26415" spans="1:2" x14ac:dyDescent="0.25">
      <c r="A26415"/>
      <c r="B26415"/>
    </row>
    <row r="26416" spans="1:2" x14ac:dyDescent="0.25">
      <c r="A26416"/>
      <c r="B26416"/>
    </row>
    <row r="26417" spans="1:2" x14ac:dyDescent="0.25">
      <c r="A26417"/>
      <c r="B26417"/>
    </row>
    <row r="26418" spans="1:2" x14ac:dyDescent="0.25">
      <c r="A26418"/>
      <c r="B26418"/>
    </row>
    <row r="26419" spans="1:2" x14ac:dyDescent="0.25">
      <c r="A26419"/>
      <c r="B26419"/>
    </row>
    <row r="26420" spans="1:2" x14ac:dyDescent="0.25">
      <c r="A26420"/>
      <c r="B26420"/>
    </row>
    <row r="26421" spans="1:2" x14ac:dyDescent="0.25">
      <c r="A26421"/>
      <c r="B26421"/>
    </row>
    <row r="26422" spans="1:2" x14ac:dyDescent="0.25">
      <c r="A26422"/>
      <c r="B26422"/>
    </row>
    <row r="26423" spans="1:2" x14ac:dyDescent="0.25">
      <c r="A26423"/>
      <c r="B26423"/>
    </row>
    <row r="26424" spans="1:2" x14ac:dyDescent="0.25">
      <c r="A26424"/>
      <c r="B26424"/>
    </row>
    <row r="26425" spans="1:2" x14ac:dyDescent="0.25">
      <c r="A26425"/>
      <c r="B26425"/>
    </row>
    <row r="26426" spans="1:2" x14ac:dyDescent="0.25">
      <c r="A26426"/>
      <c r="B26426"/>
    </row>
    <row r="26427" spans="1:2" x14ac:dyDescent="0.25">
      <c r="A26427"/>
      <c r="B26427"/>
    </row>
    <row r="26428" spans="1:2" x14ac:dyDescent="0.25">
      <c r="A26428"/>
      <c r="B26428"/>
    </row>
    <row r="26429" spans="1:2" x14ac:dyDescent="0.25">
      <c r="A26429"/>
      <c r="B26429"/>
    </row>
    <row r="26430" spans="1:2" x14ac:dyDescent="0.25">
      <c r="A26430"/>
      <c r="B26430"/>
    </row>
    <row r="26431" spans="1:2" x14ac:dyDescent="0.25">
      <c r="A26431"/>
      <c r="B26431"/>
    </row>
    <row r="26432" spans="1:2" x14ac:dyDescent="0.25">
      <c r="A26432"/>
      <c r="B26432"/>
    </row>
    <row r="26433" spans="1:2" x14ac:dyDescent="0.25">
      <c r="A26433"/>
      <c r="B26433"/>
    </row>
    <row r="26434" spans="1:2" x14ac:dyDescent="0.25">
      <c r="A26434"/>
      <c r="B26434"/>
    </row>
    <row r="26435" spans="1:2" x14ac:dyDescent="0.25">
      <c r="A26435"/>
      <c r="B26435"/>
    </row>
    <row r="26436" spans="1:2" x14ac:dyDescent="0.25">
      <c r="A26436"/>
      <c r="B26436"/>
    </row>
    <row r="26437" spans="1:2" x14ac:dyDescent="0.25">
      <c r="A26437"/>
      <c r="B26437"/>
    </row>
    <row r="26438" spans="1:2" x14ac:dyDescent="0.25">
      <c r="A26438"/>
      <c r="B26438"/>
    </row>
    <row r="26439" spans="1:2" x14ac:dyDescent="0.25">
      <c r="A26439"/>
      <c r="B26439"/>
    </row>
    <row r="26440" spans="1:2" x14ac:dyDescent="0.25">
      <c r="A26440"/>
      <c r="B26440"/>
    </row>
    <row r="26441" spans="1:2" x14ac:dyDescent="0.25">
      <c r="A26441"/>
      <c r="B26441"/>
    </row>
    <row r="26442" spans="1:2" x14ac:dyDescent="0.25">
      <c r="A26442"/>
      <c r="B26442"/>
    </row>
    <row r="26443" spans="1:2" x14ac:dyDescent="0.25">
      <c r="A26443"/>
      <c r="B26443"/>
    </row>
    <row r="26444" spans="1:2" x14ac:dyDescent="0.25">
      <c r="A26444"/>
      <c r="B26444"/>
    </row>
    <row r="26445" spans="1:2" x14ac:dyDescent="0.25">
      <c r="A26445"/>
      <c r="B26445"/>
    </row>
    <row r="26446" spans="1:2" x14ac:dyDescent="0.25">
      <c r="A26446"/>
      <c r="B26446"/>
    </row>
    <row r="26447" spans="1:2" x14ac:dyDescent="0.25">
      <c r="A26447"/>
      <c r="B26447"/>
    </row>
    <row r="26448" spans="1:2" x14ac:dyDescent="0.25">
      <c r="A26448"/>
      <c r="B26448"/>
    </row>
    <row r="26449" spans="1:2" x14ac:dyDescent="0.25">
      <c r="A26449"/>
      <c r="B26449"/>
    </row>
    <row r="26450" spans="1:2" x14ac:dyDescent="0.25">
      <c r="A26450"/>
      <c r="B26450"/>
    </row>
    <row r="26451" spans="1:2" x14ac:dyDescent="0.25">
      <c r="A26451"/>
      <c r="B26451"/>
    </row>
    <row r="26452" spans="1:2" x14ac:dyDescent="0.25">
      <c r="A26452"/>
      <c r="B26452"/>
    </row>
    <row r="26453" spans="1:2" x14ac:dyDescent="0.25">
      <c r="A26453"/>
      <c r="B26453"/>
    </row>
    <row r="26454" spans="1:2" x14ac:dyDescent="0.25">
      <c r="A26454"/>
      <c r="B26454"/>
    </row>
    <row r="26455" spans="1:2" x14ac:dyDescent="0.25">
      <c r="A26455"/>
      <c r="B26455"/>
    </row>
    <row r="26456" spans="1:2" x14ac:dyDescent="0.25">
      <c r="A26456"/>
      <c r="B26456"/>
    </row>
    <row r="26457" spans="1:2" x14ac:dyDescent="0.25">
      <c r="A26457"/>
      <c r="B26457"/>
    </row>
    <row r="26458" spans="1:2" x14ac:dyDescent="0.25">
      <c r="A26458"/>
      <c r="B26458"/>
    </row>
    <row r="26459" spans="1:2" x14ac:dyDescent="0.25">
      <c r="A26459"/>
      <c r="B26459"/>
    </row>
    <row r="26460" spans="1:2" x14ac:dyDescent="0.25">
      <c r="A26460"/>
      <c r="B26460"/>
    </row>
    <row r="26461" spans="1:2" x14ac:dyDescent="0.25">
      <c r="A26461"/>
      <c r="B26461"/>
    </row>
    <row r="26462" spans="1:2" x14ac:dyDescent="0.25">
      <c r="A26462"/>
      <c r="B26462"/>
    </row>
    <row r="26463" spans="1:2" x14ac:dyDescent="0.25">
      <c r="A26463"/>
      <c r="B26463"/>
    </row>
    <row r="26464" spans="1:2" x14ac:dyDescent="0.25">
      <c r="A26464"/>
      <c r="B26464"/>
    </row>
    <row r="26465" spans="1:2" x14ac:dyDescent="0.25">
      <c r="A26465"/>
      <c r="B26465"/>
    </row>
    <row r="26466" spans="1:2" x14ac:dyDescent="0.25">
      <c r="A26466"/>
      <c r="B26466"/>
    </row>
    <row r="26467" spans="1:2" x14ac:dyDescent="0.25">
      <c r="A26467"/>
      <c r="B26467"/>
    </row>
    <row r="26468" spans="1:2" x14ac:dyDescent="0.25">
      <c r="A26468"/>
      <c r="B26468"/>
    </row>
    <row r="26469" spans="1:2" x14ac:dyDescent="0.25">
      <c r="A26469"/>
      <c r="B26469"/>
    </row>
    <row r="26470" spans="1:2" x14ac:dyDescent="0.25">
      <c r="A26470"/>
      <c r="B26470"/>
    </row>
    <row r="26471" spans="1:2" x14ac:dyDescent="0.25">
      <c r="A26471"/>
      <c r="B26471"/>
    </row>
    <row r="26472" spans="1:2" x14ac:dyDescent="0.25">
      <c r="A26472"/>
      <c r="B26472"/>
    </row>
    <row r="26473" spans="1:2" x14ac:dyDescent="0.25">
      <c r="A26473"/>
      <c r="B26473"/>
    </row>
    <row r="26474" spans="1:2" x14ac:dyDescent="0.25">
      <c r="A26474"/>
      <c r="B26474"/>
    </row>
    <row r="26475" spans="1:2" x14ac:dyDescent="0.25">
      <c r="A26475"/>
      <c r="B26475"/>
    </row>
    <row r="26476" spans="1:2" x14ac:dyDescent="0.25">
      <c r="A26476"/>
      <c r="B26476"/>
    </row>
    <row r="26477" spans="1:2" x14ac:dyDescent="0.25">
      <c r="A26477"/>
      <c r="B26477"/>
    </row>
    <row r="26478" spans="1:2" x14ac:dyDescent="0.25">
      <c r="A26478"/>
      <c r="B26478"/>
    </row>
    <row r="26479" spans="1:2" x14ac:dyDescent="0.25">
      <c r="A26479"/>
      <c r="B26479"/>
    </row>
    <row r="26480" spans="1:2" x14ac:dyDescent="0.25">
      <c r="A26480"/>
      <c r="B26480"/>
    </row>
    <row r="26481" spans="1:2" x14ac:dyDescent="0.25">
      <c r="A26481"/>
      <c r="B26481"/>
    </row>
    <row r="26482" spans="1:2" x14ac:dyDescent="0.25">
      <c r="A26482"/>
      <c r="B26482"/>
    </row>
    <row r="26483" spans="1:2" x14ac:dyDescent="0.25">
      <c r="A26483"/>
      <c r="B26483"/>
    </row>
    <row r="26484" spans="1:2" x14ac:dyDescent="0.25">
      <c r="A26484"/>
      <c r="B26484"/>
    </row>
    <row r="26485" spans="1:2" x14ac:dyDescent="0.25">
      <c r="A26485"/>
      <c r="B26485"/>
    </row>
    <row r="26486" spans="1:2" x14ac:dyDescent="0.25">
      <c r="A26486"/>
      <c r="B26486"/>
    </row>
    <row r="26487" spans="1:2" x14ac:dyDescent="0.25">
      <c r="A26487"/>
      <c r="B26487"/>
    </row>
    <row r="26488" spans="1:2" x14ac:dyDescent="0.25">
      <c r="A26488"/>
      <c r="B26488"/>
    </row>
    <row r="26489" spans="1:2" x14ac:dyDescent="0.25">
      <c r="A26489"/>
      <c r="B26489"/>
    </row>
    <row r="26490" spans="1:2" x14ac:dyDescent="0.25">
      <c r="A26490"/>
      <c r="B26490"/>
    </row>
    <row r="26491" spans="1:2" x14ac:dyDescent="0.25">
      <c r="A26491"/>
      <c r="B26491"/>
    </row>
    <row r="26492" spans="1:2" x14ac:dyDescent="0.25">
      <c r="A26492"/>
      <c r="B26492"/>
    </row>
    <row r="26493" spans="1:2" x14ac:dyDescent="0.25">
      <c r="A26493"/>
      <c r="B26493"/>
    </row>
    <row r="26494" spans="1:2" x14ac:dyDescent="0.25">
      <c r="A26494"/>
      <c r="B26494"/>
    </row>
    <row r="26495" spans="1:2" x14ac:dyDescent="0.25">
      <c r="A26495"/>
      <c r="B26495"/>
    </row>
    <row r="26496" spans="1:2" x14ac:dyDescent="0.25">
      <c r="A26496"/>
      <c r="B26496"/>
    </row>
    <row r="26497" spans="1:2" x14ac:dyDescent="0.25">
      <c r="A26497"/>
      <c r="B26497"/>
    </row>
    <row r="26498" spans="1:2" x14ac:dyDescent="0.25">
      <c r="A26498"/>
      <c r="B26498"/>
    </row>
    <row r="26499" spans="1:2" x14ac:dyDescent="0.25">
      <c r="A26499"/>
      <c r="B26499"/>
    </row>
    <row r="26500" spans="1:2" x14ac:dyDescent="0.25">
      <c r="A26500"/>
      <c r="B26500"/>
    </row>
    <row r="26501" spans="1:2" x14ac:dyDescent="0.25">
      <c r="A26501"/>
      <c r="B26501"/>
    </row>
    <row r="26502" spans="1:2" x14ac:dyDescent="0.25">
      <c r="A26502"/>
      <c r="B26502"/>
    </row>
    <row r="26503" spans="1:2" x14ac:dyDescent="0.25">
      <c r="A26503"/>
      <c r="B26503"/>
    </row>
    <row r="26504" spans="1:2" x14ac:dyDescent="0.25">
      <c r="A26504"/>
      <c r="B26504"/>
    </row>
    <row r="26505" spans="1:2" x14ac:dyDescent="0.25">
      <c r="A26505"/>
      <c r="B26505"/>
    </row>
    <row r="26506" spans="1:2" x14ac:dyDescent="0.25">
      <c r="A26506"/>
      <c r="B26506"/>
    </row>
    <row r="26507" spans="1:2" x14ac:dyDescent="0.25">
      <c r="A26507"/>
      <c r="B26507"/>
    </row>
    <row r="26508" spans="1:2" x14ac:dyDescent="0.25">
      <c r="A26508"/>
      <c r="B26508"/>
    </row>
    <row r="26509" spans="1:2" x14ac:dyDescent="0.25">
      <c r="A26509"/>
      <c r="B26509"/>
    </row>
    <row r="26510" spans="1:2" x14ac:dyDescent="0.25">
      <c r="A26510"/>
      <c r="B26510"/>
    </row>
    <row r="26511" spans="1:2" x14ac:dyDescent="0.25">
      <c r="A26511"/>
      <c r="B26511"/>
    </row>
    <row r="26512" spans="1:2" x14ac:dyDescent="0.25">
      <c r="A26512"/>
      <c r="B26512"/>
    </row>
    <row r="26513" spans="1:2" x14ac:dyDescent="0.25">
      <c r="A26513"/>
      <c r="B26513"/>
    </row>
    <row r="26514" spans="1:2" x14ac:dyDescent="0.25">
      <c r="A26514"/>
      <c r="B26514"/>
    </row>
    <row r="26515" spans="1:2" x14ac:dyDescent="0.25">
      <c r="A26515"/>
      <c r="B26515"/>
    </row>
    <row r="26516" spans="1:2" x14ac:dyDescent="0.25">
      <c r="A26516"/>
      <c r="B26516"/>
    </row>
    <row r="26517" spans="1:2" x14ac:dyDescent="0.25">
      <c r="A26517"/>
      <c r="B26517"/>
    </row>
    <row r="26518" spans="1:2" x14ac:dyDescent="0.25">
      <c r="A26518"/>
      <c r="B26518"/>
    </row>
    <row r="26519" spans="1:2" x14ac:dyDescent="0.25">
      <c r="A26519"/>
      <c r="B26519"/>
    </row>
    <row r="26520" spans="1:2" x14ac:dyDescent="0.25">
      <c r="A26520"/>
      <c r="B26520"/>
    </row>
    <row r="26521" spans="1:2" x14ac:dyDescent="0.25">
      <c r="A26521"/>
      <c r="B26521"/>
    </row>
    <row r="26522" spans="1:2" x14ac:dyDescent="0.25">
      <c r="A26522"/>
      <c r="B26522"/>
    </row>
    <row r="26523" spans="1:2" x14ac:dyDescent="0.25">
      <c r="A26523"/>
      <c r="B26523"/>
    </row>
    <row r="26524" spans="1:2" x14ac:dyDescent="0.25">
      <c r="A26524"/>
      <c r="B26524"/>
    </row>
    <row r="26525" spans="1:2" x14ac:dyDescent="0.25">
      <c r="A26525"/>
      <c r="B26525"/>
    </row>
    <row r="26526" spans="1:2" x14ac:dyDescent="0.25">
      <c r="A26526"/>
      <c r="B26526"/>
    </row>
    <row r="26527" spans="1:2" x14ac:dyDescent="0.25">
      <c r="A26527"/>
      <c r="B26527"/>
    </row>
    <row r="26528" spans="1:2" x14ac:dyDescent="0.25">
      <c r="A26528"/>
      <c r="B26528"/>
    </row>
    <row r="26529" spans="1:2" x14ac:dyDescent="0.25">
      <c r="A26529"/>
      <c r="B26529"/>
    </row>
    <row r="26530" spans="1:2" x14ac:dyDescent="0.25">
      <c r="A26530"/>
      <c r="B26530"/>
    </row>
    <row r="26531" spans="1:2" x14ac:dyDescent="0.25">
      <c r="A26531"/>
      <c r="B26531"/>
    </row>
    <row r="26532" spans="1:2" x14ac:dyDescent="0.25">
      <c r="A26532"/>
      <c r="B26532"/>
    </row>
    <row r="26533" spans="1:2" x14ac:dyDescent="0.25">
      <c r="A26533"/>
      <c r="B26533"/>
    </row>
    <row r="26534" spans="1:2" x14ac:dyDescent="0.25">
      <c r="A26534"/>
      <c r="B26534"/>
    </row>
    <row r="26535" spans="1:2" x14ac:dyDescent="0.25">
      <c r="A26535"/>
      <c r="B26535"/>
    </row>
    <row r="26536" spans="1:2" x14ac:dyDescent="0.25">
      <c r="A26536"/>
      <c r="B26536"/>
    </row>
    <row r="26537" spans="1:2" x14ac:dyDescent="0.25">
      <c r="A26537"/>
      <c r="B26537"/>
    </row>
    <row r="26538" spans="1:2" x14ac:dyDescent="0.25">
      <c r="A26538"/>
      <c r="B26538"/>
    </row>
    <row r="26539" spans="1:2" x14ac:dyDescent="0.25">
      <c r="A26539"/>
      <c r="B26539"/>
    </row>
    <row r="26540" spans="1:2" x14ac:dyDescent="0.25">
      <c r="A26540"/>
      <c r="B26540"/>
    </row>
    <row r="26541" spans="1:2" x14ac:dyDescent="0.25">
      <c r="A26541"/>
      <c r="B26541"/>
    </row>
    <row r="26542" spans="1:2" x14ac:dyDescent="0.25">
      <c r="A26542"/>
      <c r="B26542"/>
    </row>
    <row r="26543" spans="1:2" x14ac:dyDescent="0.25">
      <c r="A26543"/>
      <c r="B26543"/>
    </row>
    <row r="26544" spans="1:2" x14ac:dyDescent="0.25">
      <c r="A26544"/>
      <c r="B26544"/>
    </row>
    <row r="26545" spans="1:2" x14ac:dyDescent="0.25">
      <c r="A26545"/>
      <c r="B26545"/>
    </row>
    <row r="26546" spans="1:2" x14ac:dyDescent="0.25">
      <c r="A26546"/>
      <c r="B26546"/>
    </row>
    <row r="26547" spans="1:2" x14ac:dyDescent="0.25">
      <c r="A26547"/>
      <c r="B26547"/>
    </row>
    <row r="26548" spans="1:2" x14ac:dyDescent="0.25">
      <c r="A26548"/>
      <c r="B26548"/>
    </row>
    <row r="26549" spans="1:2" x14ac:dyDescent="0.25">
      <c r="A26549"/>
      <c r="B26549"/>
    </row>
    <row r="26550" spans="1:2" x14ac:dyDescent="0.25">
      <c r="A26550"/>
      <c r="B26550"/>
    </row>
    <row r="26551" spans="1:2" x14ac:dyDescent="0.25">
      <c r="A26551"/>
      <c r="B26551"/>
    </row>
    <row r="26552" spans="1:2" x14ac:dyDescent="0.25">
      <c r="A26552"/>
      <c r="B26552"/>
    </row>
    <row r="26553" spans="1:2" x14ac:dyDescent="0.25">
      <c r="A26553"/>
      <c r="B26553"/>
    </row>
    <row r="26554" spans="1:2" x14ac:dyDescent="0.25">
      <c r="A26554"/>
      <c r="B26554"/>
    </row>
    <row r="26555" spans="1:2" x14ac:dyDescent="0.25">
      <c r="A26555"/>
      <c r="B26555"/>
    </row>
    <row r="26556" spans="1:2" x14ac:dyDescent="0.25">
      <c r="A26556"/>
      <c r="B26556"/>
    </row>
    <row r="26557" spans="1:2" x14ac:dyDescent="0.25">
      <c r="A26557"/>
      <c r="B26557"/>
    </row>
    <row r="26558" spans="1:2" x14ac:dyDescent="0.25">
      <c r="A26558"/>
      <c r="B26558"/>
    </row>
    <row r="26559" spans="1:2" x14ac:dyDescent="0.25">
      <c r="A26559"/>
      <c r="B26559"/>
    </row>
    <row r="26560" spans="1:2" x14ac:dyDescent="0.25">
      <c r="A26560"/>
      <c r="B26560"/>
    </row>
    <row r="26561" spans="1:2" x14ac:dyDescent="0.25">
      <c r="A26561"/>
      <c r="B26561"/>
    </row>
    <row r="26562" spans="1:2" x14ac:dyDescent="0.25">
      <c r="A26562"/>
      <c r="B26562"/>
    </row>
    <row r="26563" spans="1:2" x14ac:dyDescent="0.25">
      <c r="A26563"/>
      <c r="B26563"/>
    </row>
    <row r="26564" spans="1:2" x14ac:dyDescent="0.25">
      <c r="A26564"/>
      <c r="B26564"/>
    </row>
    <row r="26565" spans="1:2" x14ac:dyDescent="0.25">
      <c r="A26565"/>
      <c r="B26565"/>
    </row>
    <row r="26566" spans="1:2" x14ac:dyDescent="0.25">
      <c r="A26566"/>
      <c r="B26566"/>
    </row>
    <row r="26567" spans="1:2" x14ac:dyDescent="0.25">
      <c r="A26567"/>
      <c r="B26567"/>
    </row>
    <row r="26568" spans="1:2" x14ac:dyDescent="0.25">
      <c r="A26568"/>
      <c r="B26568"/>
    </row>
    <row r="26569" spans="1:2" x14ac:dyDescent="0.25">
      <c r="A26569"/>
      <c r="B26569"/>
    </row>
    <row r="26570" spans="1:2" x14ac:dyDescent="0.25">
      <c r="A26570"/>
      <c r="B26570"/>
    </row>
    <row r="26571" spans="1:2" x14ac:dyDescent="0.25">
      <c r="A26571"/>
      <c r="B26571"/>
    </row>
    <row r="26572" spans="1:2" x14ac:dyDescent="0.25">
      <c r="A26572"/>
      <c r="B26572"/>
    </row>
    <row r="26573" spans="1:2" x14ac:dyDescent="0.25">
      <c r="A26573"/>
      <c r="B26573"/>
    </row>
    <row r="26574" spans="1:2" x14ac:dyDescent="0.25">
      <c r="A26574"/>
      <c r="B26574"/>
    </row>
    <row r="26575" spans="1:2" x14ac:dyDescent="0.25">
      <c r="A26575"/>
      <c r="B26575"/>
    </row>
    <row r="26576" spans="1:2" x14ac:dyDescent="0.25">
      <c r="A26576"/>
      <c r="B26576"/>
    </row>
    <row r="26577" spans="1:2" x14ac:dyDescent="0.25">
      <c r="A26577"/>
      <c r="B26577"/>
    </row>
    <row r="26578" spans="1:2" x14ac:dyDescent="0.25">
      <c r="A26578"/>
      <c r="B26578"/>
    </row>
    <row r="26579" spans="1:2" x14ac:dyDescent="0.25">
      <c r="A26579"/>
      <c r="B26579"/>
    </row>
    <row r="26580" spans="1:2" x14ac:dyDescent="0.25">
      <c r="A26580"/>
      <c r="B26580"/>
    </row>
    <row r="26581" spans="1:2" x14ac:dyDescent="0.25">
      <c r="A26581"/>
      <c r="B26581"/>
    </row>
    <row r="26582" spans="1:2" x14ac:dyDescent="0.25">
      <c r="A26582"/>
      <c r="B26582"/>
    </row>
    <row r="26583" spans="1:2" x14ac:dyDescent="0.25">
      <c r="A26583"/>
      <c r="B26583"/>
    </row>
    <row r="26584" spans="1:2" x14ac:dyDescent="0.25">
      <c r="A26584"/>
      <c r="B26584"/>
    </row>
    <row r="26585" spans="1:2" x14ac:dyDescent="0.25">
      <c r="A26585"/>
      <c r="B26585"/>
    </row>
    <row r="26586" spans="1:2" x14ac:dyDescent="0.25">
      <c r="A26586"/>
      <c r="B26586"/>
    </row>
    <row r="26587" spans="1:2" x14ac:dyDescent="0.25">
      <c r="A26587"/>
      <c r="B26587"/>
    </row>
    <row r="26588" spans="1:2" x14ac:dyDescent="0.25">
      <c r="A26588"/>
      <c r="B26588"/>
    </row>
    <row r="26589" spans="1:2" x14ac:dyDescent="0.25">
      <c r="A26589"/>
      <c r="B26589"/>
    </row>
    <row r="26590" spans="1:2" x14ac:dyDescent="0.25">
      <c r="A26590"/>
      <c r="B26590"/>
    </row>
    <row r="26591" spans="1:2" x14ac:dyDescent="0.25">
      <c r="A26591"/>
      <c r="B26591"/>
    </row>
    <row r="26592" spans="1:2" x14ac:dyDescent="0.25">
      <c r="A26592"/>
      <c r="B26592"/>
    </row>
    <row r="26593" spans="1:2" x14ac:dyDescent="0.25">
      <c r="A26593"/>
      <c r="B26593"/>
    </row>
    <row r="26594" spans="1:2" x14ac:dyDescent="0.25">
      <c r="A26594"/>
      <c r="B26594"/>
    </row>
    <row r="26595" spans="1:2" x14ac:dyDescent="0.25">
      <c r="A26595"/>
      <c r="B26595"/>
    </row>
    <row r="26596" spans="1:2" x14ac:dyDescent="0.25">
      <c r="A26596"/>
      <c r="B26596"/>
    </row>
    <row r="26597" spans="1:2" x14ac:dyDescent="0.25">
      <c r="A26597"/>
      <c r="B26597"/>
    </row>
    <row r="26598" spans="1:2" x14ac:dyDescent="0.25">
      <c r="A26598"/>
      <c r="B26598"/>
    </row>
    <row r="26599" spans="1:2" x14ac:dyDescent="0.25">
      <c r="A26599"/>
      <c r="B26599"/>
    </row>
    <row r="26600" spans="1:2" x14ac:dyDescent="0.25">
      <c r="A26600"/>
      <c r="B26600"/>
    </row>
    <row r="26601" spans="1:2" x14ac:dyDescent="0.25">
      <c r="A26601"/>
      <c r="B26601"/>
    </row>
    <row r="26602" spans="1:2" x14ac:dyDescent="0.25">
      <c r="A26602"/>
      <c r="B26602"/>
    </row>
    <row r="26603" spans="1:2" x14ac:dyDescent="0.25">
      <c r="A26603"/>
      <c r="B26603"/>
    </row>
    <row r="26604" spans="1:2" x14ac:dyDescent="0.25">
      <c r="A26604"/>
      <c r="B26604"/>
    </row>
    <row r="26605" spans="1:2" x14ac:dyDescent="0.25">
      <c r="A26605"/>
      <c r="B26605"/>
    </row>
    <row r="26606" spans="1:2" x14ac:dyDescent="0.25">
      <c r="A26606"/>
      <c r="B26606"/>
    </row>
    <row r="26607" spans="1:2" x14ac:dyDescent="0.25">
      <c r="A26607"/>
      <c r="B26607"/>
    </row>
    <row r="26608" spans="1:2" x14ac:dyDescent="0.25">
      <c r="A26608"/>
      <c r="B26608"/>
    </row>
    <row r="26609" spans="1:2" x14ac:dyDescent="0.25">
      <c r="A26609"/>
      <c r="B26609"/>
    </row>
    <row r="26610" spans="1:2" x14ac:dyDescent="0.25">
      <c r="A26610"/>
      <c r="B26610"/>
    </row>
    <row r="26611" spans="1:2" x14ac:dyDescent="0.25">
      <c r="A26611"/>
      <c r="B26611"/>
    </row>
    <row r="26612" spans="1:2" x14ac:dyDescent="0.25">
      <c r="A26612"/>
      <c r="B26612"/>
    </row>
    <row r="26613" spans="1:2" x14ac:dyDescent="0.25">
      <c r="A26613"/>
      <c r="B26613"/>
    </row>
    <row r="26614" spans="1:2" x14ac:dyDescent="0.25">
      <c r="A26614"/>
      <c r="B26614"/>
    </row>
    <row r="26615" spans="1:2" x14ac:dyDescent="0.25">
      <c r="A26615"/>
      <c r="B26615"/>
    </row>
    <row r="26616" spans="1:2" x14ac:dyDescent="0.25">
      <c r="A26616"/>
      <c r="B26616"/>
    </row>
    <row r="26617" spans="1:2" x14ac:dyDescent="0.25">
      <c r="A26617"/>
      <c r="B26617"/>
    </row>
    <row r="26618" spans="1:2" x14ac:dyDescent="0.25">
      <c r="A26618"/>
      <c r="B26618"/>
    </row>
    <row r="26619" spans="1:2" x14ac:dyDescent="0.25">
      <c r="A26619"/>
      <c r="B26619"/>
    </row>
    <row r="26620" spans="1:2" x14ac:dyDescent="0.25">
      <c r="A26620"/>
      <c r="B26620"/>
    </row>
    <row r="26621" spans="1:2" x14ac:dyDescent="0.25">
      <c r="A26621"/>
      <c r="B26621"/>
    </row>
    <row r="26622" spans="1:2" x14ac:dyDescent="0.25">
      <c r="A26622"/>
      <c r="B26622"/>
    </row>
    <row r="26623" spans="1:2" x14ac:dyDescent="0.25">
      <c r="A26623"/>
      <c r="B26623"/>
    </row>
    <row r="26624" spans="1:2" x14ac:dyDescent="0.25">
      <c r="A26624"/>
      <c r="B26624"/>
    </row>
    <row r="26625" spans="1:2" x14ac:dyDescent="0.25">
      <c r="A26625"/>
      <c r="B26625"/>
    </row>
    <row r="26626" spans="1:2" x14ac:dyDescent="0.25">
      <c r="A26626"/>
      <c r="B26626"/>
    </row>
    <row r="26627" spans="1:2" x14ac:dyDescent="0.25">
      <c r="A26627"/>
      <c r="B26627"/>
    </row>
    <row r="26628" spans="1:2" x14ac:dyDescent="0.25">
      <c r="A26628"/>
      <c r="B26628"/>
    </row>
    <row r="26629" spans="1:2" x14ac:dyDescent="0.25">
      <c r="A26629"/>
      <c r="B26629"/>
    </row>
    <row r="26630" spans="1:2" x14ac:dyDescent="0.25">
      <c r="A26630"/>
      <c r="B26630"/>
    </row>
    <row r="26631" spans="1:2" x14ac:dyDescent="0.25">
      <c r="A26631"/>
      <c r="B26631"/>
    </row>
    <row r="26632" spans="1:2" x14ac:dyDescent="0.25">
      <c r="A26632"/>
      <c r="B26632"/>
    </row>
    <row r="26633" spans="1:2" x14ac:dyDescent="0.25">
      <c r="A26633"/>
      <c r="B26633"/>
    </row>
    <row r="26634" spans="1:2" x14ac:dyDescent="0.25">
      <c r="A26634"/>
      <c r="B26634"/>
    </row>
    <row r="26635" spans="1:2" x14ac:dyDescent="0.25">
      <c r="A26635"/>
      <c r="B26635"/>
    </row>
    <row r="26636" spans="1:2" x14ac:dyDescent="0.25">
      <c r="A26636"/>
      <c r="B26636"/>
    </row>
    <row r="26637" spans="1:2" x14ac:dyDescent="0.25">
      <c r="A26637"/>
      <c r="B26637"/>
    </row>
    <row r="26638" spans="1:2" x14ac:dyDescent="0.25">
      <c r="A26638"/>
      <c r="B26638"/>
    </row>
    <row r="26639" spans="1:2" x14ac:dyDescent="0.25">
      <c r="A26639"/>
      <c r="B26639"/>
    </row>
    <row r="26640" spans="1:2" x14ac:dyDescent="0.25">
      <c r="A26640"/>
      <c r="B26640"/>
    </row>
    <row r="26641" spans="1:2" x14ac:dyDescent="0.25">
      <c r="A26641"/>
      <c r="B26641"/>
    </row>
    <row r="26642" spans="1:2" x14ac:dyDescent="0.25">
      <c r="A26642"/>
      <c r="B26642"/>
    </row>
    <row r="26643" spans="1:2" x14ac:dyDescent="0.25">
      <c r="A26643"/>
      <c r="B26643"/>
    </row>
    <row r="26644" spans="1:2" x14ac:dyDescent="0.25">
      <c r="A26644"/>
      <c r="B26644"/>
    </row>
    <row r="26645" spans="1:2" x14ac:dyDescent="0.25">
      <c r="A26645"/>
      <c r="B26645"/>
    </row>
    <row r="26646" spans="1:2" x14ac:dyDescent="0.25">
      <c r="A26646"/>
      <c r="B26646"/>
    </row>
    <row r="26647" spans="1:2" x14ac:dyDescent="0.25">
      <c r="A26647"/>
      <c r="B26647"/>
    </row>
    <row r="26648" spans="1:2" x14ac:dyDescent="0.25">
      <c r="A26648"/>
      <c r="B26648"/>
    </row>
    <row r="26649" spans="1:2" x14ac:dyDescent="0.25">
      <c r="A26649"/>
      <c r="B26649"/>
    </row>
    <row r="26650" spans="1:2" x14ac:dyDescent="0.25">
      <c r="A26650"/>
      <c r="B26650"/>
    </row>
    <row r="26651" spans="1:2" x14ac:dyDescent="0.25">
      <c r="A26651"/>
      <c r="B26651"/>
    </row>
    <row r="26652" spans="1:2" x14ac:dyDescent="0.25">
      <c r="A26652"/>
      <c r="B26652"/>
    </row>
    <row r="26653" spans="1:2" x14ac:dyDescent="0.25">
      <c r="A26653"/>
      <c r="B26653"/>
    </row>
    <row r="26654" spans="1:2" x14ac:dyDescent="0.25">
      <c r="A26654"/>
      <c r="B26654"/>
    </row>
    <row r="26655" spans="1:2" x14ac:dyDescent="0.25">
      <c r="A26655"/>
      <c r="B26655"/>
    </row>
    <row r="26656" spans="1:2" x14ac:dyDescent="0.25">
      <c r="A26656"/>
      <c r="B26656"/>
    </row>
    <row r="26657" spans="1:2" x14ac:dyDescent="0.25">
      <c r="A26657"/>
      <c r="B26657"/>
    </row>
    <row r="26658" spans="1:2" x14ac:dyDescent="0.25">
      <c r="A26658"/>
      <c r="B26658"/>
    </row>
    <row r="26659" spans="1:2" x14ac:dyDescent="0.25">
      <c r="A26659"/>
      <c r="B26659"/>
    </row>
    <row r="26660" spans="1:2" x14ac:dyDescent="0.25">
      <c r="A26660"/>
      <c r="B26660"/>
    </row>
    <row r="26661" spans="1:2" x14ac:dyDescent="0.25">
      <c r="A26661"/>
      <c r="B26661"/>
    </row>
    <row r="26662" spans="1:2" x14ac:dyDescent="0.25">
      <c r="A26662"/>
      <c r="B26662"/>
    </row>
    <row r="26663" spans="1:2" x14ac:dyDescent="0.25">
      <c r="A26663"/>
      <c r="B26663"/>
    </row>
    <row r="26664" spans="1:2" x14ac:dyDescent="0.25">
      <c r="A26664"/>
      <c r="B26664"/>
    </row>
    <row r="26665" spans="1:2" x14ac:dyDescent="0.25">
      <c r="A26665"/>
      <c r="B26665"/>
    </row>
    <row r="26666" spans="1:2" x14ac:dyDescent="0.25">
      <c r="A26666"/>
      <c r="B26666"/>
    </row>
    <row r="26667" spans="1:2" x14ac:dyDescent="0.25">
      <c r="A26667"/>
      <c r="B26667"/>
    </row>
    <row r="26668" spans="1:2" x14ac:dyDescent="0.25">
      <c r="A26668"/>
      <c r="B26668"/>
    </row>
    <row r="26669" spans="1:2" x14ac:dyDescent="0.25">
      <c r="A26669"/>
      <c r="B26669"/>
    </row>
    <row r="26670" spans="1:2" x14ac:dyDescent="0.25">
      <c r="A26670"/>
      <c r="B26670"/>
    </row>
    <row r="26671" spans="1:2" x14ac:dyDescent="0.25">
      <c r="A26671"/>
      <c r="B26671"/>
    </row>
    <row r="26672" spans="1:2" x14ac:dyDescent="0.25">
      <c r="A26672"/>
      <c r="B26672"/>
    </row>
    <row r="26673" spans="1:2" x14ac:dyDescent="0.25">
      <c r="A26673"/>
      <c r="B26673"/>
    </row>
    <row r="26674" spans="1:2" x14ac:dyDescent="0.25">
      <c r="A26674"/>
      <c r="B26674"/>
    </row>
    <row r="26675" spans="1:2" x14ac:dyDescent="0.25">
      <c r="A26675"/>
      <c r="B26675"/>
    </row>
    <row r="26676" spans="1:2" x14ac:dyDescent="0.25">
      <c r="A26676"/>
      <c r="B26676"/>
    </row>
    <row r="26677" spans="1:2" x14ac:dyDescent="0.25">
      <c r="A26677"/>
      <c r="B26677"/>
    </row>
    <row r="26678" spans="1:2" x14ac:dyDescent="0.25">
      <c r="A26678"/>
      <c r="B26678"/>
    </row>
    <row r="26679" spans="1:2" x14ac:dyDescent="0.25">
      <c r="A26679"/>
      <c r="B26679"/>
    </row>
    <row r="26680" spans="1:2" x14ac:dyDescent="0.25">
      <c r="A26680"/>
      <c r="B26680"/>
    </row>
    <row r="26681" spans="1:2" x14ac:dyDescent="0.25">
      <c r="A26681"/>
      <c r="B26681"/>
    </row>
    <row r="26682" spans="1:2" x14ac:dyDescent="0.25">
      <c r="A26682"/>
      <c r="B26682"/>
    </row>
    <row r="26683" spans="1:2" x14ac:dyDescent="0.25">
      <c r="A26683"/>
      <c r="B26683"/>
    </row>
    <row r="26684" spans="1:2" x14ac:dyDescent="0.25">
      <c r="A26684"/>
      <c r="B26684"/>
    </row>
    <row r="26685" spans="1:2" x14ac:dyDescent="0.25">
      <c r="A26685"/>
      <c r="B26685"/>
    </row>
    <row r="26686" spans="1:2" x14ac:dyDescent="0.25">
      <c r="A26686"/>
      <c r="B26686"/>
    </row>
    <row r="26687" spans="1:2" x14ac:dyDescent="0.25">
      <c r="A26687"/>
      <c r="B26687"/>
    </row>
    <row r="26688" spans="1:2" x14ac:dyDescent="0.25">
      <c r="A26688"/>
      <c r="B26688"/>
    </row>
    <row r="26689" spans="1:2" x14ac:dyDescent="0.25">
      <c r="A26689"/>
      <c r="B26689"/>
    </row>
    <row r="26690" spans="1:2" x14ac:dyDescent="0.25">
      <c r="A26690"/>
      <c r="B26690"/>
    </row>
    <row r="26691" spans="1:2" x14ac:dyDescent="0.25">
      <c r="A26691"/>
      <c r="B26691"/>
    </row>
    <row r="26692" spans="1:2" x14ac:dyDescent="0.25">
      <c r="A26692"/>
      <c r="B26692"/>
    </row>
    <row r="26693" spans="1:2" x14ac:dyDescent="0.25">
      <c r="A26693"/>
      <c r="B26693"/>
    </row>
    <row r="26694" spans="1:2" x14ac:dyDescent="0.25">
      <c r="A26694"/>
      <c r="B26694"/>
    </row>
    <row r="26695" spans="1:2" x14ac:dyDescent="0.25">
      <c r="A26695"/>
      <c r="B26695"/>
    </row>
    <row r="26696" spans="1:2" x14ac:dyDescent="0.25">
      <c r="A26696"/>
      <c r="B26696"/>
    </row>
    <row r="26697" spans="1:2" x14ac:dyDescent="0.25">
      <c r="A26697"/>
      <c r="B26697"/>
    </row>
    <row r="26698" spans="1:2" x14ac:dyDescent="0.25">
      <c r="A26698"/>
      <c r="B26698"/>
    </row>
    <row r="26699" spans="1:2" x14ac:dyDescent="0.25">
      <c r="A26699"/>
      <c r="B26699"/>
    </row>
    <row r="26700" spans="1:2" x14ac:dyDescent="0.25">
      <c r="A26700"/>
      <c r="B26700"/>
    </row>
    <row r="26701" spans="1:2" x14ac:dyDescent="0.25">
      <c r="A26701"/>
      <c r="B26701"/>
    </row>
    <row r="26702" spans="1:2" x14ac:dyDescent="0.25">
      <c r="A26702"/>
      <c r="B26702"/>
    </row>
    <row r="26703" spans="1:2" x14ac:dyDescent="0.25">
      <c r="A26703"/>
      <c r="B26703"/>
    </row>
    <row r="26704" spans="1:2" x14ac:dyDescent="0.25">
      <c r="A26704"/>
      <c r="B26704"/>
    </row>
    <row r="26705" spans="1:2" x14ac:dyDescent="0.25">
      <c r="A26705"/>
      <c r="B26705"/>
    </row>
    <row r="26706" spans="1:2" x14ac:dyDescent="0.25">
      <c r="A26706"/>
      <c r="B26706"/>
    </row>
    <row r="26707" spans="1:2" x14ac:dyDescent="0.25">
      <c r="A26707"/>
      <c r="B26707"/>
    </row>
    <row r="26708" spans="1:2" x14ac:dyDescent="0.25">
      <c r="A26708"/>
      <c r="B26708"/>
    </row>
    <row r="26709" spans="1:2" x14ac:dyDescent="0.25">
      <c r="A26709"/>
      <c r="B26709"/>
    </row>
    <row r="26710" spans="1:2" x14ac:dyDescent="0.25">
      <c r="A26710"/>
      <c r="B26710"/>
    </row>
    <row r="26711" spans="1:2" x14ac:dyDescent="0.25">
      <c r="A26711"/>
      <c r="B26711"/>
    </row>
    <row r="26712" spans="1:2" x14ac:dyDescent="0.25">
      <c r="A26712"/>
      <c r="B26712"/>
    </row>
    <row r="26713" spans="1:2" x14ac:dyDescent="0.25">
      <c r="A26713"/>
      <c r="B26713"/>
    </row>
    <row r="26714" spans="1:2" x14ac:dyDescent="0.25">
      <c r="A26714"/>
      <c r="B26714"/>
    </row>
    <row r="26715" spans="1:2" x14ac:dyDescent="0.25">
      <c r="A26715"/>
      <c r="B26715"/>
    </row>
    <row r="26716" spans="1:2" x14ac:dyDescent="0.25">
      <c r="A26716"/>
      <c r="B26716"/>
    </row>
    <row r="26717" spans="1:2" x14ac:dyDescent="0.25">
      <c r="A26717"/>
      <c r="B26717"/>
    </row>
    <row r="26718" spans="1:2" x14ac:dyDescent="0.25">
      <c r="A26718"/>
      <c r="B26718"/>
    </row>
    <row r="26719" spans="1:2" x14ac:dyDescent="0.25">
      <c r="A26719"/>
      <c r="B26719"/>
    </row>
    <row r="26720" spans="1:2" x14ac:dyDescent="0.25">
      <c r="A26720"/>
      <c r="B26720"/>
    </row>
    <row r="26721" spans="1:2" x14ac:dyDescent="0.25">
      <c r="A26721"/>
      <c r="B26721"/>
    </row>
    <row r="26722" spans="1:2" x14ac:dyDescent="0.25">
      <c r="A26722"/>
      <c r="B26722"/>
    </row>
    <row r="26723" spans="1:2" x14ac:dyDescent="0.25">
      <c r="A26723"/>
      <c r="B26723"/>
    </row>
    <row r="26724" spans="1:2" x14ac:dyDescent="0.25">
      <c r="A26724"/>
      <c r="B26724"/>
    </row>
    <row r="26725" spans="1:2" x14ac:dyDescent="0.25">
      <c r="A26725"/>
      <c r="B26725"/>
    </row>
    <row r="26726" spans="1:2" x14ac:dyDescent="0.25">
      <c r="A26726"/>
      <c r="B26726"/>
    </row>
    <row r="26727" spans="1:2" x14ac:dyDescent="0.25">
      <c r="A26727"/>
      <c r="B26727"/>
    </row>
    <row r="26728" spans="1:2" x14ac:dyDescent="0.25">
      <c r="A26728"/>
      <c r="B26728"/>
    </row>
    <row r="26729" spans="1:2" x14ac:dyDescent="0.25">
      <c r="A26729"/>
      <c r="B26729"/>
    </row>
    <row r="26730" spans="1:2" x14ac:dyDescent="0.25">
      <c r="A26730"/>
      <c r="B26730"/>
    </row>
    <row r="26731" spans="1:2" x14ac:dyDescent="0.25">
      <c r="A26731"/>
      <c r="B26731"/>
    </row>
    <row r="26732" spans="1:2" x14ac:dyDescent="0.25">
      <c r="A26732"/>
      <c r="B26732"/>
    </row>
    <row r="26733" spans="1:2" x14ac:dyDescent="0.25">
      <c r="A26733"/>
      <c r="B26733"/>
    </row>
    <row r="26734" spans="1:2" x14ac:dyDescent="0.25">
      <c r="A26734"/>
      <c r="B26734"/>
    </row>
    <row r="26735" spans="1:2" x14ac:dyDescent="0.25">
      <c r="A26735"/>
      <c r="B26735"/>
    </row>
    <row r="26736" spans="1:2" x14ac:dyDescent="0.25">
      <c r="A26736"/>
      <c r="B26736"/>
    </row>
    <row r="26737" spans="1:2" x14ac:dyDescent="0.25">
      <c r="A26737"/>
      <c r="B26737"/>
    </row>
    <row r="26738" spans="1:2" x14ac:dyDescent="0.25">
      <c r="A26738"/>
      <c r="B26738"/>
    </row>
    <row r="26739" spans="1:2" x14ac:dyDescent="0.25">
      <c r="A26739"/>
      <c r="B26739"/>
    </row>
    <row r="26740" spans="1:2" x14ac:dyDescent="0.25">
      <c r="A26740"/>
      <c r="B26740"/>
    </row>
    <row r="26741" spans="1:2" x14ac:dyDescent="0.25">
      <c r="A26741"/>
      <c r="B26741"/>
    </row>
    <row r="26742" spans="1:2" x14ac:dyDescent="0.25">
      <c r="A26742"/>
      <c r="B26742"/>
    </row>
    <row r="26743" spans="1:2" x14ac:dyDescent="0.25">
      <c r="A26743"/>
      <c r="B26743"/>
    </row>
    <row r="26744" spans="1:2" x14ac:dyDescent="0.25">
      <c r="A26744"/>
      <c r="B26744"/>
    </row>
    <row r="26745" spans="1:2" x14ac:dyDescent="0.25">
      <c r="A26745"/>
      <c r="B26745"/>
    </row>
    <row r="26746" spans="1:2" x14ac:dyDescent="0.25">
      <c r="A26746"/>
      <c r="B26746"/>
    </row>
    <row r="26747" spans="1:2" x14ac:dyDescent="0.25">
      <c r="A26747"/>
      <c r="B26747"/>
    </row>
    <row r="26748" spans="1:2" x14ac:dyDescent="0.25">
      <c r="A26748"/>
      <c r="B26748"/>
    </row>
    <row r="26749" spans="1:2" x14ac:dyDescent="0.25">
      <c r="A26749"/>
      <c r="B26749"/>
    </row>
    <row r="26750" spans="1:2" x14ac:dyDescent="0.25">
      <c r="A26750"/>
      <c r="B26750"/>
    </row>
    <row r="26751" spans="1:2" x14ac:dyDescent="0.25">
      <c r="A26751"/>
      <c r="B26751"/>
    </row>
    <row r="26752" spans="1:2" x14ac:dyDescent="0.25">
      <c r="A26752"/>
      <c r="B26752"/>
    </row>
    <row r="26753" spans="1:2" x14ac:dyDescent="0.25">
      <c r="A26753"/>
      <c r="B26753"/>
    </row>
    <row r="26754" spans="1:2" x14ac:dyDescent="0.25">
      <c r="A26754"/>
      <c r="B26754"/>
    </row>
    <row r="26755" spans="1:2" x14ac:dyDescent="0.25">
      <c r="A26755"/>
      <c r="B26755"/>
    </row>
    <row r="26756" spans="1:2" x14ac:dyDescent="0.25">
      <c r="A26756"/>
      <c r="B26756"/>
    </row>
    <row r="26757" spans="1:2" x14ac:dyDescent="0.25">
      <c r="A26757"/>
      <c r="B26757"/>
    </row>
    <row r="26758" spans="1:2" x14ac:dyDescent="0.25">
      <c r="A26758"/>
      <c r="B26758"/>
    </row>
    <row r="26759" spans="1:2" x14ac:dyDescent="0.25">
      <c r="A26759"/>
      <c r="B26759"/>
    </row>
    <row r="26760" spans="1:2" x14ac:dyDescent="0.25">
      <c r="A26760"/>
      <c r="B26760"/>
    </row>
    <row r="26761" spans="1:2" x14ac:dyDescent="0.25">
      <c r="A26761"/>
      <c r="B26761"/>
    </row>
    <row r="26762" spans="1:2" x14ac:dyDescent="0.25">
      <c r="A26762"/>
      <c r="B26762"/>
    </row>
    <row r="26763" spans="1:2" x14ac:dyDescent="0.25">
      <c r="A26763"/>
      <c r="B26763"/>
    </row>
    <row r="26764" spans="1:2" x14ac:dyDescent="0.25">
      <c r="A26764"/>
      <c r="B26764"/>
    </row>
    <row r="26765" spans="1:2" x14ac:dyDescent="0.25">
      <c r="A26765"/>
      <c r="B26765"/>
    </row>
    <row r="26766" spans="1:2" x14ac:dyDescent="0.25">
      <c r="A26766"/>
      <c r="B26766"/>
    </row>
    <row r="26767" spans="1:2" x14ac:dyDescent="0.25">
      <c r="A26767"/>
      <c r="B26767"/>
    </row>
    <row r="26768" spans="1:2" x14ac:dyDescent="0.25">
      <c r="A26768"/>
      <c r="B26768"/>
    </row>
    <row r="26769" spans="1:2" x14ac:dyDescent="0.25">
      <c r="A26769"/>
      <c r="B26769"/>
    </row>
    <row r="26770" spans="1:2" x14ac:dyDescent="0.25">
      <c r="A26770"/>
      <c r="B26770"/>
    </row>
    <row r="26771" spans="1:2" x14ac:dyDescent="0.25">
      <c r="A26771"/>
      <c r="B26771"/>
    </row>
    <row r="26772" spans="1:2" x14ac:dyDescent="0.25">
      <c r="A26772"/>
      <c r="B26772"/>
    </row>
    <row r="26773" spans="1:2" x14ac:dyDescent="0.25">
      <c r="A26773"/>
      <c r="B26773"/>
    </row>
    <row r="26774" spans="1:2" x14ac:dyDescent="0.25">
      <c r="A26774"/>
      <c r="B26774"/>
    </row>
    <row r="26775" spans="1:2" x14ac:dyDescent="0.25">
      <c r="A26775"/>
      <c r="B26775"/>
    </row>
    <row r="26776" spans="1:2" x14ac:dyDescent="0.25">
      <c r="A26776"/>
      <c r="B26776"/>
    </row>
    <row r="26777" spans="1:2" x14ac:dyDescent="0.25">
      <c r="A26777"/>
      <c r="B26777"/>
    </row>
    <row r="26778" spans="1:2" x14ac:dyDescent="0.25">
      <c r="A26778"/>
      <c r="B26778"/>
    </row>
    <row r="26779" spans="1:2" x14ac:dyDescent="0.25">
      <c r="A26779"/>
      <c r="B26779"/>
    </row>
    <row r="26780" spans="1:2" x14ac:dyDescent="0.25">
      <c r="A26780"/>
      <c r="B26780"/>
    </row>
    <row r="26781" spans="1:2" x14ac:dyDescent="0.25">
      <c r="A26781"/>
      <c r="B26781"/>
    </row>
    <row r="26782" spans="1:2" x14ac:dyDescent="0.25">
      <c r="A26782"/>
      <c r="B26782"/>
    </row>
    <row r="26783" spans="1:2" x14ac:dyDescent="0.25">
      <c r="A26783"/>
      <c r="B26783"/>
    </row>
    <row r="26784" spans="1:2" x14ac:dyDescent="0.25">
      <c r="A26784"/>
      <c r="B26784"/>
    </row>
    <row r="26785" spans="1:2" x14ac:dyDescent="0.25">
      <c r="A26785"/>
      <c r="B26785"/>
    </row>
    <row r="26786" spans="1:2" x14ac:dyDescent="0.25">
      <c r="A26786"/>
      <c r="B26786"/>
    </row>
    <row r="26787" spans="1:2" x14ac:dyDescent="0.25">
      <c r="A26787"/>
      <c r="B26787"/>
    </row>
    <row r="26788" spans="1:2" x14ac:dyDescent="0.25">
      <c r="A26788"/>
      <c r="B26788"/>
    </row>
    <row r="26789" spans="1:2" x14ac:dyDescent="0.25">
      <c r="A26789"/>
      <c r="B26789"/>
    </row>
    <row r="26790" spans="1:2" x14ac:dyDescent="0.25">
      <c r="A26790"/>
      <c r="B26790"/>
    </row>
    <row r="26791" spans="1:2" x14ac:dyDescent="0.25">
      <c r="A26791"/>
      <c r="B26791"/>
    </row>
    <row r="26792" spans="1:2" x14ac:dyDescent="0.25">
      <c r="A26792"/>
      <c r="B26792"/>
    </row>
    <row r="26793" spans="1:2" x14ac:dyDescent="0.25">
      <c r="A26793"/>
      <c r="B26793"/>
    </row>
    <row r="26794" spans="1:2" x14ac:dyDescent="0.25">
      <c r="A26794"/>
      <c r="B26794"/>
    </row>
    <row r="26795" spans="1:2" x14ac:dyDescent="0.25">
      <c r="A26795"/>
      <c r="B26795"/>
    </row>
    <row r="26796" spans="1:2" x14ac:dyDescent="0.25">
      <c r="A26796"/>
      <c r="B26796"/>
    </row>
    <row r="26797" spans="1:2" x14ac:dyDescent="0.25">
      <c r="A26797"/>
      <c r="B26797"/>
    </row>
    <row r="26798" spans="1:2" x14ac:dyDescent="0.25">
      <c r="A26798"/>
      <c r="B26798"/>
    </row>
    <row r="26799" spans="1:2" x14ac:dyDescent="0.25">
      <c r="A26799"/>
      <c r="B26799"/>
    </row>
    <row r="26800" spans="1:2" x14ac:dyDescent="0.25">
      <c r="A26800"/>
      <c r="B26800"/>
    </row>
    <row r="26801" spans="1:2" x14ac:dyDescent="0.25">
      <c r="A26801"/>
      <c r="B26801"/>
    </row>
    <row r="26802" spans="1:2" x14ac:dyDescent="0.25">
      <c r="A26802"/>
      <c r="B26802"/>
    </row>
    <row r="26803" spans="1:2" x14ac:dyDescent="0.25">
      <c r="A26803"/>
      <c r="B26803"/>
    </row>
    <row r="26804" spans="1:2" x14ac:dyDescent="0.25">
      <c r="A26804"/>
      <c r="B26804"/>
    </row>
    <row r="26805" spans="1:2" x14ac:dyDescent="0.25">
      <c r="A26805"/>
      <c r="B26805"/>
    </row>
    <row r="26806" spans="1:2" x14ac:dyDescent="0.25">
      <c r="A26806"/>
      <c r="B26806"/>
    </row>
    <row r="26807" spans="1:2" x14ac:dyDescent="0.25">
      <c r="A26807"/>
      <c r="B26807"/>
    </row>
    <row r="26808" spans="1:2" x14ac:dyDescent="0.25">
      <c r="A26808"/>
      <c r="B26808"/>
    </row>
    <row r="26809" spans="1:2" x14ac:dyDescent="0.25">
      <c r="A26809"/>
      <c r="B26809"/>
    </row>
    <row r="26810" spans="1:2" x14ac:dyDescent="0.25">
      <c r="A26810"/>
      <c r="B26810"/>
    </row>
    <row r="26811" spans="1:2" x14ac:dyDescent="0.25">
      <c r="A26811"/>
      <c r="B26811"/>
    </row>
    <row r="26812" spans="1:2" x14ac:dyDescent="0.25">
      <c r="A26812"/>
      <c r="B26812"/>
    </row>
    <row r="26813" spans="1:2" x14ac:dyDescent="0.25">
      <c r="A26813"/>
      <c r="B26813"/>
    </row>
    <row r="26814" spans="1:2" x14ac:dyDescent="0.25">
      <c r="A26814"/>
      <c r="B26814"/>
    </row>
    <row r="26815" spans="1:2" x14ac:dyDescent="0.25">
      <c r="A26815"/>
      <c r="B26815"/>
    </row>
    <row r="26816" spans="1:2" x14ac:dyDescent="0.25">
      <c r="A26816"/>
      <c r="B26816"/>
    </row>
    <row r="26817" spans="1:2" x14ac:dyDescent="0.25">
      <c r="A26817"/>
      <c r="B26817"/>
    </row>
    <row r="26818" spans="1:2" x14ac:dyDescent="0.25">
      <c r="A26818"/>
      <c r="B26818"/>
    </row>
    <row r="26819" spans="1:2" x14ac:dyDescent="0.25">
      <c r="A26819"/>
      <c r="B26819"/>
    </row>
    <row r="26820" spans="1:2" x14ac:dyDescent="0.25">
      <c r="A26820"/>
      <c r="B26820"/>
    </row>
    <row r="26821" spans="1:2" x14ac:dyDescent="0.25">
      <c r="A26821"/>
      <c r="B26821"/>
    </row>
    <row r="26822" spans="1:2" x14ac:dyDescent="0.25">
      <c r="A26822"/>
      <c r="B26822"/>
    </row>
    <row r="26823" spans="1:2" x14ac:dyDescent="0.25">
      <c r="A26823"/>
      <c r="B26823"/>
    </row>
    <row r="26824" spans="1:2" x14ac:dyDescent="0.25">
      <c r="A26824"/>
      <c r="B26824"/>
    </row>
    <row r="26825" spans="1:2" x14ac:dyDescent="0.25">
      <c r="A26825"/>
      <c r="B26825"/>
    </row>
    <row r="26826" spans="1:2" x14ac:dyDescent="0.25">
      <c r="A26826"/>
      <c r="B26826"/>
    </row>
    <row r="26827" spans="1:2" x14ac:dyDescent="0.25">
      <c r="A26827"/>
      <c r="B26827"/>
    </row>
    <row r="26828" spans="1:2" x14ac:dyDescent="0.25">
      <c r="A26828"/>
      <c r="B26828"/>
    </row>
    <row r="26829" spans="1:2" x14ac:dyDescent="0.25">
      <c r="A26829"/>
      <c r="B26829"/>
    </row>
    <row r="26830" spans="1:2" x14ac:dyDescent="0.25">
      <c r="A26830"/>
      <c r="B26830"/>
    </row>
    <row r="26831" spans="1:2" x14ac:dyDescent="0.25">
      <c r="A26831"/>
      <c r="B26831"/>
    </row>
    <row r="26832" spans="1:2" x14ac:dyDescent="0.25">
      <c r="A26832"/>
      <c r="B26832"/>
    </row>
    <row r="26833" spans="1:2" x14ac:dyDescent="0.25">
      <c r="A26833"/>
      <c r="B26833"/>
    </row>
    <row r="26834" spans="1:2" x14ac:dyDescent="0.25">
      <c r="A26834"/>
      <c r="B26834"/>
    </row>
    <row r="26835" spans="1:2" x14ac:dyDescent="0.25">
      <c r="A26835"/>
      <c r="B26835"/>
    </row>
    <row r="26836" spans="1:2" x14ac:dyDescent="0.25">
      <c r="A26836"/>
      <c r="B26836"/>
    </row>
    <row r="26837" spans="1:2" x14ac:dyDescent="0.25">
      <c r="A26837"/>
      <c r="B26837"/>
    </row>
    <row r="26838" spans="1:2" x14ac:dyDescent="0.25">
      <c r="A26838"/>
      <c r="B26838"/>
    </row>
    <row r="26839" spans="1:2" x14ac:dyDescent="0.25">
      <c r="A26839"/>
      <c r="B26839"/>
    </row>
    <row r="26840" spans="1:2" x14ac:dyDescent="0.25">
      <c r="A26840"/>
      <c r="B26840"/>
    </row>
    <row r="26841" spans="1:2" x14ac:dyDescent="0.25">
      <c r="A26841"/>
      <c r="B26841"/>
    </row>
    <row r="26842" spans="1:2" x14ac:dyDescent="0.25">
      <c r="A26842"/>
      <c r="B26842"/>
    </row>
    <row r="26843" spans="1:2" x14ac:dyDescent="0.25">
      <c r="A26843"/>
      <c r="B26843"/>
    </row>
    <row r="26844" spans="1:2" x14ac:dyDescent="0.25">
      <c r="A26844"/>
      <c r="B26844"/>
    </row>
    <row r="26845" spans="1:2" x14ac:dyDescent="0.25">
      <c r="A26845"/>
      <c r="B26845"/>
    </row>
    <row r="26846" spans="1:2" x14ac:dyDescent="0.25">
      <c r="A26846"/>
      <c r="B26846"/>
    </row>
    <row r="26847" spans="1:2" x14ac:dyDescent="0.25">
      <c r="A26847"/>
      <c r="B26847"/>
    </row>
    <row r="26848" spans="1:2" x14ac:dyDescent="0.25">
      <c r="A26848"/>
      <c r="B26848"/>
    </row>
    <row r="26849" spans="1:2" x14ac:dyDescent="0.25">
      <c r="A26849"/>
      <c r="B26849"/>
    </row>
    <row r="26850" spans="1:2" x14ac:dyDescent="0.25">
      <c r="A26850"/>
      <c r="B26850"/>
    </row>
    <row r="26851" spans="1:2" x14ac:dyDescent="0.25">
      <c r="A26851"/>
      <c r="B26851"/>
    </row>
    <row r="26852" spans="1:2" x14ac:dyDescent="0.25">
      <c r="A26852"/>
      <c r="B26852"/>
    </row>
    <row r="26853" spans="1:2" x14ac:dyDescent="0.25">
      <c r="A26853"/>
      <c r="B26853"/>
    </row>
    <row r="26854" spans="1:2" x14ac:dyDescent="0.25">
      <c r="A26854"/>
      <c r="B26854"/>
    </row>
    <row r="26855" spans="1:2" x14ac:dyDescent="0.25">
      <c r="A26855"/>
      <c r="B26855"/>
    </row>
    <row r="26856" spans="1:2" x14ac:dyDescent="0.25">
      <c r="A26856"/>
      <c r="B26856"/>
    </row>
    <row r="26857" spans="1:2" x14ac:dyDescent="0.25">
      <c r="A26857"/>
      <c r="B26857"/>
    </row>
    <row r="26858" spans="1:2" x14ac:dyDescent="0.25">
      <c r="A26858"/>
      <c r="B26858"/>
    </row>
    <row r="26859" spans="1:2" x14ac:dyDescent="0.25">
      <c r="A26859"/>
      <c r="B26859"/>
    </row>
    <row r="26860" spans="1:2" x14ac:dyDescent="0.25">
      <c r="A26860"/>
      <c r="B26860"/>
    </row>
    <row r="26861" spans="1:2" x14ac:dyDescent="0.25">
      <c r="A26861"/>
      <c r="B26861"/>
    </row>
    <row r="26862" spans="1:2" x14ac:dyDescent="0.25">
      <c r="A26862"/>
      <c r="B26862"/>
    </row>
    <row r="26863" spans="1:2" x14ac:dyDescent="0.25">
      <c r="A26863"/>
      <c r="B26863"/>
    </row>
    <row r="26864" spans="1:2" x14ac:dyDescent="0.25">
      <c r="A26864"/>
      <c r="B26864"/>
    </row>
    <row r="26865" spans="1:2" x14ac:dyDescent="0.25">
      <c r="A26865"/>
      <c r="B26865"/>
    </row>
    <row r="26866" spans="1:2" x14ac:dyDescent="0.25">
      <c r="A26866"/>
      <c r="B26866"/>
    </row>
    <row r="26867" spans="1:2" x14ac:dyDescent="0.25">
      <c r="A26867"/>
      <c r="B26867"/>
    </row>
    <row r="26868" spans="1:2" x14ac:dyDescent="0.25">
      <c r="A26868"/>
      <c r="B26868"/>
    </row>
    <row r="26869" spans="1:2" x14ac:dyDescent="0.25">
      <c r="A26869"/>
      <c r="B26869"/>
    </row>
    <row r="26870" spans="1:2" x14ac:dyDescent="0.25">
      <c r="A26870"/>
      <c r="B26870"/>
    </row>
    <row r="26871" spans="1:2" x14ac:dyDescent="0.25">
      <c r="A26871"/>
      <c r="B26871"/>
    </row>
    <row r="26872" spans="1:2" x14ac:dyDescent="0.25">
      <c r="A26872"/>
      <c r="B26872"/>
    </row>
    <row r="26873" spans="1:2" x14ac:dyDescent="0.25">
      <c r="A26873"/>
      <c r="B26873"/>
    </row>
    <row r="26874" spans="1:2" x14ac:dyDescent="0.25">
      <c r="A26874"/>
      <c r="B26874"/>
    </row>
    <row r="26875" spans="1:2" x14ac:dyDescent="0.25">
      <c r="A26875"/>
      <c r="B26875"/>
    </row>
    <row r="26876" spans="1:2" x14ac:dyDescent="0.25">
      <c r="A26876"/>
      <c r="B26876"/>
    </row>
    <row r="26877" spans="1:2" x14ac:dyDescent="0.25">
      <c r="A26877"/>
      <c r="B26877"/>
    </row>
    <row r="26878" spans="1:2" x14ac:dyDescent="0.25">
      <c r="A26878"/>
      <c r="B26878"/>
    </row>
    <row r="26879" spans="1:2" x14ac:dyDescent="0.25">
      <c r="A26879"/>
      <c r="B26879"/>
    </row>
    <row r="26880" spans="1:2" x14ac:dyDescent="0.25">
      <c r="A26880"/>
      <c r="B26880"/>
    </row>
    <row r="26881" spans="1:2" x14ac:dyDescent="0.25">
      <c r="A26881"/>
      <c r="B26881"/>
    </row>
    <row r="26882" spans="1:2" x14ac:dyDescent="0.25">
      <c r="A26882"/>
      <c r="B26882"/>
    </row>
    <row r="26883" spans="1:2" x14ac:dyDescent="0.25">
      <c r="A26883"/>
      <c r="B26883"/>
    </row>
    <row r="26884" spans="1:2" x14ac:dyDescent="0.25">
      <c r="A26884"/>
      <c r="B26884"/>
    </row>
    <row r="26885" spans="1:2" x14ac:dyDescent="0.25">
      <c r="A26885"/>
      <c r="B26885"/>
    </row>
    <row r="26886" spans="1:2" x14ac:dyDescent="0.25">
      <c r="A26886"/>
      <c r="B26886"/>
    </row>
    <row r="26887" spans="1:2" x14ac:dyDescent="0.25">
      <c r="A26887"/>
      <c r="B26887"/>
    </row>
    <row r="26888" spans="1:2" x14ac:dyDescent="0.25">
      <c r="A26888"/>
      <c r="B26888"/>
    </row>
    <row r="26889" spans="1:2" x14ac:dyDescent="0.25">
      <c r="A26889"/>
      <c r="B26889"/>
    </row>
    <row r="26890" spans="1:2" x14ac:dyDescent="0.25">
      <c r="A26890"/>
      <c r="B26890"/>
    </row>
    <row r="26891" spans="1:2" x14ac:dyDescent="0.25">
      <c r="A26891"/>
      <c r="B26891"/>
    </row>
    <row r="26892" spans="1:2" x14ac:dyDescent="0.25">
      <c r="A26892"/>
      <c r="B26892"/>
    </row>
    <row r="26893" spans="1:2" x14ac:dyDescent="0.25">
      <c r="A26893"/>
      <c r="B26893"/>
    </row>
    <row r="26894" spans="1:2" x14ac:dyDescent="0.25">
      <c r="A26894"/>
      <c r="B26894"/>
    </row>
    <row r="26895" spans="1:2" x14ac:dyDescent="0.25">
      <c r="A26895"/>
      <c r="B26895"/>
    </row>
    <row r="26896" spans="1:2" x14ac:dyDescent="0.25">
      <c r="A26896"/>
      <c r="B26896"/>
    </row>
    <row r="26897" spans="1:2" x14ac:dyDescent="0.25">
      <c r="A26897"/>
      <c r="B26897"/>
    </row>
    <row r="26898" spans="1:2" x14ac:dyDescent="0.25">
      <c r="A26898"/>
      <c r="B26898"/>
    </row>
    <row r="26899" spans="1:2" x14ac:dyDescent="0.25">
      <c r="A26899"/>
      <c r="B26899"/>
    </row>
    <row r="26900" spans="1:2" x14ac:dyDescent="0.25">
      <c r="A26900"/>
      <c r="B26900"/>
    </row>
    <row r="26901" spans="1:2" x14ac:dyDescent="0.25">
      <c r="A26901"/>
      <c r="B26901"/>
    </row>
    <row r="26902" spans="1:2" x14ac:dyDescent="0.25">
      <c r="A26902"/>
      <c r="B26902"/>
    </row>
    <row r="26903" spans="1:2" x14ac:dyDescent="0.25">
      <c r="A26903"/>
      <c r="B26903"/>
    </row>
    <row r="26904" spans="1:2" x14ac:dyDescent="0.25">
      <c r="A26904"/>
      <c r="B26904"/>
    </row>
    <row r="26905" spans="1:2" x14ac:dyDescent="0.25">
      <c r="A26905"/>
      <c r="B26905"/>
    </row>
    <row r="26906" spans="1:2" x14ac:dyDescent="0.25">
      <c r="A26906"/>
      <c r="B26906"/>
    </row>
    <row r="26907" spans="1:2" x14ac:dyDescent="0.25">
      <c r="A26907"/>
      <c r="B26907"/>
    </row>
    <row r="26908" spans="1:2" x14ac:dyDescent="0.25">
      <c r="A26908"/>
      <c r="B26908"/>
    </row>
    <row r="26909" spans="1:2" x14ac:dyDescent="0.25">
      <c r="A26909"/>
      <c r="B26909"/>
    </row>
    <row r="26910" spans="1:2" x14ac:dyDescent="0.25">
      <c r="A26910"/>
      <c r="B26910"/>
    </row>
    <row r="26911" spans="1:2" x14ac:dyDescent="0.25">
      <c r="A26911"/>
      <c r="B26911"/>
    </row>
    <row r="26912" spans="1:2" x14ac:dyDescent="0.25">
      <c r="A26912"/>
      <c r="B26912"/>
    </row>
    <row r="26913" spans="1:2" x14ac:dyDescent="0.25">
      <c r="A26913"/>
      <c r="B26913"/>
    </row>
    <row r="26914" spans="1:2" x14ac:dyDescent="0.25">
      <c r="A26914"/>
      <c r="B26914"/>
    </row>
    <row r="26915" spans="1:2" x14ac:dyDescent="0.25">
      <c r="A26915"/>
      <c r="B26915"/>
    </row>
    <row r="26916" spans="1:2" x14ac:dyDescent="0.25">
      <c r="A26916"/>
      <c r="B26916"/>
    </row>
    <row r="26917" spans="1:2" x14ac:dyDescent="0.25">
      <c r="A26917"/>
      <c r="B26917"/>
    </row>
    <row r="26918" spans="1:2" x14ac:dyDescent="0.25">
      <c r="A26918"/>
      <c r="B26918"/>
    </row>
    <row r="26919" spans="1:2" x14ac:dyDescent="0.25">
      <c r="A26919"/>
      <c r="B26919"/>
    </row>
    <row r="26920" spans="1:2" x14ac:dyDescent="0.25">
      <c r="A26920"/>
      <c r="B26920"/>
    </row>
    <row r="26921" spans="1:2" x14ac:dyDescent="0.25">
      <c r="A26921"/>
      <c r="B26921"/>
    </row>
    <row r="26922" spans="1:2" x14ac:dyDescent="0.25">
      <c r="A26922"/>
      <c r="B26922"/>
    </row>
    <row r="26923" spans="1:2" x14ac:dyDescent="0.25">
      <c r="A26923"/>
      <c r="B26923"/>
    </row>
    <row r="26924" spans="1:2" x14ac:dyDescent="0.25">
      <c r="A26924"/>
      <c r="B26924"/>
    </row>
    <row r="26925" spans="1:2" x14ac:dyDescent="0.25">
      <c r="A26925"/>
      <c r="B26925"/>
    </row>
    <row r="26926" spans="1:2" x14ac:dyDescent="0.25">
      <c r="A26926"/>
      <c r="B26926"/>
    </row>
    <row r="26927" spans="1:2" x14ac:dyDescent="0.25">
      <c r="A26927"/>
      <c r="B26927"/>
    </row>
    <row r="26928" spans="1:2" x14ac:dyDescent="0.25">
      <c r="A26928"/>
      <c r="B26928"/>
    </row>
    <row r="26929" spans="1:2" x14ac:dyDescent="0.25">
      <c r="A26929"/>
      <c r="B26929"/>
    </row>
    <row r="26930" spans="1:2" x14ac:dyDescent="0.25">
      <c r="A26930"/>
      <c r="B26930"/>
    </row>
    <row r="26931" spans="1:2" x14ac:dyDescent="0.25">
      <c r="A26931"/>
      <c r="B26931"/>
    </row>
    <row r="26932" spans="1:2" x14ac:dyDescent="0.25">
      <c r="A26932"/>
      <c r="B26932"/>
    </row>
    <row r="26933" spans="1:2" x14ac:dyDescent="0.25">
      <c r="A26933"/>
      <c r="B26933"/>
    </row>
    <row r="26934" spans="1:2" x14ac:dyDescent="0.25">
      <c r="A26934"/>
      <c r="B26934"/>
    </row>
    <row r="26935" spans="1:2" x14ac:dyDescent="0.25">
      <c r="A26935"/>
      <c r="B26935"/>
    </row>
    <row r="26936" spans="1:2" x14ac:dyDescent="0.25">
      <c r="A26936"/>
      <c r="B26936"/>
    </row>
    <row r="26937" spans="1:2" x14ac:dyDescent="0.25">
      <c r="A26937"/>
      <c r="B26937"/>
    </row>
    <row r="26938" spans="1:2" x14ac:dyDescent="0.25">
      <c r="A26938"/>
      <c r="B26938"/>
    </row>
    <row r="26939" spans="1:2" x14ac:dyDescent="0.25">
      <c r="A26939"/>
      <c r="B26939"/>
    </row>
    <row r="26940" spans="1:2" x14ac:dyDescent="0.25">
      <c r="A26940"/>
      <c r="B26940"/>
    </row>
    <row r="26941" spans="1:2" x14ac:dyDescent="0.25">
      <c r="A26941"/>
      <c r="B26941"/>
    </row>
    <row r="26942" spans="1:2" x14ac:dyDescent="0.25">
      <c r="A26942"/>
      <c r="B26942"/>
    </row>
    <row r="26943" spans="1:2" x14ac:dyDescent="0.25">
      <c r="A26943"/>
      <c r="B26943"/>
    </row>
    <row r="26944" spans="1:2" x14ac:dyDescent="0.25">
      <c r="A26944"/>
      <c r="B26944"/>
    </row>
    <row r="26945" spans="1:2" x14ac:dyDescent="0.25">
      <c r="A26945"/>
      <c r="B26945"/>
    </row>
    <row r="26946" spans="1:2" x14ac:dyDescent="0.25">
      <c r="A26946"/>
      <c r="B26946"/>
    </row>
    <row r="26947" spans="1:2" x14ac:dyDescent="0.25">
      <c r="A26947"/>
      <c r="B26947"/>
    </row>
    <row r="26948" spans="1:2" x14ac:dyDescent="0.25">
      <c r="A26948"/>
      <c r="B26948"/>
    </row>
    <row r="26949" spans="1:2" x14ac:dyDescent="0.25">
      <c r="A26949"/>
      <c r="B26949"/>
    </row>
    <row r="26950" spans="1:2" x14ac:dyDescent="0.25">
      <c r="A26950"/>
      <c r="B26950"/>
    </row>
    <row r="26951" spans="1:2" x14ac:dyDescent="0.25">
      <c r="A26951"/>
      <c r="B26951"/>
    </row>
    <row r="26952" spans="1:2" x14ac:dyDescent="0.25">
      <c r="A26952"/>
      <c r="B26952"/>
    </row>
    <row r="26953" spans="1:2" x14ac:dyDescent="0.25">
      <c r="A26953"/>
      <c r="B26953"/>
    </row>
    <row r="26954" spans="1:2" x14ac:dyDescent="0.25">
      <c r="A26954"/>
      <c r="B26954"/>
    </row>
    <row r="26955" spans="1:2" x14ac:dyDescent="0.25">
      <c r="A26955"/>
      <c r="B26955"/>
    </row>
    <row r="26956" spans="1:2" x14ac:dyDescent="0.25">
      <c r="A26956"/>
      <c r="B26956"/>
    </row>
    <row r="26957" spans="1:2" x14ac:dyDescent="0.25">
      <c r="A26957"/>
      <c r="B26957"/>
    </row>
    <row r="26958" spans="1:2" x14ac:dyDescent="0.25">
      <c r="A26958"/>
      <c r="B26958"/>
    </row>
    <row r="26959" spans="1:2" x14ac:dyDescent="0.25">
      <c r="A26959"/>
      <c r="B26959"/>
    </row>
    <row r="26960" spans="1:2" x14ac:dyDescent="0.25">
      <c r="A26960"/>
      <c r="B26960"/>
    </row>
    <row r="26961" spans="1:2" x14ac:dyDescent="0.25">
      <c r="A26961"/>
      <c r="B26961"/>
    </row>
    <row r="26962" spans="1:2" x14ac:dyDescent="0.25">
      <c r="A26962"/>
      <c r="B26962"/>
    </row>
    <row r="26963" spans="1:2" x14ac:dyDescent="0.25">
      <c r="A26963"/>
      <c r="B26963"/>
    </row>
    <row r="26964" spans="1:2" x14ac:dyDescent="0.25">
      <c r="A26964"/>
      <c r="B26964"/>
    </row>
    <row r="26965" spans="1:2" x14ac:dyDescent="0.25">
      <c r="A26965"/>
      <c r="B26965"/>
    </row>
    <row r="26966" spans="1:2" x14ac:dyDescent="0.25">
      <c r="A26966"/>
      <c r="B26966"/>
    </row>
    <row r="26967" spans="1:2" x14ac:dyDescent="0.25">
      <c r="A26967"/>
      <c r="B26967"/>
    </row>
    <row r="26968" spans="1:2" x14ac:dyDescent="0.25">
      <c r="A26968"/>
      <c r="B26968"/>
    </row>
    <row r="26969" spans="1:2" x14ac:dyDescent="0.25">
      <c r="A26969"/>
      <c r="B26969"/>
    </row>
    <row r="26970" spans="1:2" x14ac:dyDescent="0.25">
      <c r="A26970"/>
      <c r="B26970"/>
    </row>
    <row r="26971" spans="1:2" x14ac:dyDescent="0.25">
      <c r="A26971"/>
      <c r="B26971"/>
    </row>
    <row r="26972" spans="1:2" x14ac:dyDescent="0.25">
      <c r="A26972"/>
      <c r="B26972"/>
    </row>
    <row r="26973" spans="1:2" x14ac:dyDescent="0.25">
      <c r="A26973"/>
      <c r="B26973"/>
    </row>
    <row r="26974" spans="1:2" x14ac:dyDescent="0.25">
      <c r="A26974"/>
      <c r="B26974"/>
    </row>
    <row r="26975" spans="1:2" x14ac:dyDescent="0.25">
      <c r="A26975"/>
      <c r="B26975"/>
    </row>
    <row r="26976" spans="1:2" x14ac:dyDescent="0.25">
      <c r="A26976"/>
      <c r="B26976"/>
    </row>
    <row r="26977" spans="1:2" x14ac:dyDescent="0.25">
      <c r="A26977"/>
      <c r="B26977"/>
    </row>
    <row r="26978" spans="1:2" x14ac:dyDescent="0.25">
      <c r="A26978"/>
      <c r="B26978"/>
    </row>
    <row r="26979" spans="1:2" x14ac:dyDescent="0.25">
      <c r="A26979"/>
      <c r="B26979"/>
    </row>
    <row r="26980" spans="1:2" x14ac:dyDescent="0.25">
      <c r="A26980"/>
      <c r="B26980"/>
    </row>
    <row r="26981" spans="1:2" x14ac:dyDescent="0.25">
      <c r="A26981"/>
      <c r="B26981"/>
    </row>
    <row r="26982" spans="1:2" x14ac:dyDescent="0.25">
      <c r="A26982"/>
      <c r="B26982"/>
    </row>
    <row r="26983" spans="1:2" x14ac:dyDescent="0.25">
      <c r="A26983"/>
      <c r="B26983"/>
    </row>
    <row r="26984" spans="1:2" x14ac:dyDescent="0.25">
      <c r="A26984"/>
      <c r="B26984"/>
    </row>
    <row r="26985" spans="1:2" x14ac:dyDescent="0.25">
      <c r="A26985"/>
      <c r="B26985"/>
    </row>
    <row r="26986" spans="1:2" x14ac:dyDescent="0.25">
      <c r="A26986"/>
      <c r="B26986"/>
    </row>
    <row r="26987" spans="1:2" x14ac:dyDescent="0.25">
      <c r="A26987"/>
      <c r="B26987"/>
    </row>
    <row r="26988" spans="1:2" x14ac:dyDescent="0.25">
      <c r="A26988"/>
      <c r="B26988"/>
    </row>
    <row r="26989" spans="1:2" x14ac:dyDescent="0.25">
      <c r="A26989"/>
      <c r="B26989"/>
    </row>
    <row r="26990" spans="1:2" x14ac:dyDescent="0.25">
      <c r="A26990"/>
      <c r="B26990"/>
    </row>
    <row r="26991" spans="1:2" x14ac:dyDescent="0.25">
      <c r="A26991"/>
      <c r="B26991"/>
    </row>
    <row r="26992" spans="1:2" x14ac:dyDescent="0.25">
      <c r="A26992"/>
      <c r="B26992"/>
    </row>
    <row r="26993" spans="1:2" x14ac:dyDescent="0.25">
      <c r="A26993"/>
      <c r="B26993"/>
    </row>
    <row r="26994" spans="1:2" x14ac:dyDescent="0.25">
      <c r="A26994"/>
      <c r="B26994"/>
    </row>
    <row r="26995" spans="1:2" x14ac:dyDescent="0.25">
      <c r="A26995"/>
      <c r="B26995"/>
    </row>
    <row r="26996" spans="1:2" x14ac:dyDescent="0.25">
      <c r="A26996"/>
      <c r="B26996"/>
    </row>
    <row r="26997" spans="1:2" x14ac:dyDescent="0.25">
      <c r="A26997"/>
      <c r="B26997"/>
    </row>
    <row r="26998" spans="1:2" x14ac:dyDescent="0.25">
      <c r="A26998"/>
      <c r="B26998"/>
    </row>
    <row r="26999" spans="1:2" x14ac:dyDescent="0.25">
      <c r="A26999"/>
      <c r="B26999"/>
    </row>
    <row r="27000" spans="1:2" x14ac:dyDescent="0.25">
      <c r="A27000"/>
      <c r="B27000"/>
    </row>
    <row r="27001" spans="1:2" x14ac:dyDescent="0.25">
      <c r="A27001"/>
      <c r="B27001"/>
    </row>
    <row r="27002" spans="1:2" x14ac:dyDescent="0.25">
      <c r="A27002"/>
      <c r="B27002"/>
    </row>
    <row r="27003" spans="1:2" x14ac:dyDescent="0.25">
      <c r="A27003"/>
      <c r="B27003"/>
    </row>
    <row r="27004" spans="1:2" x14ac:dyDescent="0.25">
      <c r="A27004"/>
      <c r="B27004"/>
    </row>
    <row r="27005" spans="1:2" x14ac:dyDescent="0.25">
      <c r="A27005"/>
      <c r="B27005"/>
    </row>
    <row r="27006" spans="1:2" x14ac:dyDescent="0.25">
      <c r="A27006"/>
      <c r="B27006"/>
    </row>
    <row r="27007" spans="1:2" x14ac:dyDescent="0.25">
      <c r="A27007"/>
      <c r="B27007"/>
    </row>
    <row r="27008" spans="1:2" x14ac:dyDescent="0.25">
      <c r="A27008"/>
      <c r="B27008"/>
    </row>
    <row r="27009" spans="1:2" x14ac:dyDescent="0.25">
      <c r="A27009"/>
      <c r="B27009"/>
    </row>
    <row r="27010" spans="1:2" x14ac:dyDescent="0.25">
      <c r="A27010"/>
      <c r="B27010"/>
    </row>
    <row r="27011" spans="1:2" x14ac:dyDescent="0.25">
      <c r="A27011"/>
      <c r="B27011"/>
    </row>
    <row r="27012" spans="1:2" x14ac:dyDescent="0.25">
      <c r="A27012"/>
      <c r="B27012"/>
    </row>
    <row r="27013" spans="1:2" x14ac:dyDescent="0.25">
      <c r="A27013"/>
      <c r="B27013"/>
    </row>
    <row r="27014" spans="1:2" x14ac:dyDescent="0.25">
      <c r="A27014"/>
      <c r="B27014"/>
    </row>
    <row r="27015" spans="1:2" x14ac:dyDescent="0.25">
      <c r="A27015"/>
      <c r="B27015"/>
    </row>
    <row r="27016" spans="1:2" x14ac:dyDescent="0.25">
      <c r="A27016"/>
      <c r="B27016"/>
    </row>
    <row r="27017" spans="1:2" x14ac:dyDescent="0.25">
      <c r="A27017"/>
      <c r="B27017"/>
    </row>
    <row r="27018" spans="1:2" x14ac:dyDescent="0.25">
      <c r="A27018"/>
      <c r="B27018"/>
    </row>
    <row r="27019" spans="1:2" x14ac:dyDescent="0.25">
      <c r="A27019"/>
      <c r="B27019"/>
    </row>
    <row r="27020" spans="1:2" x14ac:dyDescent="0.25">
      <c r="A27020"/>
      <c r="B27020"/>
    </row>
    <row r="27021" spans="1:2" x14ac:dyDescent="0.25">
      <c r="A27021"/>
      <c r="B27021"/>
    </row>
    <row r="27022" spans="1:2" x14ac:dyDescent="0.25">
      <c r="A27022"/>
      <c r="B27022"/>
    </row>
    <row r="27023" spans="1:2" x14ac:dyDescent="0.25">
      <c r="A27023"/>
      <c r="B27023"/>
    </row>
    <row r="27024" spans="1:2" x14ac:dyDescent="0.25">
      <c r="A27024"/>
      <c r="B27024"/>
    </row>
    <row r="27025" spans="1:2" x14ac:dyDescent="0.25">
      <c r="A27025"/>
      <c r="B27025"/>
    </row>
    <row r="27026" spans="1:2" x14ac:dyDescent="0.25">
      <c r="A27026"/>
      <c r="B27026"/>
    </row>
    <row r="27027" spans="1:2" x14ac:dyDescent="0.25">
      <c r="A27027"/>
      <c r="B27027"/>
    </row>
    <row r="27028" spans="1:2" x14ac:dyDescent="0.25">
      <c r="A27028"/>
      <c r="B27028"/>
    </row>
    <row r="27029" spans="1:2" x14ac:dyDescent="0.25">
      <c r="A27029"/>
      <c r="B27029"/>
    </row>
    <row r="27030" spans="1:2" x14ac:dyDescent="0.25">
      <c r="A27030"/>
      <c r="B27030"/>
    </row>
    <row r="27031" spans="1:2" x14ac:dyDescent="0.25">
      <c r="A27031"/>
      <c r="B27031"/>
    </row>
    <row r="27032" spans="1:2" x14ac:dyDescent="0.25">
      <c r="A27032"/>
      <c r="B27032"/>
    </row>
    <row r="27033" spans="1:2" x14ac:dyDescent="0.25">
      <c r="A27033"/>
      <c r="B27033"/>
    </row>
    <row r="27034" spans="1:2" x14ac:dyDescent="0.25">
      <c r="A27034"/>
      <c r="B27034"/>
    </row>
    <row r="27035" spans="1:2" x14ac:dyDescent="0.25">
      <c r="A27035"/>
      <c r="B27035"/>
    </row>
    <row r="27036" spans="1:2" x14ac:dyDescent="0.25">
      <c r="A27036"/>
      <c r="B27036"/>
    </row>
    <row r="27037" spans="1:2" x14ac:dyDescent="0.25">
      <c r="A27037"/>
      <c r="B27037"/>
    </row>
    <row r="27038" spans="1:2" x14ac:dyDescent="0.25">
      <c r="A27038"/>
      <c r="B27038"/>
    </row>
    <row r="27039" spans="1:2" x14ac:dyDescent="0.25">
      <c r="A27039"/>
      <c r="B27039"/>
    </row>
    <row r="27040" spans="1:2" x14ac:dyDescent="0.25">
      <c r="A27040"/>
      <c r="B27040"/>
    </row>
    <row r="27041" spans="1:2" x14ac:dyDescent="0.25">
      <c r="A27041"/>
      <c r="B27041"/>
    </row>
    <row r="27042" spans="1:2" x14ac:dyDescent="0.25">
      <c r="A27042"/>
      <c r="B27042"/>
    </row>
    <row r="27043" spans="1:2" x14ac:dyDescent="0.25">
      <c r="A27043"/>
      <c r="B27043"/>
    </row>
    <row r="27044" spans="1:2" x14ac:dyDescent="0.25">
      <c r="A27044"/>
      <c r="B27044"/>
    </row>
    <row r="27045" spans="1:2" x14ac:dyDescent="0.25">
      <c r="A27045"/>
      <c r="B27045"/>
    </row>
    <row r="27046" spans="1:2" x14ac:dyDescent="0.25">
      <c r="A27046"/>
      <c r="B27046"/>
    </row>
    <row r="27047" spans="1:2" x14ac:dyDescent="0.25">
      <c r="A27047"/>
      <c r="B27047"/>
    </row>
    <row r="27048" spans="1:2" x14ac:dyDescent="0.25">
      <c r="A27048"/>
      <c r="B27048"/>
    </row>
    <row r="27049" spans="1:2" x14ac:dyDescent="0.25">
      <c r="A27049"/>
      <c r="B27049"/>
    </row>
    <row r="27050" spans="1:2" x14ac:dyDescent="0.25">
      <c r="A27050"/>
      <c r="B27050"/>
    </row>
    <row r="27051" spans="1:2" x14ac:dyDescent="0.25">
      <c r="A27051"/>
      <c r="B27051"/>
    </row>
    <row r="27052" spans="1:2" x14ac:dyDescent="0.25">
      <c r="A27052"/>
      <c r="B27052"/>
    </row>
    <row r="27053" spans="1:2" x14ac:dyDescent="0.25">
      <c r="A27053"/>
      <c r="B27053"/>
    </row>
    <row r="27054" spans="1:2" x14ac:dyDescent="0.25">
      <c r="A27054"/>
      <c r="B27054"/>
    </row>
    <row r="27055" spans="1:2" x14ac:dyDescent="0.25">
      <c r="A27055"/>
      <c r="B27055"/>
    </row>
    <row r="27056" spans="1:2" x14ac:dyDescent="0.25">
      <c r="A27056"/>
      <c r="B27056"/>
    </row>
    <row r="27057" spans="1:2" x14ac:dyDescent="0.25">
      <c r="A27057"/>
      <c r="B27057"/>
    </row>
    <row r="27058" spans="1:2" x14ac:dyDescent="0.25">
      <c r="A27058"/>
      <c r="B27058"/>
    </row>
    <row r="27059" spans="1:2" x14ac:dyDescent="0.25">
      <c r="A27059"/>
      <c r="B27059"/>
    </row>
    <row r="27060" spans="1:2" x14ac:dyDescent="0.25">
      <c r="A27060"/>
      <c r="B27060"/>
    </row>
    <row r="27061" spans="1:2" x14ac:dyDescent="0.25">
      <c r="A27061"/>
      <c r="B27061"/>
    </row>
    <row r="27062" spans="1:2" x14ac:dyDescent="0.25">
      <c r="A27062"/>
      <c r="B27062"/>
    </row>
    <row r="27063" spans="1:2" x14ac:dyDescent="0.25">
      <c r="A27063"/>
      <c r="B27063"/>
    </row>
    <row r="27064" spans="1:2" x14ac:dyDescent="0.25">
      <c r="A27064"/>
      <c r="B27064"/>
    </row>
    <row r="27065" spans="1:2" x14ac:dyDescent="0.25">
      <c r="A27065"/>
      <c r="B27065"/>
    </row>
    <row r="27066" spans="1:2" x14ac:dyDescent="0.25">
      <c r="A27066"/>
      <c r="B27066"/>
    </row>
    <row r="27067" spans="1:2" x14ac:dyDescent="0.25">
      <c r="A27067"/>
      <c r="B27067"/>
    </row>
    <row r="27068" spans="1:2" x14ac:dyDescent="0.25">
      <c r="A27068"/>
      <c r="B27068"/>
    </row>
    <row r="27069" spans="1:2" x14ac:dyDescent="0.25">
      <c r="A27069"/>
      <c r="B27069"/>
    </row>
    <row r="27070" spans="1:2" x14ac:dyDescent="0.25">
      <c r="A27070"/>
      <c r="B27070"/>
    </row>
    <row r="27071" spans="1:2" x14ac:dyDescent="0.25">
      <c r="A27071"/>
      <c r="B27071"/>
    </row>
    <row r="27072" spans="1:2" x14ac:dyDescent="0.25">
      <c r="A27072"/>
      <c r="B27072"/>
    </row>
    <row r="27073" spans="1:2" x14ac:dyDescent="0.25">
      <c r="A27073"/>
      <c r="B27073"/>
    </row>
    <row r="27074" spans="1:2" x14ac:dyDescent="0.25">
      <c r="A27074"/>
      <c r="B27074"/>
    </row>
    <row r="27075" spans="1:2" x14ac:dyDescent="0.25">
      <c r="A27075"/>
      <c r="B27075"/>
    </row>
    <row r="27076" spans="1:2" x14ac:dyDescent="0.25">
      <c r="A27076"/>
      <c r="B27076"/>
    </row>
    <row r="27077" spans="1:2" x14ac:dyDescent="0.25">
      <c r="A27077"/>
      <c r="B27077"/>
    </row>
    <row r="27078" spans="1:2" x14ac:dyDescent="0.25">
      <c r="A27078"/>
      <c r="B27078"/>
    </row>
    <row r="27079" spans="1:2" x14ac:dyDescent="0.25">
      <c r="A27079"/>
      <c r="B27079"/>
    </row>
    <row r="27080" spans="1:2" x14ac:dyDescent="0.25">
      <c r="A27080"/>
      <c r="B27080"/>
    </row>
    <row r="27081" spans="1:2" x14ac:dyDescent="0.25">
      <c r="A27081"/>
      <c r="B27081"/>
    </row>
    <row r="27082" spans="1:2" x14ac:dyDescent="0.25">
      <c r="A27082"/>
      <c r="B27082"/>
    </row>
    <row r="27083" spans="1:2" x14ac:dyDescent="0.25">
      <c r="A27083"/>
      <c r="B27083"/>
    </row>
    <row r="27084" spans="1:2" x14ac:dyDescent="0.25">
      <c r="A27084"/>
      <c r="B27084"/>
    </row>
    <row r="27085" spans="1:2" x14ac:dyDescent="0.25">
      <c r="A27085"/>
      <c r="B27085"/>
    </row>
    <row r="27086" spans="1:2" x14ac:dyDescent="0.25">
      <c r="A27086"/>
      <c r="B27086"/>
    </row>
    <row r="27087" spans="1:2" x14ac:dyDescent="0.25">
      <c r="A27087"/>
      <c r="B27087"/>
    </row>
    <row r="27088" spans="1:2" x14ac:dyDescent="0.25">
      <c r="A27088"/>
      <c r="B27088"/>
    </row>
    <row r="27089" spans="1:2" x14ac:dyDescent="0.25">
      <c r="A27089"/>
      <c r="B27089"/>
    </row>
    <row r="27090" spans="1:2" x14ac:dyDescent="0.25">
      <c r="A27090"/>
      <c r="B27090"/>
    </row>
    <row r="27091" spans="1:2" x14ac:dyDescent="0.25">
      <c r="A27091"/>
      <c r="B27091"/>
    </row>
    <row r="27092" spans="1:2" x14ac:dyDescent="0.25">
      <c r="A27092"/>
      <c r="B27092"/>
    </row>
    <row r="27093" spans="1:2" x14ac:dyDescent="0.25">
      <c r="A27093"/>
      <c r="B27093"/>
    </row>
    <row r="27094" spans="1:2" x14ac:dyDescent="0.25">
      <c r="A27094"/>
      <c r="B27094"/>
    </row>
    <row r="27095" spans="1:2" x14ac:dyDescent="0.25">
      <c r="A27095"/>
      <c r="B27095"/>
    </row>
    <row r="27096" spans="1:2" x14ac:dyDescent="0.25">
      <c r="A27096"/>
      <c r="B27096"/>
    </row>
    <row r="27097" spans="1:2" x14ac:dyDescent="0.25">
      <c r="A27097"/>
      <c r="B27097"/>
    </row>
    <row r="27098" spans="1:2" x14ac:dyDescent="0.25">
      <c r="A27098"/>
      <c r="B27098"/>
    </row>
    <row r="27099" spans="1:2" x14ac:dyDescent="0.25">
      <c r="A27099"/>
      <c r="B27099"/>
    </row>
    <row r="27100" spans="1:2" x14ac:dyDescent="0.25">
      <c r="A27100"/>
      <c r="B27100"/>
    </row>
    <row r="27101" spans="1:2" x14ac:dyDescent="0.25">
      <c r="A27101"/>
      <c r="B27101"/>
    </row>
    <row r="27102" spans="1:2" x14ac:dyDescent="0.25">
      <c r="A27102"/>
      <c r="B27102"/>
    </row>
    <row r="27103" spans="1:2" x14ac:dyDescent="0.25">
      <c r="A27103"/>
      <c r="B27103"/>
    </row>
    <row r="27104" spans="1:2" x14ac:dyDescent="0.25">
      <c r="A27104"/>
      <c r="B27104"/>
    </row>
    <row r="27105" spans="1:2" x14ac:dyDescent="0.25">
      <c r="A27105"/>
      <c r="B27105"/>
    </row>
    <row r="27106" spans="1:2" x14ac:dyDescent="0.25">
      <c r="A27106"/>
      <c r="B27106"/>
    </row>
    <row r="27107" spans="1:2" x14ac:dyDescent="0.25">
      <c r="A27107"/>
      <c r="B27107"/>
    </row>
    <row r="27108" spans="1:2" x14ac:dyDescent="0.25">
      <c r="A27108"/>
      <c r="B27108"/>
    </row>
    <row r="27109" spans="1:2" x14ac:dyDescent="0.25">
      <c r="A27109"/>
      <c r="B27109"/>
    </row>
    <row r="27110" spans="1:2" x14ac:dyDescent="0.25">
      <c r="A27110"/>
      <c r="B27110"/>
    </row>
    <row r="27111" spans="1:2" x14ac:dyDescent="0.25">
      <c r="A27111"/>
      <c r="B27111"/>
    </row>
    <row r="27112" spans="1:2" x14ac:dyDescent="0.25">
      <c r="A27112"/>
      <c r="B27112"/>
    </row>
    <row r="27113" spans="1:2" x14ac:dyDescent="0.25">
      <c r="A27113"/>
      <c r="B27113"/>
    </row>
    <row r="27114" spans="1:2" x14ac:dyDescent="0.25">
      <c r="A27114"/>
      <c r="B27114"/>
    </row>
    <row r="27115" spans="1:2" x14ac:dyDescent="0.25">
      <c r="A27115"/>
      <c r="B27115"/>
    </row>
    <row r="27116" spans="1:2" x14ac:dyDescent="0.25">
      <c r="A27116"/>
      <c r="B27116"/>
    </row>
    <row r="27117" spans="1:2" x14ac:dyDescent="0.25">
      <c r="A27117"/>
      <c r="B27117"/>
    </row>
    <row r="27118" spans="1:2" x14ac:dyDescent="0.25">
      <c r="A27118"/>
      <c r="B27118"/>
    </row>
    <row r="27119" spans="1:2" x14ac:dyDescent="0.25">
      <c r="A27119"/>
      <c r="B27119"/>
    </row>
    <row r="27120" spans="1:2" x14ac:dyDescent="0.25">
      <c r="A27120"/>
      <c r="B27120"/>
    </row>
    <row r="27121" spans="1:2" x14ac:dyDescent="0.25">
      <c r="A27121"/>
      <c r="B27121"/>
    </row>
    <row r="27122" spans="1:2" x14ac:dyDescent="0.25">
      <c r="A27122"/>
      <c r="B27122"/>
    </row>
    <row r="27123" spans="1:2" x14ac:dyDescent="0.25">
      <c r="A27123"/>
      <c r="B27123"/>
    </row>
    <row r="27124" spans="1:2" x14ac:dyDescent="0.25">
      <c r="A27124"/>
      <c r="B27124"/>
    </row>
    <row r="27125" spans="1:2" x14ac:dyDescent="0.25">
      <c r="A27125"/>
      <c r="B27125"/>
    </row>
    <row r="27126" spans="1:2" x14ac:dyDescent="0.25">
      <c r="A27126"/>
      <c r="B27126"/>
    </row>
    <row r="27127" spans="1:2" x14ac:dyDescent="0.25">
      <c r="A27127"/>
      <c r="B27127"/>
    </row>
    <row r="27128" spans="1:2" x14ac:dyDescent="0.25">
      <c r="A27128"/>
      <c r="B27128"/>
    </row>
    <row r="27129" spans="1:2" x14ac:dyDescent="0.25">
      <c r="A27129"/>
      <c r="B27129"/>
    </row>
    <row r="27130" spans="1:2" x14ac:dyDescent="0.25">
      <c r="A27130"/>
      <c r="B27130"/>
    </row>
    <row r="27131" spans="1:2" x14ac:dyDescent="0.25">
      <c r="A27131"/>
      <c r="B27131"/>
    </row>
    <row r="27132" spans="1:2" x14ac:dyDescent="0.25">
      <c r="A27132"/>
      <c r="B27132"/>
    </row>
    <row r="27133" spans="1:2" x14ac:dyDescent="0.25">
      <c r="A27133"/>
      <c r="B27133"/>
    </row>
    <row r="27134" spans="1:2" x14ac:dyDescent="0.25">
      <c r="A27134"/>
      <c r="B27134"/>
    </row>
    <row r="27135" spans="1:2" x14ac:dyDescent="0.25">
      <c r="A27135"/>
      <c r="B27135"/>
    </row>
    <row r="27136" spans="1:2" x14ac:dyDescent="0.25">
      <c r="A27136"/>
      <c r="B27136"/>
    </row>
    <row r="27137" spans="1:2" x14ac:dyDescent="0.25">
      <c r="A27137"/>
      <c r="B27137"/>
    </row>
    <row r="27138" spans="1:2" x14ac:dyDescent="0.25">
      <c r="A27138"/>
      <c r="B27138"/>
    </row>
    <row r="27139" spans="1:2" x14ac:dyDescent="0.25">
      <c r="A27139"/>
      <c r="B27139"/>
    </row>
    <row r="27140" spans="1:2" x14ac:dyDescent="0.25">
      <c r="A27140"/>
      <c r="B27140"/>
    </row>
    <row r="27141" spans="1:2" x14ac:dyDescent="0.25">
      <c r="A27141"/>
      <c r="B27141"/>
    </row>
    <row r="27142" spans="1:2" x14ac:dyDescent="0.25">
      <c r="A27142"/>
      <c r="B27142"/>
    </row>
    <row r="27143" spans="1:2" x14ac:dyDescent="0.25">
      <c r="A27143"/>
      <c r="B27143"/>
    </row>
    <row r="27144" spans="1:2" x14ac:dyDescent="0.25">
      <c r="A27144"/>
      <c r="B27144"/>
    </row>
    <row r="27145" spans="1:2" x14ac:dyDescent="0.25">
      <c r="A27145"/>
      <c r="B27145"/>
    </row>
    <row r="27146" spans="1:2" x14ac:dyDescent="0.25">
      <c r="A27146"/>
      <c r="B27146"/>
    </row>
    <row r="27147" spans="1:2" x14ac:dyDescent="0.25">
      <c r="A27147"/>
      <c r="B27147"/>
    </row>
    <row r="27148" spans="1:2" x14ac:dyDescent="0.25">
      <c r="A27148"/>
      <c r="B27148"/>
    </row>
    <row r="27149" spans="1:2" x14ac:dyDescent="0.25">
      <c r="A27149"/>
      <c r="B27149"/>
    </row>
    <row r="27150" spans="1:2" x14ac:dyDescent="0.25">
      <c r="A27150"/>
      <c r="B27150"/>
    </row>
    <row r="27151" spans="1:2" x14ac:dyDescent="0.25">
      <c r="A27151"/>
      <c r="B27151"/>
    </row>
    <row r="27152" spans="1:2" x14ac:dyDescent="0.25">
      <c r="A27152"/>
      <c r="B27152"/>
    </row>
    <row r="27153" spans="1:2" x14ac:dyDescent="0.25">
      <c r="A27153"/>
      <c r="B27153"/>
    </row>
    <row r="27154" spans="1:2" x14ac:dyDescent="0.25">
      <c r="A27154"/>
      <c r="B27154"/>
    </row>
    <row r="27155" spans="1:2" x14ac:dyDescent="0.25">
      <c r="A27155"/>
      <c r="B27155"/>
    </row>
    <row r="27156" spans="1:2" x14ac:dyDescent="0.25">
      <c r="A27156"/>
      <c r="B27156"/>
    </row>
    <row r="27157" spans="1:2" x14ac:dyDescent="0.25">
      <c r="A27157"/>
      <c r="B27157"/>
    </row>
    <row r="27158" spans="1:2" x14ac:dyDescent="0.25">
      <c r="A27158"/>
      <c r="B27158"/>
    </row>
    <row r="27159" spans="1:2" x14ac:dyDescent="0.25">
      <c r="A27159"/>
      <c r="B27159"/>
    </row>
    <row r="27160" spans="1:2" x14ac:dyDescent="0.25">
      <c r="A27160"/>
      <c r="B27160"/>
    </row>
    <row r="27161" spans="1:2" x14ac:dyDescent="0.25">
      <c r="A27161"/>
      <c r="B27161"/>
    </row>
    <row r="27162" spans="1:2" x14ac:dyDescent="0.25">
      <c r="A27162"/>
      <c r="B27162"/>
    </row>
    <row r="27163" spans="1:2" x14ac:dyDescent="0.25">
      <c r="A27163"/>
      <c r="B27163"/>
    </row>
    <row r="27164" spans="1:2" x14ac:dyDescent="0.25">
      <c r="A27164"/>
      <c r="B27164"/>
    </row>
    <row r="27165" spans="1:2" x14ac:dyDescent="0.25">
      <c r="A27165"/>
      <c r="B27165"/>
    </row>
    <row r="27166" spans="1:2" x14ac:dyDescent="0.25">
      <c r="A27166"/>
      <c r="B27166"/>
    </row>
    <row r="27167" spans="1:2" x14ac:dyDescent="0.25">
      <c r="A27167"/>
      <c r="B27167"/>
    </row>
    <row r="27168" spans="1:2" x14ac:dyDescent="0.25">
      <c r="A27168"/>
      <c r="B27168"/>
    </row>
    <row r="27169" spans="1:2" x14ac:dyDescent="0.25">
      <c r="A27169"/>
      <c r="B27169"/>
    </row>
    <row r="27170" spans="1:2" x14ac:dyDescent="0.25">
      <c r="A27170"/>
      <c r="B27170"/>
    </row>
    <row r="27171" spans="1:2" x14ac:dyDescent="0.25">
      <c r="A27171"/>
      <c r="B27171"/>
    </row>
    <row r="27172" spans="1:2" x14ac:dyDescent="0.25">
      <c r="A27172"/>
      <c r="B27172"/>
    </row>
    <row r="27173" spans="1:2" x14ac:dyDescent="0.25">
      <c r="A27173"/>
      <c r="B27173"/>
    </row>
    <row r="27174" spans="1:2" x14ac:dyDescent="0.25">
      <c r="A27174"/>
      <c r="B27174"/>
    </row>
    <row r="27175" spans="1:2" x14ac:dyDescent="0.25">
      <c r="A27175"/>
      <c r="B27175"/>
    </row>
    <row r="27176" spans="1:2" x14ac:dyDescent="0.25">
      <c r="A27176"/>
      <c r="B27176"/>
    </row>
    <row r="27177" spans="1:2" x14ac:dyDescent="0.25">
      <c r="A27177"/>
      <c r="B27177"/>
    </row>
    <row r="27178" spans="1:2" x14ac:dyDescent="0.25">
      <c r="A27178"/>
      <c r="B27178"/>
    </row>
    <row r="27179" spans="1:2" x14ac:dyDescent="0.25">
      <c r="A27179"/>
      <c r="B27179"/>
    </row>
    <row r="27180" spans="1:2" x14ac:dyDescent="0.25">
      <c r="A27180"/>
      <c r="B27180"/>
    </row>
    <row r="27181" spans="1:2" x14ac:dyDescent="0.25">
      <c r="A27181"/>
      <c r="B27181"/>
    </row>
    <row r="27182" spans="1:2" x14ac:dyDescent="0.25">
      <c r="A27182"/>
      <c r="B27182"/>
    </row>
    <row r="27183" spans="1:2" x14ac:dyDescent="0.25">
      <c r="A27183"/>
      <c r="B27183"/>
    </row>
    <row r="27184" spans="1:2" x14ac:dyDescent="0.25">
      <c r="A27184"/>
      <c r="B27184"/>
    </row>
    <row r="27185" spans="1:2" x14ac:dyDescent="0.25">
      <c r="A27185"/>
      <c r="B27185"/>
    </row>
    <row r="27186" spans="1:2" x14ac:dyDescent="0.25">
      <c r="A27186"/>
      <c r="B27186"/>
    </row>
    <row r="27187" spans="1:2" x14ac:dyDescent="0.25">
      <c r="A27187"/>
      <c r="B27187"/>
    </row>
    <row r="27188" spans="1:2" x14ac:dyDescent="0.25">
      <c r="A27188"/>
      <c r="B27188"/>
    </row>
    <row r="27189" spans="1:2" x14ac:dyDescent="0.25">
      <c r="A27189"/>
      <c r="B27189"/>
    </row>
    <row r="27190" spans="1:2" x14ac:dyDescent="0.25">
      <c r="A27190"/>
      <c r="B27190"/>
    </row>
    <row r="27191" spans="1:2" x14ac:dyDescent="0.25">
      <c r="A27191"/>
      <c r="B27191"/>
    </row>
    <row r="27192" spans="1:2" x14ac:dyDescent="0.25">
      <c r="A27192"/>
      <c r="B27192"/>
    </row>
    <row r="27193" spans="1:2" x14ac:dyDescent="0.25">
      <c r="A27193"/>
      <c r="B27193"/>
    </row>
    <row r="27194" spans="1:2" x14ac:dyDescent="0.25">
      <c r="A27194"/>
      <c r="B27194"/>
    </row>
    <row r="27195" spans="1:2" x14ac:dyDescent="0.25">
      <c r="A27195"/>
      <c r="B27195"/>
    </row>
    <row r="27196" spans="1:2" x14ac:dyDescent="0.25">
      <c r="A27196"/>
      <c r="B27196"/>
    </row>
    <row r="27197" spans="1:2" x14ac:dyDescent="0.25">
      <c r="A27197"/>
      <c r="B27197"/>
    </row>
    <row r="27198" spans="1:2" x14ac:dyDescent="0.25">
      <c r="A27198"/>
      <c r="B27198"/>
    </row>
    <row r="27199" spans="1:2" x14ac:dyDescent="0.25">
      <c r="A27199"/>
      <c r="B27199"/>
    </row>
    <row r="27200" spans="1:2" x14ac:dyDescent="0.25">
      <c r="A27200"/>
      <c r="B27200"/>
    </row>
    <row r="27201" spans="1:2" x14ac:dyDescent="0.25">
      <c r="A27201"/>
      <c r="B27201"/>
    </row>
    <row r="27202" spans="1:2" x14ac:dyDescent="0.25">
      <c r="A27202"/>
      <c r="B27202"/>
    </row>
    <row r="27203" spans="1:2" x14ac:dyDescent="0.25">
      <c r="A27203"/>
      <c r="B27203"/>
    </row>
    <row r="27204" spans="1:2" x14ac:dyDescent="0.25">
      <c r="A27204"/>
      <c r="B27204"/>
    </row>
    <row r="27205" spans="1:2" x14ac:dyDescent="0.25">
      <c r="A27205"/>
      <c r="B27205"/>
    </row>
    <row r="27206" spans="1:2" x14ac:dyDescent="0.25">
      <c r="A27206"/>
      <c r="B27206"/>
    </row>
    <row r="27207" spans="1:2" x14ac:dyDescent="0.25">
      <c r="A27207"/>
      <c r="B27207"/>
    </row>
    <row r="27208" spans="1:2" x14ac:dyDescent="0.25">
      <c r="A27208"/>
      <c r="B27208"/>
    </row>
    <row r="27209" spans="1:2" x14ac:dyDescent="0.25">
      <c r="A27209"/>
      <c r="B27209"/>
    </row>
    <row r="27210" spans="1:2" x14ac:dyDescent="0.25">
      <c r="A27210"/>
      <c r="B27210"/>
    </row>
    <row r="27211" spans="1:2" x14ac:dyDescent="0.25">
      <c r="A27211"/>
      <c r="B27211"/>
    </row>
    <row r="27212" spans="1:2" x14ac:dyDescent="0.25">
      <c r="A27212"/>
      <c r="B27212"/>
    </row>
    <row r="27213" spans="1:2" x14ac:dyDescent="0.25">
      <c r="A27213"/>
      <c r="B27213"/>
    </row>
    <row r="27214" spans="1:2" x14ac:dyDescent="0.25">
      <c r="A27214"/>
      <c r="B27214"/>
    </row>
    <row r="27215" spans="1:2" x14ac:dyDescent="0.25">
      <c r="A27215"/>
      <c r="B27215"/>
    </row>
    <row r="27216" spans="1:2" x14ac:dyDescent="0.25">
      <c r="A27216"/>
      <c r="B27216"/>
    </row>
    <row r="27217" spans="1:2" x14ac:dyDescent="0.25">
      <c r="A27217"/>
      <c r="B27217"/>
    </row>
    <row r="27218" spans="1:2" x14ac:dyDescent="0.25">
      <c r="A27218"/>
      <c r="B27218"/>
    </row>
    <row r="27219" spans="1:2" x14ac:dyDescent="0.25">
      <c r="A27219"/>
      <c r="B27219"/>
    </row>
    <row r="27220" spans="1:2" x14ac:dyDescent="0.25">
      <c r="A27220"/>
      <c r="B27220"/>
    </row>
    <row r="27221" spans="1:2" x14ac:dyDescent="0.25">
      <c r="A27221"/>
      <c r="B27221"/>
    </row>
    <row r="27222" spans="1:2" x14ac:dyDescent="0.25">
      <c r="A27222"/>
      <c r="B27222"/>
    </row>
    <row r="27223" spans="1:2" x14ac:dyDescent="0.25">
      <c r="A27223"/>
      <c r="B27223"/>
    </row>
    <row r="27224" spans="1:2" x14ac:dyDescent="0.25">
      <c r="A27224"/>
      <c r="B27224"/>
    </row>
    <row r="27225" spans="1:2" x14ac:dyDescent="0.25">
      <c r="A27225"/>
      <c r="B27225"/>
    </row>
    <row r="27226" spans="1:2" x14ac:dyDescent="0.25">
      <c r="A27226"/>
      <c r="B27226"/>
    </row>
    <row r="27227" spans="1:2" x14ac:dyDescent="0.25">
      <c r="A27227"/>
      <c r="B27227"/>
    </row>
    <row r="27228" spans="1:2" x14ac:dyDescent="0.25">
      <c r="A27228"/>
      <c r="B27228"/>
    </row>
    <row r="27229" spans="1:2" x14ac:dyDescent="0.25">
      <c r="A27229"/>
      <c r="B27229"/>
    </row>
    <row r="27230" spans="1:2" x14ac:dyDescent="0.25">
      <c r="A27230"/>
      <c r="B27230"/>
    </row>
    <row r="27231" spans="1:2" x14ac:dyDescent="0.25">
      <c r="A27231"/>
      <c r="B27231"/>
    </row>
    <row r="27232" spans="1:2" x14ac:dyDescent="0.25">
      <c r="A27232"/>
      <c r="B27232"/>
    </row>
    <row r="27233" spans="1:2" x14ac:dyDescent="0.25">
      <c r="A27233"/>
      <c r="B27233"/>
    </row>
    <row r="27234" spans="1:2" x14ac:dyDescent="0.25">
      <c r="A27234"/>
      <c r="B27234"/>
    </row>
    <row r="27235" spans="1:2" x14ac:dyDescent="0.25">
      <c r="A27235"/>
      <c r="B27235"/>
    </row>
    <row r="27236" spans="1:2" x14ac:dyDescent="0.25">
      <c r="A27236"/>
      <c r="B27236"/>
    </row>
    <row r="27237" spans="1:2" x14ac:dyDescent="0.25">
      <c r="A27237"/>
      <c r="B27237"/>
    </row>
    <row r="27238" spans="1:2" x14ac:dyDescent="0.25">
      <c r="A27238"/>
      <c r="B27238"/>
    </row>
    <row r="27239" spans="1:2" x14ac:dyDescent="0.25">
      <c r="A27239"/>
      <c r="B27239"/>
    </row>
    <row r="27240" spans="1:2" x14ac:dyDescent="0.25">
      <c r="A27240"/>
      <c r="B27240"/>
    </row>
    <row r="27241" spans="1:2" x14ac:dyDescent="0.25">
      <c r="A27241"/>
      <c r="B27241"/>
    </row>
    <row r="27242" spans="1:2" x14ac:dyDescent="0.25">
      <c r="A27242"/>
      <c r="B27242"/>
    </row>
    <row r="27243" spans="1:2" x14ac:dyDescent="0.25">
      <c r="A27243"/>
      <c r="B27243"/>
    </row>
    <row r="27244" spans="1:2" x14ac:dyDescent="0.25">
      <c r="A27244"/>
      <c r="B27244"/>
    </row>
    <row r="27245" spans="1:2" x14ac:dyDescent="0.25">
      <c r="A27245"/>
      <c r="B27245"/>
    </row>
    <row r="27246" spans="1:2" x14ac:dyDescent="0.25">
      <c r="A27246"/>
      <c r="B27246"/>
    </row>
    <row r="27247" spans="1:2" x14ac:dyDescent="0.25">
      <c r="A27247"/>
      <c r="B27247"/>
    </row>
    <row r="27248" spans="1:2" x14ac:dyDescent="0.25">
      <c r="A27248"/>
      <c r="B27248"/>
    </row>
    <row r="27249" spans="1:2" x14ac:dyDescent="0.25">
      <c r="A27249"/>
      <c r="B27249"/>
    </row>
    <row r="27250" spans="1:2" x14ac:dyDescent="0.25">
      <c r="A27250"/>
      <c r="B27250"/>
    </row>
    <row r="27251" spans="1:2" x14ac:dyDescent="0.25">
      <c r="A27251"/>
      <c r="B27251"/>
    </row>
    <row r="27252" spans="1:2" x14ac:dyDescent="0.25">
      <c r="A27252"/>
      <c r="B27252"/>
    </row>
    <row r="27253" spans="1:2" x14ac:dyDescent="0.25">
      <c r="A27253"/>
      <c r="B27253"/>
    </row>
    <row r="27254" spans="1:2" x14ac:dyDescent="0.25">
      <c r="A27254"/>
      <c r="B27254"/>
    </row>
    <row r="27255" spans="1:2" x14ac:dyDescent="0.25">
      <c r="A27255"/>
      <c r="B27255"/>
    </row>
    <row r="27256" spans="1:2" x14ac:dyDescent="0.25">
      <c r="A27256"/>
      <c r="B27256"/>
    </row>
    <row r="27257" spans="1:2" x14ac:dyDescent="0.25">
      <c r="A27257"/>
      <c r="B27257"/>
    </row>
    <row r="27258" spans="1:2" x14ac:dyDescent="0.25">
      <c r="A27258"/>
      <c r="B27258"/>
    </row>
    <row r="27259" spans="1:2" x14ac:dyDescent="0.25">
      <c r="A27259"/>
      <c r="B27259"/>
    </row>
    <row r="27260" spans="1:2" x14ac:dyDescent="0.25">
      <c r="A27260"/>
      <c r="B27260"/>
    </row>
    <row r="27261" spans="1:2" x14ac:dyDescent="0.25">
      <c r="A27261"/>
      <c r="B27261"/>
    </row>
    <row r="27262" spans="1:2" x14ac:dyDescent="0.25">
      <c r="A27262"/>
      <c r="B27262"/>
    </row>
    <row r="27263" spans="1:2" x14ac:dyDescent="0.25">
      <c r="A27263"/>
      <c r="B27263"/>
    </row>
    <row r="27264" spans="1:2" x14ac:dyDescent="0.25">
      <c r="A27264"/>
      <c r="B27264"/>
    </row>
    <row r="27265" spans="1:2" x14ac:dyDescent="0.25">
      <c r="A27265"/>
      <c r="B27265"/>
    </row>
    <row r="27266" spans="1:2" x14ac:dyDescent="0.25">
      <c r="A27266"/>
      <c r="B27266"/>
    </row>
    <row r="27267" spans="1:2" x14ac:dyDescent="0.25">
      <c r="A27267"/>
      <c r="B27267"/>
    </row>
    <row r="27268" spans="1:2" x14ac:dyDescent="0.25">
      <c r="A27268"/>
      <c r="B27268"/>
    </row>
    <row r="27269" spans="1:2" x14ac:dyDescent="0.25">
      <c r="A27269"/>
      <c r="B27269"/>
    </row>
    <row r="27270" spans="1:2" x14ac:dyDescent="0.25">
      <c r="A27270"/>
      <c r="B27270"/>
    </row>
    <row r="27271" spans="1:2" x14ac:dyDescent="0.25">
      <c r="A27271"/>
      <c r="B27271"/>
    </row>
    <row r="27272" spans="1:2" x14ac:dyDescent="0.25">
      <c r="A27272"/>
      <c r="B27272"/>
    </row>
    <row r="27273" spans="1:2" x14ac:dyDescent="0.25">
      <c r="A27273"/>
      <c r="B27273"/>
    </row>
    <row r="27274" spans="1:2" x14ac:dyDescent="0.25">
      <c r="A27274"/>
      <c r="B27274"/>
    </row>
    <row r="27275" spans="1:2" x14ac:dyDescent="0.25">
      <c r="A27275"/>
      <c r="B27275"/>
    </row>
    <row r="27276" spans="1:2" x14ac:dyDescent="0.25">
      <c r="A27276"/>
      <c r="B27276"/>
    </row>
    <row r="27277" spans="1:2" x14ac:dyDescent="0.25">
      <c r="A27277"/>
      <c r="B27277"/>
    </row>
    <row r="27278" spans="1:2" x14ac:dyDescent="0.25">
      <c r="A27278"/>
      <c r="B27278"/>
    </row>
    <row r="27279" spans="1:2" x14ac:dyDescent="0.25">
      <c r="A27279"/>
      <c r="B27279"/>
    </row>
    <row r="27280" spans="1:2" x14ac:dyDescent="0.25">
      <c r="A27280"/>
      <c r="B27280"/>
    </row>
    <row r="27281" spans="1:2" x14ac:dyDescent="0.25">
      <c r="A27281"/>
      <c r="B27281"/>
    </row>
    <row r="27282" spans="1:2" x14ac:dyDescent="0.25">
      <c r="A27282"/>
      <c r="B27282"/>
    </row>
    <row r="27283" spans="1:2" x14ac:dyDescent="0.25">
      <c r="A27283"/>
      <c r="B27283"/>
    </row>
    <row r="27284" spans="1:2" x14ac:dyDescent="0.25">
      <c r="A27284"/>
      <c r="B27284"/>
    </row>
    <row r="27285" spans="1:2" x14ac:dyDescent="0.25">
      <c r="A27285"/>
      <c r="B27285"/>
    </row>
    <row r="27286" spans="1:2" x14ac:dyDescent="0.25">
      <c r="A27286"/>
      <c r="B27286"/>
    </row>
    <row r="27287" spans="1:2" x14ac:dyDescent="0.25">
      <c r="A27287"/>
      <c r="B27287"/>
    </row>
    <row r="27288" spans="1:2" x14ac:dyDescent="0.25">
      <c r="A27288"/>
      <c r="B27288"/>
    </row>
    <row r="27289" spans="1:2" x14ac:dyDescent="0.25">
      <c r="A27289"/>
      <c r="B27289"/>
    </row>
    <row r="27290" spans="1:2" x14ac:dyDescent="0.25">
      <c r="A27290"/>
      <c r="B27290"/>
    </row>
    <row r="27291" spans="1:2" x14ac:dyDescent="0.25">
      <c r="A27291"/>
      <c r="B27291"/>
    </row>
    <row r="27292" spans="1:2" x14ac:dyDescent="0.25">
      <c r="A27292"/>
      <c r="B27292"/>
    </row>
    <row r="27293" spans="1:2" x14ac:dyDescent="0.25">
      <c r="A27293"/>
      <c r="B27293"/>
    </row>
    <row r="27294" spans="1:2" x14ac:dyDescent="0.25">
      <c r="A27294"/>
      <c r="B27294"/>
    </row>
    <row r="27295" spans="1:2" x14ac:dyDescent="0.25">
      <c r="A27295"/>
      <c r="B27295"/>
    </row>
    <row r="27296" spans="1:2" x14ac:dyDescent="0.25">
      <c r="A27296"/>
      <c r="B27296"/>
    </row>
    <row r="27297" spans="1:2" x14ac:dyDescent="0.25">
      <c r="A27297"/>
      <c r="B27297"/>
    </row>
    <row r="27298" spans="1:2" x14ac:dyDescent="0.25">
      <c r="A27298"/>
      <c r="B27298"/>
    </row>
    <row r="27299" spans="1:2" x14ac:dyDescent="0.25">
      <c r="A27299"/>
      <c r="B27299"/>
    </row>
    <row r="27300" spans="1:2" x14ac:dyDescent="0.25">
      <c r="A27300"/>
      <c r="B27300"/>
    </row>
    <row r="27301" spans="1:2" x14ac:dyDescent="0.25">
      <c r="A27301"/>
      <c r="B27301"/>
    </row>
    <row r="27302" spans="1:2" x14ac:dyDescent="0.25">
      <c r="A27302"/>
      <c r="B27302"/>
    </row>
    <row r="27303" spans="1:2" x14ac:dyDescent="0.25">
      <c r="A27303"/>
      <c r="B27303"/>
    </row>
    <row r="27304" spans="1:2" x14ac:dyDescent="0.25">
      <c r="A27304"/>
      <c r="B27304"/>
    </row>
    <row r="27305" spans="1:2" x14ac:dyDescent="0.25">
      <c r="A27305"/>
      <c r="B27305"/>
    </row>
    <row r="27306" spans="1:2" x14ac:dyDescent="0.25">
      <c r="A27306"/>
      <c r="B27306"/>
    </row>
    <row r="27307" spans="1:2" x14ac:dyDescent="0.25">
      <c r="A27307"/>
      <c r="B27307"/>
    </row>
    <row r="27308" spans="1:2" x14ac:dyDescent="0.25">
      <c r="A27308"/>
      <c r="B27308"/>
    </row>
    <row r="27309" spans="1:2" x14ac:dyDescent="0.25">
      <c r="A27309"/>
      <c r="B27309"/>
    </row>
    <row r="27310" spans="1:2" x14ac:dyDescent="0.25">
      <c r="A27310"/>
      <c r="B27310"/>
    </row>
    <row r="27311" spans="1:2" x14ac:dyDescent="0.25">
      <c r="A27311"/>
      <c r="B27311"/>
    </row>
    <row r="27312" spans="1:2" x14ac:dyDescent="0.25">
      <c r="A27312"/>
      <c r="B27312"/>
    </row>
    <row r="27313" spans="1:2" x14ac:dyDescent="0.25">
      <c r="A27313"/>
      <c r="B27313"/>
    </row>
    <row r="27314" spans="1:2" x14ac:dyDescent="0.25">
      <c r="A27314"/>
      <c r="B27314"/>
    </row>
    <row r="27315" spans="1:2" x14ac:dyDescent="0.25">
      <c r="A27315"/>
      <c r="B27315"/>
    </row>
    <row r="27316" spans="1:2" x14ac:dyDescent="0.25">
      <c r="A27316"/>
      <c r="B27316"/>
    </row>
    <row r="27317" spans="1:2" x14ac:dyDescent="0.25">
      <c r="A27317"/>
      <c r="B27317"/>
    </row>
    <row r="27318" spans="1:2" x14ac:dyDescent="0.25">
      <c r="A27318"/>
      <c r="B27318"/>
    </row>
    <row r="27319" spans="1:2" x14ac:dyDescent="0.25">
      <c r="A27319"/>
      <c r="B27319"/>
    </row>
    <row r="27320" spans="1:2" x14ac:dyDescent="0.25">
      <c r="A27320"/>
      <c r="B27320"/>
    </row>
    <row r="27321" spans="1:2" x14ac:dyDescent="0.25">
      <c r="A27321"/>
      <c r="B27321"/>
    </row>
    <row r="27322" spans="1:2" x14ac:dyDescent="0.25">
      <c r="A27322"/>
      <c r="B27322"/>
    </row>
    <row r="27323" spans="1:2" x14ac:dyDescent="0.25">
      <c r="A27323"/>
      <c r="B27323"/>
    </row>
    <row r="27324" spans="1:2" x14ac:dyDescent="0.25">
      <c r="A27324"/>
      <c r="B27324"/>
    </row>
    <row r="27325" spans="1:2" x14ac:dyDescent="0.25">
      <c r="A27325"/>
      <c r="B27325"/>
    </row>
    <row r="27326" spans="1:2" x14ac:dyDescent="0.25">
      <c r="A27326"/>
      <c r="B27326"/>
    </row>
    <row r="27327" spans="1:2" x14ac:dyDescent="0.25">
      <c r="A27327"/>
      <c r="B27327"/>
    </row>
    <row r="27328" spans="1:2" x14ac:dyDescent="0.25">
      <c r="A27328"/>
      <c r="B27328"/>
    </row>
    <row r="27329" spans="1:2" x14ac:dyDescent="0.25">
      <c r="A27329"/>
      <c r="B27329"/>
    </row>
    <row r="27330" spans="1:2" x14ac:dyDescent="0.25">
      <c r="A27330"/>
      <c r="B27330"/>
    </row>
    <row r="27331" spans="1:2" x14ac:dyDescent="0.25">
      <c r="A27331"/>
      <c r="B27331"/>
    </row>
    <row r="27332" spans="1:2" x14ac:dyDescent="0.25">
      <c r="A27332"/>
      <c r="B27332"/>
    </row>
    <row r="27333" spans="1:2" x14ac:dyDescent="0.25">
      <c r="A27333"/>
      <c r="B27333"/>
    </row>
    <row r="27334" spans="1:2" x14ac:dyDescent="0.25">
      <c r="A27334"/>
      <c r="B27334"/>
    </row>
    <row r="27335" spans="1:2" x14ac:dyDescent="0.25">
      <c r="A27335"/>
      <c r="B27335"/>
    </row>
    <row r="27336" spans="1:2" x14ac:dyDescent="0.25">
      <c r="A27336"/>
      <c r="B27336"/>
    </row>
    <row r="27337" spans="1:2" x14ac:dyDescent="0.25">
      <c r="A27337"/>
      <c r="B27337"/>
    </row>
    <row r="27338" spans="1:2" x14ac:dyDescent="0.25">
      <c r="A27338"/>
      <c r="B27338"/>
    </row>
    <row r="27339" spans="1:2" x14ac:dyDescent="0.25">
      <c r="A27339"/>
      <c r="B27339"/>
    </row>
    <row r="27340" spans="1:2" x14ac:dyDescent="0.25">
      <c r="A27340"/>
      <c r="B27340"/>
    </row>
    <row r="27341" spans="1:2" x14ac:dyDescent="0.25">
      <c r="A27341"/>
      <c r="B27341"/>
    </row>
    <row r="27342" spans="1:2" x14ac:dyDescent="0.25">
      <c r="A27342"/>
      <c r="B27342"/>
    </row>
    <row r="27343" spans="1:2" x14ac:dyDescent="0.25">
      <c r="A27343"/>
      <c r="B27343"/>
    </row>
    <row r="27344" spans="1:2" x14ac:dyDescent="0.25">
      <c r="A27344"/>
      <c r="B27344"/>
    </row>
    <row r="27345" spans="1:2" x14ac:dyDescent="0.25">
      <c r="A27345"/>
      <c r="B27345"/>
    </row>
    <row r="27346" spans="1:2" x14ac:dyDescent="0.25">
      <c r="A27346"/>
      <c r="B27346"/>
    </row>
    <row r="27347" spans="1:2" x14ac:dyDescent="0.25">
      <c r="A27347"/>
      <c r="B27347"/>
    </row>
    <row r="27348" spans="1:2" x14ac:dyDescent="0.25">
      <c r="A27348"/>
      <c r="B27348"/>
    </row>
    <row r="27349" spans="1:2" x14ac:dyDescent="0.25">
      <c r="A27349"/>
      <c r="B27349"/>
    </row>
    <row r="27350" spans="1:2" x14ac:dyDescent="0.25">
      <c r="A27350"/>
      <c r="B27350"/>
    </row>
    <row r="27351" spans="1:2" x14ac:dyDescent="0.25">
      <c r="A27351"/>
      <c r="B27351"/>
    </row>
    <row r="27352" spans="1:2" x14ac:dyDescent="0.25">
      <c r="A27352"/>
      <c r="B27352"/>
    </row>
    <row r="27353" spans="1:2" x14ac:dyDescent="0.25">
      <c r="A27353"/>
      <c r="B27353"/>
    </row>
    <row r="27354" spans="1:2" x14ac:dyDescent="0.25">
      <c r="A27354"/>
      <c r="B27354"/>
    </row>
    <row r="27355" spans="1:2" x14ac:dyDescent="0.25">
      <c r="A27355"/>
      <c r="B27355"/>
    </row>
    <row r="27356" spans="1:2" x14ac:dyDescent="0.25">
      <c r="A27356"/>
      <c r="B27356"/>
    </row>
    <row r="27357" spans="1:2" x14ac:dyDescent="0.25">
      <c r="A27357"/>
      <c r="B27357"/>
    </row>
    <row r="27358" spans="1:2" x14ac:dyDescent="0.25">
      <c r="A27358"/>
      <c r="B27358"/>
    </row>
    <row r="27359" spans="1:2" x14ac:dyDescent="0.25">
      <c r="A27359"/>
      <c r="B27359"/>
    </row>
    <row r="27360" spans="1:2" x14ac:dyDescent="0.25">
      <c r="A27360"/>
      <c r="B27360"/>
    </row>
    <row r="27361" spans="1:2" x14ac:dyDescent="0.25">
      <c r="A27361"/>
      <c r="B27361"/>
    </row>
    <row r="27362" spans="1:2" x14ac:dyDescent="0.25">
      <c r="A27362"/>
      <c r="B27362"/>
    </row>
    <row r="27363" spans="1:2" x14ac:dyDescent="0.25">
      <c r="A27363"/>
      <c r="B27363"/>
    </row>
    <row r="27364" spans="1:2" x14ac:dyDescent="0.25">
      <c r="A27364"/>
      <c r="B27364"/>
    </row>
    <row r="27365" spans="1:2" x14ac:dyDescent="0.25">
      <c r="A27365"/>
      <c r="B27365"/>
    </row>
    <row r="27366" spans="1:2" x14ac:dyDescent="0.25">
      <c r="A27366"/>
      <c r="B27366"/>
    </row>
    <row r="27367" spans="1:2" x14ac:dyDescent="0.25">
      <c r="A27367"/>
      <c r="B27367"/>
    </row>
    <row r="27368" spans="1:2" x14ac:dyDescent="0.25">
      <c r="A27368"/>
      <c r="B27368"/>
    </row>
    <row r="27369" spans="1:2" x14ac:dyDescent="0.25">
      <c r="A27369"/>
      <c r="B27369"/>
    </row>
    <row r="27370" spans="1:2" x14ac:dyDescent="0.25">
      <c r="A27370"/>
      <c r="B27370"/>
    </row>
    <row r="27371" spans="1:2" x14ac:dyDescent="0.25">
      <c r="A27371"/>
      <c r="B27371"/>
    </row>
    <row r="27372" spans="1:2" x14ac:dyDescent="0.25">
      <c r="A27372"/>
      <c r="B27372"/>
    </row>
    <row r="27373" spans="1:2" x14ac:dyDescent="0.25">
      <c r="A27373"/>
      <c r="B27373"/>
    </row>
    <row r="27374" spans="1:2" x14ac:dyDescent="0.25">
      <c r="A27374"/>
      <c r="B27374"/>
    </row>
    <row r="27375" spans="1:2" x14ac:dyDescent="0.25">
      <c r="A27375"/>
      <c r="B27375"/>
    </row>
    <row r="27376" spans="1:2" x14ac:dyDescent="0.25">
      <c r="A27376"/>
      <c r="B27376"/>
    </row>
    <row r="27377" spans="1:2" x14ac:dyDescent="0.25">
      <c r="A27377"/>
      <c r="B27377"/>
    </row>
    <row r="27378" spans="1:2" x14ac:dyDescent="0.25">
      <c r="A27378"/>
      <c r="B27378"/>
    </row>
    <row r="27379" spans="1:2" x14ac:dyDescent="0.25">
      <c r="A27379"/>
      <c r="B27379"/>
    </row>
    <row r="27380" spans="1:2" x14ac:dyDescent="0.25">
      <c r="A27380"/>
      <c r="B27380"/>
    </row>
    <row r="27381" spans="1:2" x14ac:dyDescent="0.25">
      <c r="A27381"/>
      <c r="B27381"/>
    </row>
    <row r="27382" spans="1:2" x14ac:dyDescent="0.25">
      <c r="A27382"/>
      <c r="B27382"/>
    </row>
    <row r="27383" spans="1:2" x14ac:dyDescent="0.25">
      <c r="A27383"/>
      <c r="B27383"/>
    </row>
    <row r="27384" spans="1:2" x14ac:dyDescent="0.25">
      <c r="A27384"/>
      <c r="B27384"/>
    </row>
    <row r="27385" spans="1:2" x14ac:dyDescent="0.25">
      <c r="A27385"/>
      <c r="B27385"/>
    </row>
    <row r="27386" spans="1:2" x14ac:dyDescent="0.25">
      <c r="A27386"/>
      <c r="B27386"/>
    </row>
    <row r="27387" spans="1:2" x14ac:dyDescent="0.25">
      <c r="A27387"/>
      <c r="B27387"/>
    </row>
    <row r="27388" spans="1:2" x14ac:dyDescent="0.25">
      <c r="A27388"/>
      <c r="B27388"/>
    </row>
    <row r="27389" spans="1:2" x14ac:dyDescent="0.25">
      <c r="A27389"/>
      <c r="B27389"/>
    </row>
    <row r="27390" spans="1:2" x14ac:dyDescent="0.25">
      <c r="A27390"/>
      <c r="B27390"/>
    </row>
    <row r="27391" spans="1:2" x14ac:dyDescent="0.25">
      <c r="A27391"/>
      <c r="B27391"/>
    </row>
    <row r="27392" spans="1:2" x14ac:dyDescent="0.25">
      <c r="A27392"/>
      <c r="B27392"/>
    </row>
    <row r="27393" spans="1:2" x14ac:dyDescent="0.25">
      <c r="A27393"/>
      <c r="B27393"/>
    </row>
    <row r="27394" spans="1:2" x14ac:dyDescent="0.25">
      <c r="A27394"/>
      <c r="B27394"/>
    </row>
    <row r="27395" spans="1:2" x14ac:dyDescent="0.25">
      <c r="A27395"/>
      <c r="B27395"/>
    </row>
    <row r="27396" spans="1:2" x14ac:dyDescent="0.25">
      <c r="A27396"/>
      <c r="B27396"/>
    </row>
    <row r="27397" spans="1:2" x14ac:dyDescent="0.25">
      <c r="A27397"/>
      <c r="B27397"/>
    </row>
    <row r="27398" spans="1:2" x14ac:dyDescent="0.25">
      <c r="A27398"/>
      <c r="B27398"/>
    </row>
    <row r="27399" spans="1:2" x14ac:dyDescent="0.25">
      <c r="A27399"/>
      <c r="B27399"/>
    </row>
    <row r="27400" spans="1:2" x14ac:dyDescent="0.25">
      <c r="A27400"/>
      <c r="B27400"/>
    </row>
    <row r="27401" spans="1:2" x14ac:dyDescent="0.25">
      <c r="A27401"/>
      <c r="B27401"/>
    </row>
    <row r="27402" spans="1:2" x14ac:dyDescent="0.25">
      <c r="A27402"/>
      <c r="B27402"/>
    </row>
    <row r="27403" spans="1:2" x14ac:dyDescent="0.25">
      <c r="A27403"/>
      <c r="B27403"/>
    </row>
    <row r="27404" spans="1:2" x14ac:dyDescent="0.25">
      <c r="A27404"/>
      <c r="B27404"/>
    </row>
    <row r="27405" spans="1:2" x14ac:dyDescent="0.25">
      <c r="A27405"/>
      <c r="B27405"/>
    </row>
    <row r="27406" spans="1:2" x14ac:dyDescent="0.25">
      <c r="A27406"/>
      <c r="B27406"/>
    </row>
    <row r="27407" spans="1:2" x14ac:dyDescent="0.25">
      <c r="A27407"/>
      <c r="B27407"/>
    </row>
    <row r="27408" spans="1:2" x14ac:dyDescent="0.25">
      <c r="A27408"/>
      <c r="B27408"/>
    </row>
    <row r="27409" spans="1:2" x14ac:dyDescent="0.25">
      <c r="A27409"/>
      <c r="B27409"/>
    </row>
    <row r="27410" spans="1:2" x14ac:dyDescent="0.25">
      <c r="A27410"/>
      <c r="B27410"/>
    </row>
    <row r="27411" spans="1:2" x14ac:dyDescent="0.25">
      <c r="A27411"/>
      <c r="B27411"/>
    </row>
    <row r="27412" spans="1:2" x14ac:dyDescent="0.25">
      <c r="A27412"/>
      <c r="B27412"/>
    </row>
    <row r="27413" spans="1:2" x14ac:dyDescent="0.25">
      <c r="A27413"/>
      <c r="B27413"/>
    </row>
    <row r="27414" spans="1:2" x14ac:dyDescent="0.25">
      <c r="A27414"/>
      <c r="B27414"/>
    </row>
    <row r="27415" spans="1:2" x14ac:dyDescent="0.25">
      <c r="A27415"/>
      <c r="B27415"/>
    </row>
    <row r="27416" spans="1:2" x14ac:dyDescent="0.25">
      <c r="A27416"/>
      <c r="B27416"/>
    </row>
    <row r="27417" spans="1:2" x14ac:dyDescent="0.25">
      <c r="A27417"/>
      <c r="B27417"/>
    </row>
    <row r="27418" spans="1:2" x14ac:dyDescent="0.25">
      <c r="A27418"/>
      <c r="B27418"/>
    </row>
    <row r="27419" spans="1:2" x14ac:dyDescent="0.25">
      <c r="A27419"/>
      <c r="B27419"/>
    </row>
    <row r="27420" spans="1:2" x14ac:dyDescent="0.25">
      <c r="A27420"/>
      <c r="B27420"/>
    </row>
    <row r="27421" spans="1:2" x14ac:dyDescent="0.25">
      <c r="A27421"/>
      <c r="B27421"/>
    </row>
    <row r="27422" spans="1:2" x14ac:dyDescent="0.25">
      <c r="A27422"/>
      <c r="B27422"/>
    </row>
    <row r="27423" spans="1:2" x14ac:dyDescent="0.25">
      <c r="A27423"/>
      <c r="B27423"/>
    </row>
    <row r="27424" spans="1:2" x14ac:dyDescent="0.25">
      <c r="A27424"/>
      <c r="B27424"/>
    </row>
    <row r="27425" spans="1:2" x14ac:dyDescent="0.25">
      <c r="A27425"/>
      <c r="B27425"/>
    </row>
    <row r="27426" spans="1:2" x14ac:dyDescent="0.25">
      <c r="A27426"/>
      <c r="B27426"/>
    </row>
    <row r="27427" spans="1:2" x14ac:dyDescent="0.25">
      <c r="A27427"/>
      <c r="B27427"/>
    </row>
    <row r="27428" spans="1:2" x14ac:dyDescent="0.25">
      <c r="A27428"/>
      <c r="B27428"/>
    </row>
    <row r="27429" spans="1:2" x14ac:dyDescent="0.25">
      <c r="A27429"/>
      <c r="B27429"/>
    </row>
    <row r="27430" spans="1:2" x14ac:dyDescent="0.25">
      <c r="A27430"/>
      <c r="B27430"/>
    </row>
    <row r="27431" spans="1:2" x14ac:dyDescent="0.25">
      <c r="A27431"/>
      <c r="B27431"/>
    </row>
    <row r="27432" spans="1:2" x14ac:dyDescent="0.25">
      <c r="A27432"/>
      <c r="B27432"/>
    </row>
    <row r="27433" spans="1:2" x14ac:dyDescent="0.25">
      <c r="A27433"/>
      <c r="B27433"/>
    </row>
    <row r="27434" spans="1:2" x14ac:dyDescent="0.25">
      <c r="A27434"/>
      <c r="B27434"/>
    </row>
    <row r="27435" spans="1:2" x14ac:dyDescent="0.25">
      <c r="A27435"/>
      <c r="B27435"/>
    </row>
    <row r="27436" spans="1:2" x14ac:dyDescent="0.25">
      <c r="A27436"/>
      <c r="B27436"/>
    </row>
    <row r="27437" spans="1:2" x14ac:dyDescent="0.25">
      <c r="A27437"/>
      <c r="B27437"/>
    </row>
    <row r="27438" spans="1:2" x14ac:dyDescent="0.25">
      <c r="A27438"/>
      <c r="B27438"/>
    </row>
    <row r="27439" spans="1:2" x14ac:dyDescent="0.25">
      <c r="A27439"/>
      <c r="B27439"/>
    </row>
    <row r="27440" spans="1:2" x14ac:dyDescent="0.25">
      <c r="A27440"/>
      <c r="B27440"/>
    </row>
    <row r="27441" spans="1:2" x14ac:dyDescent="0.25">
      <c r="A27441"/>
      <c r="B27441"/>
    </row>
    <row r="27442" spans="1:2" x14ac:dyDescent="0.25">
      <c r="A27442"/>
      <c r="B27442"/>
    </row>
    <row r="27443" spans="1:2" x14ac:dyDescent="0.25">
      <c r="A27443"/>
      <c r="B27443"/>
    </row>
    <row r="27444" spans="1:2" x14ac:dyDescent="0.25">
      <c r="A27444"/>
      <c r="B27444"/>
    </row>
    <row r="27445" spans="1:2" x14ac:dyDescent="0.25">
      <c r="A27445"/>
      <c r="B27445"/>
    </row>
    <row r="27446" spans="1:2" x14ac:dyDescent="0.25">
      <c r="A27446"/>
      <c r="B27446"/>
    </row>
    <row r="27447" spans="1:2" x14ac:dyDescent="0.25">
      <c r="A27447"/>
      <c r="B27447"/>
    </row>
    <row r="27448" spans="1:2" x14ac:dyDescent="0.25">
      <c r="A27448"/>
      <c r="B27448"/>
    </row>
    <row r="27449" spans="1:2" x14ac:dyDescent="0.25">
      <c r="A27449"/>
      <c r="B27449"/>
    </row>
    <row r="27450" spans="1:2" x14ac:dyDescent="0.25">
      <c r="A27450"/>
      <c r="B27450"/>
    </row>
    <row r="27451" spans="1:2" x14ac:dyDescent="0.25">
      <c r="A27451"/>
      <c r="B27451"/>
    </row>
    <row r="27452" spans="1:2" x14ac:dyDescent="0.25">
      <c r="A27452"/>
      <c r="B27452"/>
    </row>
    <row r="27453" spans="1:2" x14ac:dyDescent="0.25">
      <c r="A27453"/>
      <c r="B27453"/>
    </row>
    <row r="27454" spans="1:2" x14ac:dyDescent="0.25">
      <c r="A27454"/>
      <c r="B27454"/>
    </row>
    <row r="27455" spans="1:2" x14ac:dyDescent="0.25">
      <c r="A27455"/>
      <c r="B27455"/>
    </row>
    <row r="27456" spans="1:2" x14ac:dyDescent="0.25">
      <c r="A27456"/>
      <c r="B27456"/>
    </row>
    <row r="27457" spans="1:2" x14ac:dyDescent="0.25">
      <c r="A27457"/>
      <c r="B27457"/>
    </row>
    <row r="27458" spans="1:2" x14ac:dyDescent="0.25">
      <c r="A27458"/>
      <c r="B27458"/>
    </row>
    <row r="27459" spans="1:2" x14ac:dyDescent="0.25">
      <c r="A27459"/>
      <c r="B27459"/>
    </row>
    <row r="27460" spans="1:2" x14ac:dyDescent="0.25">
      <c r="A27460"/>
      <c r="B27460"/>
    </row>
    <row r="27461" spans="1:2" x14ac:dyDescent="0.25">
      <c r="A27461"/>
      <c r="B27461"/>
    </row>
    <row r="27462" spans="1:2" x14ac:dyDescent="0.25">
      <c r="A27462"/>
      <c r="B27462"/>
    </row>
    <row r="27463" spans="1:2" x14ac:dyDescent="0.25">
      <c r="A27463"/>
      <c r="B27463"/>
    </row>
    <row r="27464" spans="1:2" x14ac:dyDescent="0.25">
      <c r="A27464"/>
      <c r="B27464"/>
    </row>
    <row r="27465" spans="1:2" x14ac:dyDescent="0.25">
      <c r="A27465"/>
      <c r="B27465"/>
    </row>
    <row r="27466" spans="1:2" x14ac:dyDescent="0.25">
      <c r="A27466"/>
      <c r="B27466"/>
    </row>
    <row r="27467" spans="1:2" x14ac:dyDescent="0.25">
      <c r="A27467"/>
      <c r="B27467"/>
    </row>
    <row r="27468" spans="1:2" x14ac:dyDescent="0.25">
      <c r="A27468"/>
      <c r="B27468"/>
    </row>
    <row r="27469" spans="1:2" x14ac:dyDescent="0.25">
      <c r="A27469"/>
      <c r="B27469"/>
    </row>
    <row r="27470" spans="1:2" x14ac:dyDescent="0.25">
      <c r="A27470"/>
      <c r="B27470"/>
    </row>
    <row r="27471" spans="1:2" x14ac:dyDescent="0.25">
      <c r="A27471"/>
      <c r="B27471"/>
    </row>
    <row r="27472" spans="1:2" x14ac:dyDescent="0.25">
      <c r="A27472"/>
      <c r="B27472"/>
    </row>
    <row r="27473" spans="1:2" x14ac:dyDescent="0.25">
      <c r="A27473"/>
      <c r="B27473"/>
    </row>
    <row r="27474" spans="1:2" x14ac:dyDescent="0.25">
      <c r="A27474"/>
      <c r="B27474"/>
    </row>
    <row r="27475" spans="1:2" x14ac:dyDescent="0.25">
      <c r="A27475"/>
      <c r="B27475"/>
    </row>
    <row r="27476" spans="1:2" x14ac:dyDescent="0.25">
      <c r="A27476"/>
      <c r="B27476"/>
    </row>
    <row r="27477" spans="1:2" x14ac:dyDescent="0.25">
      <c r="A27477"/>
      <c r="B27477"/>
    </row>
    <row r="27478" spans="1:2" x14ac:dyDescent="0.25">
      <c r="A27478"/>
      <c r="B27478"/>
    </row>
    <row r="27479" spans="1:2" x14ac:dyDescent="0.25">
      <c r="A27479"/>
      <c r="B27479"/>
    </row>
    <row r="27480" spans="1:2" x14ac:dyDescent="0.25">
      <c r="A27480"/>
      <c r="B27480"/>
    </row>
    <row r="27481" spans="1:2" x14ac:dyDescent="0.25">
      <c r="A27481"/>
      <c r="B27481"/>
    </row>
    <row r="27482" spans="1:2" x14ac:dyDescent="0.25">
      <c r="A27482"/>
      <c r="B27482"/>
    </row>
    <row r="27483" spans="1:2" x14ac:dyDescent="0.25">
      <c r="A27483"/>
      <c r="B27483"/>
    </row>
    <row r="27484" spans="1:2" x14ac:dyDescent="0.25">
      <c r="A27484"/>
      <c r="B27484"/>
    </row>
    <row r="27485" spans="1:2" x14ac:dyDescent="0.25">
      <c r="A27485"/>
      <c r="B27485"/>
    </row>
    <row r="27486" spans="1:2" x14ac:dyDescent="0.25">
      <c r="A27486"/>
      <c r="B27486"/>
    </row>
    <row r="27487" spans="1:2" x14ac:dyDescent="0.25">
      <c r="A27487"/>
      <c r="B27487"/>
    </row>
    <row r="27488" spans="1:2" x14ac:dyDescent="0.25">
      <c r="A27488"/>
      <c r="B27488"/>
    </row>
    <row r="27489" spans="1:2" x14ac:dyDescent="0.25">
      <c r="A27489"/>
      <c r="B27489"/>
    </row>
    <row r="27490" spans="1:2" x14ac:dyDescent="0.25">
      <c r="A27490"/>
      <c r="B27490"/>
    </row>
    <row r="27491" spans="1:2" x14ac:dyDescent="0.25">
      <c r="A27491"/>
      <c r="B27491"/>
    </row>
    <row r="27492" spans="1:2" x14ac:dyDescent="0.25">
      <c r="A27492"/>
      <c r="B27492"/>
    </row>
    <row r="27493" spans="1:2" x14ac:dyDescent="0.25">
      <c r="A27493"/>
      <c r="B27493"/>
    </row>
    <row r="27494" spans="1:2" x14ac:dyDescent="0.25">
      <c r="A27494"/>
      <c r="B27494"/>
    </row>
    <row r="27495" spans="1:2" x14ac:dyDescent="0.25">
      <c r="A27495"/>
      <c r="B27495"/>
    </row>
    <row r="27496" spans="1:2" x14ac:dyDescent="0.25">
      <c r="A27496"/>
      <c r="B27496"/>
    </row>
    <row r="27497" spans="1:2" x14ac:dyDescent="0.25">
      <c r="A27497"/>
      <c r="B27497"/>
    </row>
    <row r="27498" spans="1:2" x14ac:dyDescent="0.25">
      <c r="A27498"/>
      <c r="B27498"/>
    </row>
    <row r="27499" spans="1:2" x14ac:dyDescent="0.25">
      <c r="A27499"/>
      <c r="B27499"/>
    </row>
    <row r="27500" spans="1:2" x14ac:dyDescent="0.25">
      <c r="A27500"/>
      <c r="B27500"/>
    </row>
    <row r="27501" spans="1:2" x14ac:dyDescent="0.25">
      <c r="A27501"/>
      <c r="B27501"/>
    </row>
    <row r="27502" spans="1:2" x14ac:dyDescent="0.25">
      <c r="A27502"/>
      <c r="B27502"/>
    </row>
    <row r="27503" spans="1:2" x14ac:dyDescent="0.25">
      <c r="A27503"/>
      <c r="B27503"/>
    </row>
    <row r="27504" spans="1:2" x14ac:dyDescent="0.25">
      <c r="A27504"/>
      <c r="B27504"/>
    </row>
    <row r="27505" spans="1:2" x14ac:dyDescent="0.25">
      <c r="A27505"/>
      <c r="B27505"/>
    </row>
    <row r="27506" spans="1:2" x14ac:dyDescent="0.25">
      <c r="A27506"/>
      <c r="B27506"/>
    </row>
    <row r="27507" spans="1:2" x14ac:dyDescent="0.25">
      <c r="A27507"/>
      <c r="B27507"/>
    </row>
    <row r="27508" spans="1:2" x14ac:dyDescent="0.25">
      <c r="A27508"/>
      <c r="B27508"/>
    </row>
    <row r="27509" spans="1:2" x14ac:dyDescent="0.25">
      <c r="A27509"/>
      <c r="B27509"/>
    </row>
    <row r="27510" spans="1:2" x14ac:dyDescent="0.25">
      <c r="A27510"/>
      <c r="B27510"/>
    </row>
    <row r="27511" spans="1:2" x14ac:dyDescent="0.25">
      <c r="A27511"/>
      <c r="B27511"/>
    </row>
    <row r="27512" spans="1:2" x14ac:dyDescent="0.25">
      <c r="A27512"/>
      <c r="B27512"/>
    </row>
    <row r="27513" spans="1:2" x14ac:dyDescent="0.25">
      <c r="A27513"/>
      <c r="B27513"/>
    </row>
    <row r="27514" spans="1:2" x14ac:dyDescent="0.25">
      <c r="A27514"/>
      <c r="B27514"/>
    </row>
    <row r="27515" spans="1:2" x14ac:dyDescent="0.25">
      <c r="A27515"/>
      <c r="B27515"/>
    </row>
    <row r="27516" spans="1:2" x14ac:dyDescent="0.25">
      <c r="A27516"/>
      <c r="B27516"/>
    </row>
    <row r="27517" spans="1:2" x14ac:dyDescent="0.25">
      <c r="A27517"/>
      <c r="B27517"/>
    </row>
    <row r="27518" spans="1:2" x14ac:dyDescent="0.25">
      <c r="A27518"/>
      <c r="B27518"/>
    </row>
    <row r="27519" spans="1:2" x14ac:dyDescent="0.25">
      <c r="A27519"/>
      <c r="B27519"/>
    </row>
    <row r="27520" spans="1:2" x14ac:dyDescent="0.25">
      <c r="A27520"/>
      <c r="B27520"/>
    </row>
    <row r="27521" spans="1:2" x14ac:dyDescent="0.25">
      <c r="A27521"/>
      <c r="B27521"/>
    </row>
    <row r="27522" spans="1:2" x14ac:dyDescent="0.25">
      <c r="A27522"/>
      <c r="B27522"/>
    </row>
    <row r="27523" spans="1:2" x14ac:dyDescent="0.25">
      <c r="A27523"/>
      <c r="B27523"/>
    </row>
    <row r="27524" spans="1:2" x14ac:dyDescent="0.25">
      <c r="A27524"/>
      <c r="B27524"/>
    </row>
    <row r="27525" spans="1:2" x14ac:dyDescent="0.25">
      <c r="A27525"/>
      <c r="B27525"/>
    </row>
    <row r="27526" spans="1:2" x14ac:dyDescent="0.25">
      <c r="A27526"/>
      <c r="B27526"/>
    </row>
    <row r="27527" spans="1:2" x14ac:dyDescent="0.25">
      <c r="A27527"/>
      <c r="B27527"/>
    </row>
    <row r="27528" spans="1:2" x14ac:dyDescent="0.25">
      <c r="A27528"/>
      <c r="B27528"/>
    </row>
    <row r="27529" spans="1:2" x14ac:dyDescent="0.25">
      <c r="A27529"/>
      <c r="B27529"/>
    </row>
    <row r="27530" spans="1:2" x14ac:dyDescent="0.25">
      <c r="A27530"/>
      <c r="B27530"/>
    </row>
    <row r="27531" spans="1:2" x14ac:dyDescent="0.25">
      <c r="A27531"/>
      <c r="B27531"/>
    </row>
    <row r="27532" spans="1:2" x14ac:dyDescent="0.25">
      <c r="A27532"/>
      <c r="B27532"/>
    </row>
    <row r="27533" spans="1:2" x14ac:dyDescent="0.25">
      <c r="A27533"/>
      <c r="B27533"/>
    </row>
    <row r="27534" spans="1:2" x14ac:dyDescent="0.25">
      <c r="A27534"/>
      <c r="B27534"/>
    </row>
    <row r="27535" spans="1:2" x14ac:dyDescent="0.25">
      <c r="A27535"/>
      <c r="B27535"/>
    </row>
    <row r="27536" spans="1:2" x14ac:dyDescent="0.25">
      <c r="A27536"/>
      <c r="B27536"/>
    </row>
    <row r="27537" spans="1:2" x14ac:dyDescent="0.25">
      <c r="A27537"/>
      <c r="B27537"/>
    </row>
    <row r="27538" spans="1:2" x14ac:dyDescent="0.25">
      <c r="A27538"/>
      <c r="B27538"/>
    </row>
    <row r="27539" spans="1:2" x14ac:dyDescent="0.25">
      <c r="A27539"/>
      <c r="B27539"/>
    </row>
    <row r="27540" spans="1:2" x14ac:dyDescent="0.25">
      <c r="A27540"/>
      <c r="B27540"/>
    </row>
    <row r="27541" spans="1:2" x14ac:dyDescent="0.25">
      <c r="A27541"/>
      <c r="B27541"/>
    </row>
    <row r="27542" spans="1:2" x14ac:dyDescent="0.25">
      <c r="A27542"/>
      <c r="B27542"/>
    </row>
    <row r="27543" spans="1:2" x14ac:dyDescent="0.25">
      <c r="A27543"/>
      <c r="B27543"/>
    </row>
    <row r="27544" spans="1:2" x14ac:dyDescent="0.25">
      <c r="A27544"/>
      <c r="B27544"/>
    </row>
    <row r="27545" spans="1:2" x14ac:dyDescent="0.25">
      <c r="A27545"/>
      <c r="B27545"/>
    </row>
    <row r="27546" spans="1:2" x14ac:dyDescent="0.25">
      <c r="A27546"/>
      <c r="B27546"/>
    </row>
    <row r="27547" spans="1:2" x14ac:dyDescent="0.25">
      <c r="A27547"/>
      <c r="B27547"/>
    </row>
    <row r="27548" spans="1:2" x14ac:dyDescent="0.25">
      <c r="A27548"/>
      <c r="B27548"/>
    </row>
    <row r="27549" spans="1:2" x14ac:dyDescent="0.25">
      <c r="A27549"/>
      <c r="B27549"/>
    </row>
    <row r="27550" spans="1:2" x14ac:dyDescent="0.25">
      <c r="A27550"/>
      <c r="B27550"/>
    </row>
    <row r="27551" spans="1:2" x14ac:dyDescent="0.25">
      <c r="A27551"/>
      <c r="B27551"/>
    </row>
    <row r="27552" spans="1:2" x14ac:dyDescent="0.25">
      <c r="A27552"/>
      <c r="B27552"/>
    </row>
    <row r="27553" spans="1:2" x14ac:dyDescent="0.25">
      <c r="A27553"/>
      <c r="B27553"/>
    </row>
    <row r="27554" spans="1:2" x14ac:dyDescent="0.25">
      <c r="A27554"/>
      <c r="B27554"/>
    </row>
    <row r="27555" spans="1:2" x14ac:dyDescent="0.25">
      <c r="A27555"/>
      <c r="B27555"/>
    </row>
    <row r="27556" spans="1:2" x14ac:dyDescent="0.25">
      <c r="A27556"/>
      <c r="B27556"/>
    </row>
    <row r="27557" spans="1:2" x14ac:dyDescent="0.25">
      <c r="A27557"/>
      <c r="B27557"/>
    </row>
    <row r="27558" spans="1:2" x14ac:dyDescent="0.25">
      <c r="A27558"/>
      <c r="B27558"/>
    </row>
    <row r="27559" spans="1:2" x14ac:dyDescent="0.25">
      <c r="A27559"/>
      <c r="B27559"/>
    </row>
    <row r="27560" spans="1:2" x14ac:dyDescent="0.25">
      <c r="A27560"/>
      <c r="B27560"/>
    </row>
    <row r="27561" spans="1:2" x14ac:dyDescent="0.25">
      <c r="A27561"/>
      <c r="B27561"/>
    </row>
    <row r="27562" spans="1:2" x14ac:dyDescent="0.25">
      <c r="A27562"/>
      <c r="B27562"/>
    </row>
    <row r="27563" spans="1:2" x14ac:dyDescent="0.25">
      <c r="A27563"/>
      <c r="B27563"/>
    </row>
    <row r="27564" spans="1:2" x14ac:dyDescent="0.25">
      <c r="A27564"/>
      <c r="B27564"/>
    </row>
    <row r="27565" spans="1:2" x14ac:dyDescent="0.25">
      <c r="A27565"/>
      <c r="B27565"/>
    </row>
    <row r="27566" spans="1:2" x14ac:dyDescent="0.25">
      <c r="A27566"/>
      <c r="B27566"/>
    </row>
    <row r="27567" spans="1:2" x14ac:dyDescent="0.25">
      <c r="A27567"/>
      <c r="B27567"/>
    </row>
    <row r="27568" spans="1:2" x14ac:dyDescent="0.25">
      <c r="A27568"/>
      <c r="B27568"/>
    </row>
    <row r="27569" spans="1:2" x14ac:dyDescent="0.25">
      <c r="A27569"/>
      <c r="B27569"/>
    </row>
    <row r="27570" spans="1:2" x14ac:dyDescent="0.25">
      <c r="A27570"/>
      <c r="B27570"/>
    </row>
    <row r="27571" spans="1:2" x14ac:dyDescent="0.25">
      <c r="A27571"/>
      <c r="B27571"/>
    </row>
    <row r="27572" spans="1:2" x14ac:dyDescent="0.25">
      <c r="A27572"/>
      <c r="B27572"/>
    </row>
    <row r="27573" spans="1:2" x14ac:dyDescent="0.25">
      <c r="A27573"/>
      <c r="B27573"/>
    </row>
    <row r="27574" spans="1:2" x14ac:dyDescent="0.25">
      <c r="A27574"/>
      <c r="B27574"/>
    </row>
    <row r="27575" spans="1:2" x14ac:dyDescent="0.25">
      <c r="A27575"/>
      <c r="B27575"/>
    </row>
    <row r="27576" spans="1:2" x14ac:dyDescent="0.25">
      <c r="A27576"/>
      <c r="B27576"/>
    </row>
    <row r="27577" spans="1:2" x14ac:dyDescent="0.25">
      <c r="A27577"/>
      <c r="B27577"/>
    </row>
    <row r="27578" spans="1:2" x14ac:dyDescent="0.25">
      <c r="A27578"/>
      <c r="B27578"/>
    </row>
    <row r="27579" spans="1:2" x14ac:dyDescent="0.25">
      <c r="A27579"/>
      <c r="B27579"/>
    </row>
    <row r="27580" spans="1:2" x14ac:dyDescent="0.25">
      <c r="A27580"/>
      <c r="B27580"/>
    </row>
    <row r="27581" spans="1:2" x14ac:dyDescent="0.25">
      <c r="A27581"/>
      <c r="B27581"/>
    </row>
    <row r="27582" spans="1:2" x14ac:dyDescent="0.25">
      <c r="A27582"/>
      <c r="B27582"/>
    </row>
    <row r="27583" spans="1:2" x14ac:dyDescent="0.25">
      <c r="A27583"/>
      <c r="B27583"/>
    </row>
    <row r="27584" spans="1:2" x14ac:dyDescent="0.25">
      <c r="A27584"/>
      <c r="B27584"/>
    </row>
    <row r="27585" spans="1:2" x14ac:dyDescent="0.25">
      <c r="A27585"/>
      <c r="B27585"/>
    </row>
    <row r="27586" spans="1:2" x14ac:dyDescent="0.25">
      <c r="A27586"/>
      <c r="B27586"/>
    </row>
    <row r="27587" spans="1:2" x14ac:dyDescent="0.25">
      <c r="A27587"/>
      <c r="B27587"/>
    </row>
    <row r="27588" spans="1:2" x14ac:dyDescent="0.25">
      <c r="A27588"/>
      <c r="B27588"/>
    </row>
    <row r="27589" spans="1:2" x14ac:dyDescent="0.25">
      <c r="A27589"/>
      <c r="B27589"/>
    </row>
    <row r="27590" spans="1:2" x14ac:dyDescent="0.25">
      <c r="A27590"/>
      <c r="B27590"/>
    </row>
    <row r="27591" spans="1:2" x14ac:dyDescent="0.25">
      <c r="A27591"/>
      <c r="B27591"/>
    </row>
    <row r="27592" spans="1:2" x14ac:dyDescent="0.25">
      <c r="A27592"/>
      <c r="B27592"/>
    </row>
    <row r="27593" spans="1:2" x14ac:dyDescent="0.25">
      <c r="A27593"/>
      <c r="B27593"/>
    </row>
    <row r="27594" spans="1:2" x14ac:dyDescent="0.25">
      <c r="A27594"/>
      <c r="B27594"/>
    </row>
    <row r="27595" spans="1:2" x14ac:dyDescent="0.25">
      <c r="A27595"/>
      <c r="B27595"/>
    </row>
    <row r="27596" spans="1:2" x14ac:dyDescent="0.25">
      <c r="A27596"/>
      <c r="B27596"/>
    </row>
    <row r="27597" spans="1:2" x14ac:dyDescent="0.25">
      <c r="A27597"/>
      <c r="B27597"/>
    </row>
    <row r="27598" spans="1:2" x14ac:dyDescent="0.25">
      <c r="A27598"/>
      <c r="B27598"/>
    </row>
    <row r="27599" spans="1:2" x14ac:dyDescent="0.25">
      <c r="A27599"/>
      <c r="B27599"/>
    </row>
    <row r="27600" spans="1:2" x14ac:dyDescent="0.25">
      <c r="A27600"/>
      <c r="B27600"/>
    </row>
    <row r="27601" spans="1:2" x14ac:dyDescent="0.25">
      <c r="A27601"/>
      <c r="B27601"/>
    </row>
    <row r="27602" spans="1:2" x14ac:dyDescent="0.25">
      <c r="A27602"/>
      <c r="B27602"/>
    </row>
    <row r="27603" spans="1:2" x14ac:dyDescent="0.25">
      <c r="A27603"/>
      <c r="B27603"/>
    </row>
    <row r="27604" spans="1:2" x14ac:dyDescent="0.25">
      <c r="A27604"/>
      <c r="B27604"/>
    </row>
    <row r="27605" spans="1:2" x14ac:dyDescent="0.25">
      <c r="A27605"/>
      <c r="B27605"/>
    </row>
    <row r="27606" spans="1:2" x14ac:dyDescent="0.25">
      <c r="A27606"/>
      <c r="B27606"/>
    </row>
    <row r="27607" spans="1:2" x14ac:dyDescent="0.25">
      <c r="A27607"/>
      <c r="B27607"/>
    </row>
    <row r="27608" spans="1:2" x14ac:dyDescent="0.25">
      <c r="A27608"/>
      <c r="B27608"/>
    </row>
    <row r="27609" spans="1:2" x14ac:dyDescent="0.25">
      <c r="A27609"/>
      <c r="B27609"/>
    </row>
    <row r="27610" spans="1:2" x14ac:dyDescent="0.25">
      <c r="A27610"/>
      <c r="B27610"/>
    </row>
    <row r="27611" spans="1:2" x14ac:dyDescent="0.25">
      <c r="A27611"/>
      <c r="B27611"/>
    </row>
    <row r="27612" spans="1:2" x14ac:dyDescent="0.25">
      <c r="A27612"/>
      <c r="B27612"/>
    </row>
    <row r="27613" spans="1:2" x14ac:dyDescent="0.25">
      <c r="A27613"/>
      <c r="B27613"/>
    </row>
    <row r="27614" spans="1:2" x14ac:dyDescent="0.25">
      <c r="A27614"/>
      <c r="B27614"/>
    </row>
    <row r="27615" spans="1:2" x14ac:dyDescent="0.25">
      <c r="A27615"/>
      <c r="B27615"/>
    </row>
    <row r="27616" spans="1:2" x14ac:dyDescent="0.25">
      <c r="A27616"/>
      <c r="B27616"/>
    </row>
    <row r="27617" spans="1:2" x14ac:dyDescent="0.25">
      <c r="A27617"/>
      <c r="B27617"/>
    </row>
    <row r="27618" spans="1:2" x14ac:dyDescent="0.25">
      <c r="A27618"/>
      <c r="B27618"/>
    </row>
    <row r="27619" spans="1:2" x14ac:dyDescent="0.25">
      <c r="A27619"/>
      <c r="B27619"/>
    </row>
    <row r="27620" spans="1:2" x14ac:dyDescent="0.25">
      <c r="A27620"/>
      <c r="B27620"/>
    </row>
    <row r="27621" spans="1:2" x14ac:dyDescent="0.25">
      <c r="A27621"/>
      <c r="B27621"/>
    </row>
    <row r="27622" spans="1:2" x14ac:dyDescent="0.25">
      <c r="A27622"/>
      <c r="B27622"/>
    </row>
    <row r="27623" spans="1:2" x14ac:dyDescent="0.25">
      <c r="A27623"/>
      <c r="B27623"/>
    </row>
    <row r="27624" spans="1:2" x14ac:dyDescent="0.25">
      <c r="A27624"/>
      <c r="B27624"/>
    </row>
    <row r="27625" spans="1:2" x14ac:dyDescent="0.25">
      <c r="A27625"/>
      <c r="B27625"/>
    </row>
    <row r="27626" spans="1:2" x14ac:dyDescent="0.25">
      <c r="A27626"/>
      <c r="B27626"/>
    </row>
    <row r="27627" spans="1:2" x14ac:dyDescent="0.25">
      <c r="A27627"/>
      <c r="B27627"/>
    </row>
    <row r="27628" spans="1:2" x14ac:dyDescent="0.25">
      <c r="A27628"/>
      <c r="B27628"/>
    </row>
    <row r="27629" spans="1:2" x14ac:dyDescent="0.25">
      <c r="A27629"/>
      <c r="B27629"/>
    </row>
    <row r="27630" spans="1:2" x14ac:dyDescent="0.25">
      <c r="A27630"/>
      <c r="B27630"/>
    </row>
    <row r="27631" spans="1:2" x14ac:dyDescent="0.25">
      <c r="A27631"/>
      <c r="B27631"/>
    </row>
    <row r="27632" spans="1:2" x14ac:dyDescent="0.25">
      <c r="A27632"/>
      <c r="B27632"/>
    </row>
    <row r="27633" spans="1:2" x14ac:dyDescent="0.25">
      <c r="A27633"/>
      <c r="B27633"/>
    </row>
    <row r="27634" spans="1:2" x14ac:dyDescent="0.25">
      <c r="A27634"/>
      <c r="B27634"/>
    </row>
    <row r="27635" spans="1:2" x14ac:dyDescent="0.25">
      <c r="A27635"/>
      <c r="B27635"/>
    </row>
    <row r="27636" spans="1:2" x14ac:dyDescent="0.25">
      <c r="A27636"/>
      <c r="B27636"/>
    </row>
    <row r="27637" spans="1:2" x14ac:dyDescent="0.25">
      <c r="A27637"/>
      <c r="B27637"/>
    </row>
    <row r="27638" spans="1:2" x14ac:dyDescent="0.25">
      <c r="A27638"/>
      <c r="B27638"/>
    </row>
    <row r="27639" spans="1:2" x14ac:dyDescent="0.25">
      <c r="A27639"/>
      <c r="B27639"/>
    </row>
    <row r="27640" spans="1:2" x14ac:dyDescent="0.25">
      <c r="A27640"/>
      <c r="B27640"/>
    </row>
    <row r="27641" spans="1:2" x14ac:dyDescent="0.25">
      <c r="A27641"/>
      <c r="B27641"/>
    </row>
    <row r="27642" spans="1:2" x14ac:dyDescent="0.25">
      <c r="A27642"/>
      <c r="B27642"/>
    </row>
    <row r="27643" spans="1:2" x14ac:dyDescent="0.25">
      <c r="A27643"/>
      <c r="B27643"/>
    </row>
    <row r="27644" spans="1:2" x14ac:dyDescent="0.25">
      <c r="A27644"/>
      <c r="B27644"/>
    </row>
    <row r="27645" spans="1:2" x14ac:dyDescent="0.25">
      <c r="A27645"/>
      <c r="B27645"/>
    </row>
    <row r="27646" spans="1:2" x14ac:dyDescent="0.25">
      <c r="A27646"/>
      <c r="B27646"/>
    </row>
    <row r="27647" spans="1:2" x14ac:dyDescent="0.25">
      <c r="A27647"/>
      <c r="B27647"/>
    </row>
    <row r="27648" spans="1:2" x14ac:dyDescent="0.25">
      <c r="A27648"/>
      <c r="B27648"/>
    </row>
    <row r="27649" spans="1:2" x14ac:dyDescent="0.25">
      <c r="A27649"/>
      <c r="B27649"/>
    </row>
    <row r="27650" spans="1:2" x14ac:dyDescent="0.25">
      <c r="A27650"/>
      <c r="B27650"/>
    </row>
    <row r="27651" spans="1:2" x14ac:dyDescent="0.25">
      <c r="A27651"/>
      <c r="B27651"/>
    </row>
    <row r="27652" spans="1:2" x14ac:dyDescent="0.25">
      <c r="A27652"/>
      <c r="B27652"/>
    </row>
    <row r="27653" spans="1:2" x14ac:dyDescent="0.25">
      <c r="A27653"/>
      <c r="B27653"/>
    </row>
    <row r="27654" spans="1:2" x14ac:dyDescent="0.25">
      <c r="A27654"/>
      <c r="B27654"/>
    </row>
    <row r="27655" spans="1:2" x14ac:dyDescent="0.25">
      <c r="A27655"/>
      <c r="B27655"/>
    </row>
    <row r="27656" spans="1:2" x14ac:dyDescent="0.25">
      <c r="A27656"/>
      <c r="B27656"/>
    </row>
    <row r="27657" spans="1:2" x14ac:dyDescent="0.25">
      <c r="A27657"/>
      <c r="B27657"/>
    </row>
    <row r="27658" spans="1:2" x14ac:dyDescent="0.25">
      <c r="A27658"/>
      <c r="B27658"/>
    </row>
    <row r="27659" spans="1:2" x14ac:dyDescent="0.25">
      <c r="A27659"/>
      <c r="B27659"/>
    </row>
    <row r="27660" spans="1:2" x14ac:dyDescent="0.25">
      <c r="A27660"/>
      <c r="B27660"/>
    </row>
    <row r="27661" spans="1:2" x14ac:dyDescent="0.25">
      <c r="A27661"/>
      <c r="B27661"/>
    </row>
    <row r="27662" spans="1:2" x14ac:dyDescent="0.25">
      <c r="A27662"/>
      <c r="B27662"/>
    </row>
    <row r="27663" spans="1:2" x14ac:dyDescent="0.25">
      <c r="A27663"/>
      <c r="B27663"/>
    </row>
    <row r="27664" spans="1:2" x14ac:dyDescent="0.25">
      <c r="A27664"/>
      <c r="B27664"/>
    </row>
    <row r="27665" spans="1:2" x14ac:dyDescent="0.25">
      <c r="A27665"/>
      <c r="B27665"/>
    </row>
    <row r="27666" spans="1:2" x14ac:dyDescent="0.25">
      <c r="A27666"/>
      <c r="B27666"/>
    </row>
    <row r="27667" spans="1:2" x14ac:dyDescent="0.25">
      <c r="A27667"/>
      <c r="B27667"/>
    </row>
    <row r="27668" spans="1:2" x14ac:dyDescent="0.25">
      <c r="A27668"/>
      <c r="B27668"/>
    </row>
    <row r="27669" spans="1:2" x14ac:dyDescent="0.25">
      <c r="A27669"/>
      <c r="B27669"/>
    </row>
    <row r="27670" spans="1:2" x14ac:dyDescent="0.25">
      <c r="A27670"/>
      <c r="B27670"/>
    </row>
    <row r="27671" spans="1:2" x14ac:dyDescent="0.25">
      <c r="A27671"/>
      <c r="B27671"/>
    </row>
    <row r="27672" spans="1:2" x14ac:dyDescent="0.25">
      <c r="A27672"/>
      <c r="B27672"/>
    </row>
    <row r="27673" spans="1:2" x14ac:dyDescent="0.25">
      <c r="A27673"/>
      <c r="B27673"/>
    </row>
    <row r="27674" spans="1:2" x14ac:dyDescent="0.25">
      <c r="A27674"/>
      <c r="B27674"/>
    </row>
    <row r="27675" spans="1:2" x14ac:dyDescent="0.25">
      <c r="A27675"/>
      <c r="B27675"/>
    </row>
    <row r="27676" spans="1:2" x14ac:dyDescent="0.25">
      <c r="A27676"/>
      <c r="B27676"/>
    </row>
    <row r="27677" spans="1:2" x14ac:dyDescent="0.25">
      <c r="A27677"/>
      <c r="B27677"/>
    </row>
    <row r="27678" spans="1:2" x14ac:dyDescent="0.25">
      <c r="A27678"/>
      <c r="B27678"/>
    </row>
    <row r="27679" spans="1:2" x14ac:dyDescent="0.25">
      <c r="A27679"/>
      <c r="B27679"/>
    </row>
    <row r="27680" spans="1:2" x14ac:dyDescent="0.25">
      <c r="A27680"/>
      <c r="B27680"/>
    </row>
    <row r="27681" spans="1:2" x14ac:dyDescent="0.25">
      <c r="A27681"/>
      <c r="B27681"/>
    </row>
    <row r="27682" spans="1:2" x14ac:dyDescent="0.25">
      <c r="A27682"/>
      <c r="B27682"/>
    </row>
    <row r="27683" spans="1:2" x14ac:dyDescent="0.25">
      <c r="A27683"/>
      <c r="B27683"/>
    </row>
    <row r="27684" spans="1:2" x14ac:dyDescent="0.25">
      <c r="A27684"/>
      <c r="B27684"/>
    </row>
    <row r="27685" spans="1:2" x14ac:dyDescent="0.25">
      <c r="A27685"/>
      <c r="B27685"/>
    </row>
    <row r="27686" spans="1:2" x14ac:dyDescent="0.25">
      <c r="A27686"/>
      <c r="B27686"/>
    </row>
    <row r="27687" spans="1:2" x14ac:dyDescent="0.25">
      <c r="A27687"/>
      <c r="B27687"/>
    </row>
    <row r="27688" spans="1:2" x14ac:dyDescent="0.25">
      <c r="A27688"/>
      <c r="B27688"/>
    </row>
    <row r="27689" spans="1:2" x14ac:dyDescent="0.25">
      <c r="A27689"/>
      <c r="B27689"/>
    </row>
    <row r="27690" spans="1:2" x14ac:dyDescent="0.25">
      <c r="A27690"/>
      <c r="B27690"/>
    </row>
    <row r="27691" spans="1:2" x14ac:dyDescent="0.25">
      <c r="A27691"/>
      <c r="B27691"/>
    </row>
    <row r="27692" spans="1:2" x14ac:dyDescent="0.25">
      <c r="A27692"/>
      <c r="B27692"/>
    </row>
    <row r="27693" spans="1:2" x14ac:dyDescent="0.25">
      <c r="A27693"/>
      <c r="B27693"/>
    </row>
    <row r="27694" spans="1:2" x14ac:dyDescent="0.25">
      <c r="A27694"/>
      <c r="B27694"/>
    </row>
    <row r="27695" spans="1:2" x14ac:dyDescent="0.25">
      <c r="A27695"/>
      <c r="B27695"/>
    </row>
    <row r="27696" spans="1:2" x14ac:dyDescent="0.25">
      <c r="A27696"/>
      <c r="B27696"/>
    </row>
    <row r="27697" spans="1:2" x14ac:dyDescent="0.25">
      <c r="A27697"/>
      <c r="B27697"/>
    </row>
    <row r="27698" spans="1:2" x14ac:dyDescent="0.25">
      <c r="A27698"/>
      <c r="B27698"/>
    </row>
    <row r="27699" spans="1:2" x14ac:dyDescent="0.25">
      <c r="A27699"/>
      <c r="B27699"/>
    </row>
    <row r="27700" spans="1:2" x14ac:dyDescent="0.25">
      <c r="A27700"/>
      <c r="B27700"/>
    </row>
    <row r="27701" spans="1:2" x14ac:dyDescent="0.25">
      <c r="A27701"/>
      <c r="B27701"/>
    </row>
    <row r="27702" spans="1:2" x14ac:dyDescent="0.25">
      <c r="A27702"/>
      <c r="B27702"/>
    </row>
    <row r="27703" spans="1:2" x14ac:dyDescent="0.25">
      <c r="A27703"/>
      <c r="B27703"/>
    </row>
    <row r="27704" spans="1:2" x14ac:dyDescent="0.25">
      <c r="A27704"/>
      <c r="B27704"/>
    </row>
    <row r="27705" spans="1:2" x14ac:dyDescent="0.25">
      <c r="A27705"/>
      <c r="B27705"/>
    </row>
    <row r="27706" spans="1:2" x14ac:dyDescent="0.25">
      <c r="A27706"/>
      <c r="B27706"/>
    </row>
    <row r="27707" spans="1:2" x14ac:dyDescent="0.25">
      <c r="A27707"/>
      <c r="B27707"/>
    </row>
    <row r="27708" spans="1:2" x14ac:dyDescent="0.25">
      <c r="A27708"/>
      <c r="B27708"/>
    </row>
    <row r="27709" spans="1:2" x14ac:dyDescent="0.25">
      <c r="A27709"/>
      <c r="B27709"/>
    </row>
    <row r="27710" spans="1:2" x14ac:dyDescent="0.25">
      <c r="A27710"/>
      <c r="B27710"/>
    </row>
    <row r="27711" spans="1:2" x14ac:dyDescent="0.25">
      <c r="A27711"/>
      <c r="B27711"/>
    </row>
    <row r="27712" spans="1:2" x14ac:dyDescent="0.25">
      <c r="A27712"/>
      <c r="B27712"/>
    </row>
    <row r="27713" spans="1:2" x14ac:dyDescent="0.25">
      <c r="A27713"/>
      <c r="B27713"/>
    </row>
    <row r="27714" spans="1:2" x14ac:dyDescent="0.25">
      <c r="A27714"/>
      <c r="B27714"/>
    </row>
    <row r="27715" spans="1:2" x14ac:dyDescent="0.25">
      <c r="A27715"/>
      <c r="B27715"/>
    </row>
    <row r="27716" spans="1:2" x14ac:dyDescent="0.25">
      <c r="A27716"/>
      <c r="B27716"/>
    </row>
    <row r="27717" spans="1:2" x14ac:dyDescent="0.25">
      <c r="A27717"/>
      <c r="B27717"/>
    </row>
    <row r="27718" spans="1:2" x14ac:dyDescent="0.25">
      <c r="A27718"/>
      <c r="B27718"/>
    </row>
    <row r="27719" spans="1:2" x14ac:dyDescent="0.25">
      <c r="A27719"/>
      <c r="B27719"/>
    </row>
    <row r="27720" spans="1:2" x14ac:dyDescent="0.25">
      <c r="A27720"/>
      <c r="B27720"/>
    </row>
    <row r="27721" spans="1:2" x14ac:dyDescent="0.25">
      <c r="A27721"/>
      <c r="B27721"/>
    </row>
    <row r="27722" spans="1:2" x14ac:dyDescent="0.25">
      <c r="A27722"/>
      <c r="B27722"/>
    </row>
    <row r="27723" spans="1:2" x14ac:dyDescent="0.25">
      <c r="A27723"/>
      <c r="B27723"/>
    </row>
    <row r="27724" spans="1:2" x14ac:dyDescent="0.25">
      <c r="A27724"/>
      <c r="B27724"/>
    </row>
    <row r="27725" spans="1:2" x14ac:dyDescent="0.25">
      <c r="A27725"/>
      <c r="B27725"/>
    </row>
    <row r="27726" spans="1:2" x14ac:dyDescent="0.25">
      <c r="A27726"/>
      <c r="B27726"/>
    </row>
    <row r="27727" spans="1:2" x14ac:dyDescent="0.25">
      <c r="A27727"/>
      <c r="B27727"/>
    </row>
    <row r="27728" spans="1:2" x14ac:dyDescent="0.25">
      <c r="A27728"/>
      <c r="B27728"/>
    </row>
    <row r="27729" spans="1:2" x14ac:dyDescent="0.25">
      <c r="A27729"/>
      <c r="B27729"/>
    </row>
    <row r="27730" spans="1:2" x14ac:dyDescent="0.25">
      <c r="A27730"/>
      <c r="B27730"/>
    </row>
    <row r="27731" spans="1:2" x14ac:dyDescent="0.25">
      <c r="A27731"/>
      <c r="B27731"/>
    </row>
    <row r="27732" spans="1:2" x14ac:dyDescent="0.25">
      <c r="A27732"/>
      <c r="B27732"/>
    </row>
    <row r="27733" spans="1:2" x14ac:dyDescent="0.25">
      <c r="A27733"/>
      <c r="B27733"/>
    </row>
    <row r="27734" spans="1:2" x14ac:dyDescent="0.25">
      <c r="A27734"/>
      <c r="B27734"/>
    </row>
    <row r="27735" spans="1:2" x14ac:dyDescent="0.25">
      <c r="A27735"/>
      <c r="B27735"/>
    </row>
    <row r="27736" spans="1:2" x14ac:dyDescent="0.25">
      <c r="A27736"/>
      <c r="B27736"/>
    </row>
    <row r="27737" spans="1:2" x14ac:dyDescent="0.25">
      <c r="A27737"/>
      <c r="B27737"/>
    </row>
    <row r="27738" spans="1:2" x14ac:dyDescent="0.25">
      <c r="A27738"/>
      <c r="B27738"/>
    </row>
    <row r="27739" spans="1:2" x14ac:dyDescent="0.25">
      <c r="A27739"/>
      <c r="B27739"/>
    </row>
    <row r="27740" spans="1:2" x14ac:dyDescent="0.25">
      <c r="A27740"/>
      <c r="B27740"/>
    </row>
    <row r="27741" spans="1:2" x14ac:dyDescent="0.25">
      <c r="A27741"/>
      <c r="B27741"/>
    </row>
    <row r="27742" spans="1:2" x14ac:dyDescent="0.25">
      <c r="A27742"/>
      <c r="B27742"/>
    </row>
    <row r="27743" spans="1:2" x14ac:dyDescent="0.25">
      <c r="A27743"/>
      <c r="B27743"/>
    </row>
    <row r="27744" spans="1:2" x14ac:dyDescent="0.25">
      <c r="A27744"/>
      <c r="B27744"/>
    </row>
    <row r="27745" spans="1:2" x14ac:dyDescent="0.25">
      <c r="A27745"/>
      <c r="B27745"/>
    </row>
    <row r="27746" spans="1:2" x14ac:dyDescent="0.25">
      <c r="A27746"/>
      <c r="B27746"/>
    </row>
    <row r="27747" spans="1:2" x14ac:dyDescent="0.25">
      <c r="A27747"/>
      <c r="B27747"/>
    </row>
    <row r="27748" spans="1:2" x14ac:dyDescent="0.25">
      <c r="A27748"/>
      <c r="B27748"/>
    </row>
    <row r="27749" spans="1:2" x14ac:dyDescent="0.25">
      <c r="A27749"/>
      <c r="B27749"/>
    </row>
    <row r="27750" spans="1:2" x14ac:dyDescent="0.25">
      <c r="A27750"/>
      <c r="B27750"/>
    </row>
    <row r="27751" spans="1:2" x14ac:dyDescent="0.25">
      <c r="A27751"/>
      <c r="B27751"/>
    </row>
    <row r="27752" spans="1:2" x14ac:dyDescent="0.25">
      <c r="A27752"/>
      <c r="B27752"/>
    </row>
    <row r="27753" spans="1:2" x14ac:dyDescent="0.25">
      <c r="A27753"/>
      <c r="B27753"/>
    </row>
    <row r="27754" spans="1:2" x14ac:dyDescent="0.25">
      <c r="A27754"/>
      <c r="B27754"/>
    </row>
    <row r="27755" spans="1:2" x14ac:dyDescent="0.25">
      <c r="A27755"/>
      <c r="B27755"/>
    </row>
    <row r="27756" spans="1:2" x14ac:dyDescent="0.25">
      <c r="A27756"/>
      <c r="B27756"/>
    </row>
    <row r="27757" spans="1:2" x14ac:dyDescent="0.25">
      <c r="A27757"/>
      <c r="B27757"/>
    </row>
    <row r="27758" spans="1:2" x14ac:dyDescent="0.25">
      <c r="A27758"/>
      <c r="B27758"/>
    </row>
    <row r="27759" spans="1:2" x14ac:dyDescent="0.25">
      <c r="A27759"/>
      <c r="B27759"/>
    </row>
    <row r="27760" spans="1:2" x14ac:dyDescent="0.25">
      <c r="A27760"/>
      <c r="B27760"/>
    </row>
    <row r="27761" spans="1:2" x14ac:dyDescent="0.25">
      <c r="A27761"/>
      <c r="B27761"/>
    </row>
    <row r="27762" spans="1:2" x14ac:dyDescent="0.25">
      <c r="A27762"/>
      <c r="B27762"/>
    </row>
    <row r="27763" spans="1:2" x14ac:dyDescent="0.25">
      <c r="A27763"/>
      <c r="B27763"/>
    </row>
    <row r="27764" spans="1:2" x14ac:dyDescent="0.25">
      <c r="A27764"/>
      <c r="B27764"/>
    </row>
    <row r="27765" spans="1:2" x14ac:dyDescent="0.25">
      <c r="A27765"/>
      <c r="B27765"/>
    </row>
    <row r="27766" spans="1:2" x14ac:dyDescent="0.25">
      <c r="A27766"/>
      <c r="B27766"/>
    </row>
    <row r="27767" spans="1:2" x14ac:dyDescent="0.25">
      <c r="A27767"/>
      <c r="B27767"/>
    </row>
    <row r="27768" spans="1:2" x14ac:dyDescent="0.25">
      <c r="A27768"/>
      <c r="B27768"/>
    </row>
    <row r="27769" spans="1:2" x14ac:dyDescent="0.25">
      <c r="A27769"/>
      <c r="B27769"/>
    </row>
    <row r="27770" spans="1:2" x14ac:dyDescent="0.25">
      <c r="A27770"/>
      <c r="B27770"/>
    </row>
    <row r="27771" spans="1:2" x14ac:dyDescent="0.25">
      <c r="A27771"/>
      <c r="B27771"/>
    </row>
    <row r="27772" spans="1:2" x14ac:dyDescent="0.25">
      <c r="A27772"/>
      <c r="B27772"/>
    </row>
    <row r="27773" spans="1:2" x14ac:dyDescent="0.25">
      <c r="A27773"/>
      <c r="B27773"/>
    </row>
    <row r="27774" spans="1:2" x14ac:dyDescent="0.25">
      <c r="A27774"/>
      <c r="B27774"/>
    </row>
    <row r="27775" spans="1:2" x14ac:dyDescent="0.25">
      <c r="A27775"/>
      <c r="B27775"/>
    </row>
    <row r="27776" spans="1:2" x14ac:dyDescent="0.25">
      <c r="A27776"/>
      <c r="B27776"/>
    </row>
    <row r="27777" spans="1:2" x14ac:dyDescent="0.25">
      <c r="A27777"/>
      <c r="B27777"/>
    </row>
    <row r="27778" spans="1:2" x14ac:dyDescent="0.25">
      <c r="A27778"/>
      <c r="B27778"/>
    </row>
    <row r="27779" spans="1:2" x14ac:dyDescent="0.25">
      <c r="A27779"/>
      <c r="B27779"/>
    </row>
    <row r="27780" spans="1:2" x14ac:dyDescent="0.25">
      <c r="A27780"/>
      <c r="B27780"/>
    </row>
    <row r="27781" spans="1:2" x14ac:dyDescent="0.25">
      <c r="A27781"/>
      <c r="B27781"/>
    </row>
    <row r="27782" spans="1:2" x14ac:dyDescent="0.25">
      <c r="A27782"/>
      <c r="B27782"/>
    </row>
    <row r="27783" spans="1:2" x14ac:dyDescent="0.25">
      <c r="A27783"/>
      <c r="B27783"/>
    </row>
    <row r="27784" spans="1:2" x14ac:dyDescent="0.25">
      <c r="A27784"/>
      <c r="B27784"/>
    </row>
    <row r="27785" spans="1:2" x14ac:dyDescent="0.25">
      <c r="A27785"/>
      <c r="B27785"/>
    </row>
    <row r="27786" spans="1:2" x14ac:dyDescent="0.25">
      <c r="A27786"/>
      <c r="B27786"/>
    </row>
    <row r="27787" spans="1:2" x14ac:dyDescent="0.25">
      <c r="A27787"/>
      <c r="B27787"/>
    </row>
    <row r="27788" spans="1:2" x14ac:dyDescent="0.25">
      <c r="A27788"/>
      <c r="B27788"/>
    </row>
    <row r="27789" spans="1:2" x14ac:dyDescent="0.25">
      <c r="A27789"/>
      <c r="B27789"/>
    </row>
    <row r="27790" spans="1:2" x14ac:dyDescent="0.25">
      <c r="A27790"/>
      <c r="B27790"/>
    </row>
    <row r="27791" spans="1:2" x14ac:dyDescent="0.25">
      <c r="A27791"/>
      <c r="B27791"/>
    </row>
    <row r="27792" spans="1:2" x14ac:dyDescent="0.25">
      <c r="A27792"/>
      <c r="B27792"/>
    </row>
    <row r="27793" spans="1:2" x14ac:dyDescent="0.25">
      <c r="A27793"/>
      <c r="B27793"/>
    </row>
    <row r="27794" spans="1:2" x14ac:dyDescent="0.25">
      <c r="A27794"/>
      <c r="B27794"/>
    </row>
    <row r="27795" spans="1:2" x14ac:dyDescent="0.25">
      <c r="A27795"/>
      <c r="B27795"/>
    </row>
    <row r="27796" spans="1:2" x14ac:dyDescent="0.25">
      <c r="A27796"/>
      <c r="B27796"/>
    </row>
    <row r="27797" spans="1:2" x14ac:dyDescent="0.25">
      <c r="A27797"/>
      <c r="B27797"/>
    </row>
    <row r="27798" spans="1:2" x14ac:dyDescent="0.25">
      <c r="A27798"/>
      <c r="B27798"/>
    </row>
    <row r="27799" spans="1:2" x14ac:dyDescent="0.25">
      <c r="A27799"/>
      <c r="B27799"/>
    </row>
    <row r="27800" spans="1:2" x14ac:dyDescent="0.25">
      <c r="A27800"/>
      <c r="B27800"/>
    </row>
    <row r="27801" spans="1:2" x14ac:dyDescent="0.25">
      <c r="A27801"/>
      <c r="B27801"/>
    </row>
    <row r="27802" spans="1:2" x14ac:dyDescent="0.25">
      <c r="A27802"/>
      <c r="B27802"/>
    </row>
    <row r="27803" spans="1:2" x14ac:dyDescent="0.25">
      <c r="A27803"/>
      <c r="B27803"/>
    </row>
    <row r="27804" spans="1:2" x14ac:dyDescent="0.25">
      <c r="A27804"/>
      <c r="B27804"/>
    </row>
    <row r="27805" spans="1:2" x14ac:dyDescent="0.25">
      <c r="A27805"/>
      <c r="B27805"/>
    </row>
    <row r="27806" spans="1:2" x14ac:dyDescent="0.25">
      <c r="A27806"/>
      <c r="B27806"/>
    </row>
    <row r="27807" spans="1:2" x14ac:dyDescent="0.25">
      <c r="A27807"/>
      <c r="B27807"/>
    </row>
    <row r="27808" spans="1:2" x14ac:dyDescent="0.25">
      <c r="A27808"/>
      <c r="B27808"/>
    </row>
    <row r="27809" spans="1:2" x14ac:dyDescent="0.25">
      <c r="A27809"/>
      <c r="B27809"/>
    </row>
    <row r="27810" spans="1:2" x14ac:dyDescent="0.25">
      <c r="A27810"/>
      <c r="B27810"/>
    </row>
    <row r="27811" spans="1:2" x14ac:dyDescent="0.25">
      <c r="A27811"/>
      <c r="B27811"/>
    </row>
    <row r="27812" spans="1:2" x14ac:dyDescent="0.25">
      <c r="A27812"/>
      <c r="B27812"/>
    </row>
    <row r="27813" spans="1:2" x14ac:dyDescent="0.25">
      <c r="A27813"/>
      <c r="B27813"/>
    </row>
    <row r="27814" spans="1:2" x14ac:dyDescent="0.25">
      <c r="A27814"/>
      <c r="B27814"/>
    </row>
    <row r="27815" spans="1:2" x14ac:dyDescent="0.25">
      <c r="A27815"/>
      <c r="B27815"/>
    </row>
    <row r="27816" spans="1:2" x14ac:dyDescent="0.25">
      <c r="A27816"/>
      <c r="B27816"/>
    </row>
    <row r="27817" spans="1:2" x14ac:dyDescent="0.25">
      <c r="A27817"/>
      <c r="B27817"/>
    </row>
    <row r="27818" spans="1:2" x14ac:dyDescent="0.25">
      <c r="A27818"/>
      <c r="B27818"/>
    </row>
    <row r="27819" spans="1:2" x14ac:dyDescent="0.25">
      <c r="A27819"/>
      <c r="B27819"/>
    </row>
    <row r="27820" spans="1:2" x14ac:dyDescent="0.25">
      <c r="A27820"/>
      <c r="B27820"/>
    </row>
    <row r="27821" spans="1:2" x14ac:dyDescent="0.25">
      <c r="A27821"/>
      <c r="B27821"/>
    </row>
    <row r="27822" spans="1:2" x14ac:dyDescent="0.25">
      <c r="A27822"/>
      <c r="B27822"/>
    </row>
    <row r="27823" spans="1:2" x14ac:dyDescent="0.25">
      <c r="A27823"/>
      <c r="B27823"/>
    </row>
    <row r="27824" spans="1:2" x14ac:dyDescent="0.25">
      <c r="A27824"/>
      <c r="B27824"/>
    </row>
    <row r="27825" spans="1:2" x14ac:dyDescent="0.25">
      <c r="A27825"/>
      <c r="B27825"/>
    </row>
    <row r="27826" spans="1:2" x14ac:dyDescent="0.25">
      <c r="A27826"/>
      <c r="B27826"/>
    </row>
    <row r="27827" spans="1:2" x14ac:dyDescent="0.25">
      <c r="A27827"/>
      <c r="B27827"/>
    </row>
    <row r="27828" spans="1:2" x14ac:dyDescent="0.25">
      <c r="A27828"/>
      <c r="B27828"/>
    </row>
    <row r="27829" spans="1:2" x14ac:dyDescent="0.25">
      <c r="A27829"/>
      <c r="B27829"/>
    </row>
    <row r="27830" spans="1:2" x14ac:dyDescent="0.25">
      <c r="A27830"/>
      <c r="B27830"/>
    </row>
    <row r="27831" spans="1:2" x14ac:dyDescent="0.25">
      <c r="A27831"/>
      <c r="B27831"/>
    </row>
    <row r="27832" spans="1:2" x14ac:dyDescent="0.25">
      <c r="A27832"/>
      <c r="B27832"/>
    </row>
    <row r="27833" spans="1:2" x14ac:dyDescent="0.25">
      <c r="A27833"/>
      <c r="B27833"/>
    </row>
    <row r="27834" spans="1:2" x14ac:dyDescent="0.25">
      <c r="A27834"/>
      <c r="B27834"/>
    </row>
    <row r="27835" spans="1:2" x14ac:dyDescent="0.25">
      <c r="A27835"/>
      <c r="B27835"/>
    </row>
    <row r="27836" spans="1:2" x14ac:dyDescent="0.25">
      <c r="A27836"/>
      <c r="B27836"/>
    </row>
    <row r="27837" spans="1:2" x14ac:dyDescent="0.25">
      <c r="A27837"/>
      <c r="B27837"/>
    </row>
    <row r="27838" spans="1:2" x14ac:dyDescent="0.25">
      <c r="A27838"/>
      <c r="B27838"/>
    </row>
    <row r="27839" spans="1:2" x14ac:dyDescent="0.25">
      <c r="A27839"/>
      <c r="B27839"/>
    </row>
    <row r="27840" spans="1:2" x14ac:dyDescent="0.25">
      <c r="A27840"/>
      <c r="B27840"/>
    </row>
    <row r="27841" spans="1:2" x14ac:dyDescent="0.25">
      <c r="A27841"/>
      <c r="B27841"/>
    </row>
    <row r="27842" spans="1:2" x14ac:dyDescent="0.25">
      <c r="A27842"/>
      <c r="B27842"/>
    </row>
    <row r="27843" spans="1:2" x14ac:dyDescent="0.25">
      <c r="A27843"/>
      <c r="B27843"/>
    </row>
    <row r="27844" spans="1:2" x14ac:dyDescent="0.25">
      <c r="A27844"/>
      <c r="B27844"/>
    </row>
    <row r="27845" spans="1:2" x14ac:dyDescent="0.25">
      <c r="A27845"/>
      <c r="B27845"/>
    </row>
    <row r="27846" spans="1:2" x14ac:dyDescent="0.25">
      <c r="A27846"/>
      <c r="B27846"/>
    </row>
    <row r="27847" spans="1:2" x14ac:dyDescent="0.25">
      <c r="A27847"/>
      <c r="B27847"/>
    </row>
    <row r="27848" spans="1:2" x14ac:dyDescent="0.25">
      <c r="A27848"/>
      <c r="B27848"/>
    </row>
    <row r="27849" spans="1:2" x14ac:dyDescent="0.25">
      <c r="A27849"/>
      <c r="B27849"/>
    </row>
    <row r="27850" spans="1:2" x14ac:dyDescent="0.25">
      <c r="A27850"/>
      <c r="B27850"/>
    </row>
    <row r="27851" spans="1:2" x14ac:dyDescent="0.25">
      <c r="A27851"/>
      <c r="B27851"/>
    </row>
    <row r="27852" spans="1:2" x14ac:dyDescent="0.25">
      <c r="A27852"/>
      <c r="B27852"/>
    </row>
    <row r="27853" spans="1:2" x14ac:dyDescent="0.25">
      <c r="A27853"/>
      <c r="B27853"/>
    </row>
    <row r="27854" spans="1:2" x14ac:dyDescent="0.25">
      <c r="A27854"/>
      <c r="B27854"/>
    </row>
    <row r="27855" spans="1:2" x14ac:dyDescent="0.25">
      <c r="A27855"/>
      <c r="B27855"/>
    </row>
    <row r="27856" spans="1:2" x14ac:dyDescent="0.25">
      <c r="A27856"/>
      <c r="B27856"/>
    </row>
    <row r="27857" spans="1:2" x14ac:dyDescent="0.25">
      <c r="A27857"/>
      <c r="B27857"/>
    </row>
    <row r="27858" spans="1:2" x14ac:dyDescent="0.25">
      <c r="A27858"/>
      <c r="B27858"/>
    </row>
    <row r="27859" spans="1:2" x14ac:dyDescent="0.25">
      <c r="A27859"/>
      <c r="B27859"/>
    </row>
    <row r="27860" spans="1:2" x14ac:dyDescent="0.25">
      <c r="A27860"/>
      <c r="B27860"/>
    </row>
    <row r="27861" spans="1:2" x14ac:dyDescent="0.25">
      <c r="A27861"/>
      <c r="B27861"/>
    </row>
    <row r="27862" spans="1:2" x14ac:dyDescent="0.25">
      <c r="A27862"/>
      <c r="B27862"/>
    </row>
    <row r="27863" spans="1:2" x14ac:dyDescent="0.25">
      <c r="A27863"/>
      <c r="B27863"/>
    </row>
    <row r="27864" spans="1:2" x14ac:dyDescent="0.25">
      <c r="A27864"/>
      <c r="B27864"/>
    </row>
    <row r="27865" spans="1:2" x14ac:dyDescent="0.25">
      <c r="A27865"/>
      <c r="B27865"/>
    </row>
    <row r="27866" spans="1:2" x14ac:dyDescent="0.25">
      <c r="A27866"/>
      <c r="B27866"/>
    </row>
    <row r="27867" spans="1:2" x14ac:dyDescent="0.25">
      <c r="A27867"/>
      <c r="B27867"/>
    </row>
    <row r="27868" spans="1:2" x14ac:dyDescent="0.25">
      <c r="A27868"/>
      <c r="B27868"/>
    </row>
    <row r="27869" spans="1:2" x14ac:dyDescent="0.25">
      <c r="A27869"/>
      <c r="B27869"/>
    </row>
    <row r="27870" spans="1:2" x14ac:dyDescent="0.25">
      <c r="A27870"/>
      <c r="B27870"/>
    </row>
    <row r="27871" spans="1:2" x14ac:dyDescent="0.25">
      <c r="A27871"/>
      <c r="B27871"/>
    </row>
    <row r="27872" spans="1:2" x14ac:dyDescent="0.25">
      <c r="A27872"/>
      <c r="B27872"/>
    </row>
    <row r="27873" spans="1:2" x14ac:dyDescent="0.25">
      <c r="A27873"/>
      <c r="B27873"/>
    </row>
    <row r="27874" spans="1:2" x14ac:dyDescent="0.25">
      <c r="A27874"/>
      <c r="B27874"/>
    </row>
    <row r="27875" spans="1:2" x14ac:dyDescent="0.25">
      <c r="A27875"/>
      <c r="B27875"/>
    </row>
    <row r="27876" spans="1:2" x14ac:dyDescent="0.25">
      <c r="A27876"/>
      <c r="B27876"/>
    </row>
    <row r="27877" spans="1:2" x14ac:dyDescent="0.25">
      <c r="A27877"/>
      <c r="B27877"/>
    </row>
    <row r="27878" spans="1:2" x14ac:dyDescent="0.25">
      <c r="A27878"/>
      <c r="B27878"/>
    </row>
    <row r="27879" spans="1:2" x14ac:dyDescent="0.25">
      <c r="A27879"/>
      <c r="B27879"/>
    </row>
    <row r="27880" spans="1:2" x14ac:dyDescent="0.25">
      <c r="A27880"/>
      <c r="B27880"/>
    </row>
    <row r="27881" spans="1:2" x14ac:dyDescent="0.25">
      <c r="A27881"/>
      <c r="B27881"/>
    </row>
    <row r="27882" spans="1:2" x14ac:dyDescent="0.25">
      <c r="A27882"/>
      <c r="B27882"/>
    </row>
    <row r="27883" spans="1:2" x14ac:dyDescent="0.25">
      <c r="A27883"/>
      <c r="B27883"/>
    </row>
    <row r="27884" spans="1:2" x14ac:dyDescent="0.25">
      <c r="A27884"/>
      <c r="B27884"/>
    </row>
    <row r="27885" spans="1:2" x14ac:dyDescent="0.25">
      <c r="A27885"/>
      <c r="B27885"/>
    </row>
    <row r="27886" spans="1:2" x14ac:dyDescent="0.25">
      <c r="A27886"/>
      <c r="B27886"/>
    </row>
    <row r="27887" spans="1:2" x14ac:dyDescent="0.25">
      <c r="A27887"/>
      <c r="B27887"/>
    </row>
    <row r="27888" spans="1:2" x14ac:dyDescent="0.25">
      <c r="A27888"/>
      <c r="B27888"/>
    </row>
    <row r="27889" spans="1:2" x14ac:dyDescent="0.25">
      <c r="A27889"/>
      <c r="B27889"/>
    </row>
    <row r="27890" spans="1:2" x14ac:dyDescent="0.25">
      <c r="A27890"/>
      <c r="B27890"/>
    </row>
    <row r="27891" spans="1:2" x14ac:dyDescent="0.25">
      <c r="A27891"/>
      <c r="B27891"/>
    </row>
    <row r="27892" spans="1:2" x14ac:dyDescent="0.25">
      <c r="A27892"/>
      <c r="B27892"/>
    </row>
    <row r="27893" spans="1:2" x14ac:dyDescent="0.25">
      <c r="A27893"/>
      <c r="B27893"/>
    </row>
    <row r="27894" spans="1:2" x14ac:dyDescent="0.25">
      <c r="A27894"/>
      <c r="B27894"/>
    </row>
    <row r="27895" spans="1:2" x14ac:dyDescent="0.25">
      <c r="A27895"/>
      <c r="B27895"/>
    </row>
    <row r="27896" spans="1:2" x14ac:dyDescent="0.25">
      <c r="A27896"/>
      <c r="B27896"/>
    </row>
    <row r="27897" spans="1:2" x14ac:dyDescent="0.25">
      <c r="A27897"/>
      <c r="B27897"/>
    </row>
    <row r="27898" spans="1:2" x14ac:dyDescent="0.25">
      <c r="A27898"/>
      <c r="B27898"/>
    </row>
    <row r="27899" spans="1:2" x14ac:dyDescent="0.25">
      <c r="A27899"/>
      <c r="B27899"/>
    </row>
    <row r="27900" spans="1:2" x14ac:dyDescent="0.25">
      <c r="A27900"/>
      <c r="B27900"/>
    </row>
    <row r="27901" spans="1:2" x14ac:dyDescent="0.25">
      <c r="A27901"/>
      <c r="B27901"/>
    </row>
    <row r="27902" spans="1:2" x14ac:dyDescent="0.25">
      <c r="A27902"/>
      <c r="B27902"/>
    </row>
    <row r="27903" spans="1:2" x14ac:dyDescent="0.25">
      <c r="A27903"/>
      <c r="B27903"/>
    </row>
    <row r="27904" spans="1:2" x14ac:dyDescent="0.25">
      <c r="A27904"/>
      <c r="B27904"/>
    </row>
    <row r="27905" spans="1:2" x14ac:dyDescent="0.25">
      <c r="A27905"/>
      <c r="B27905"/>
    </row>
    <row r="27906" spans="1:2" x14ac:dyDescent="0.25">
      <c r="A27906"/>
      <c r="B27906"/>
    </row>
    <row r="27907" spans="1:2" x14ac:dyDescent="0.25">
      <c r="A27907"/>
      <c r="B27907"/>
    </row>
    <row r="27908" spans="1:2" x14ac:dyDescent="0.25">
      <c r="A27908"/>
      <c r="B27908"/>
    </row>
    <row r="27909" spans="1:2" x14ac:dyDescent="0.25">
      <c r="A27909"/>
      <c r="B27909"/>
    </row>
    <row r="27910" spans="1:2" x14ac:dyDescent="0.25">
      <c r="A27910"/>
      <c r="B27910"/>
    </row>
    <row r="27911" spans="1:2" x14ac:dyDescent="0.25">
      <c r="A27911"/>
      <c r="B27911"/>
    </row>
    <row r="27912" spans="1:2" x14ac:dyDescent="0.25">
      <c r="A27912"/>
      <c r="B27912"/>
    </row>
    <row r="27913" spans="1:2" x14ac:dyDescent="0.25">
      <c r="A27913"/>
      <c r="B27913"/>
    </row>
    <row r="27914" spans="1:2" x14ac:dyDescent="0.25">
      <c r="A27914"/>
      <c r="B27914"/>
    </row>
    <row r="27915" spans="1:2" x14ac:dyDescent="0.25">
      <c r="A27915"/>
      <c r="B27915"/>
    </row>
    <row r="27916" spans="1:2" x14ac:dyDescent="0.25">
      <c r="A27916"/>
      <c r="B27916"/>
    </row>
    <row r="27917" spans="1:2" x14ac:dyDescent="0.25">
      <c r="A27917"/>
      <c r="B27917"/>
    </row>
    <row r="27918" spans="1:2" x14ac:dyDescent="0.25">
      <c r="A27918"/>
      <c r="B27918"/>
    </row>
    <row r="27919" spans="1:2" x14ac:dyDescent="0.25">
      <c r="A27919"/>
      <c r="B27919"/>
    </row>
    <row r="27920" spans="1:2" x14ac:dyDescent="0.25">
      <c r="A27920"/>
      <c r="B27920"/>
    </row>
    <row r="27921" spans="1:2" x14ac:dyDescent="0.25">
      <c r="A27921"/>
      <c r="B27921"/>
    </row>
    <row r="27922" spans="1:2" x14ac:dyDescent="0.25">
      <c r="A27922"/>
      <c r="B27922"/>
    </row>
    <row r="27923" spans="1:2" x14ac:dyDescent="0.25">
      <c r="A27923"/>
      <c r="B27923"/>
    </row>
    <row r="27924" spans="1:2" x14ac:dyDescent="0.25">
      <c r="A27924"/>
      <c r="B27924"/>
    </row>
    <row r="27925" spans="1:2" x14ac:dyDescent="0.25">
      <c r="A27925"/>
      <c r="B27925"/>
    </row>
    <row r="27926" spans="1:2" x14ac:dyDescent="0.25">
      <c r="A27926"/>
      <c r="B27926"/>
    </row>
    <row r="27927" spans="1:2" x14ac:dyDescent="0.25">
      <c r="A27927"/>
      <c r="B27927"/>
    </row>
    <row r="27928" spans="1:2" x14ac:dyDescent="0.25">
      <c r="A27928"/>
      <c r="B27928"/>
    </row>
    <row r="27929" spans="1:2" x14ac:dyDescent="0.25">
      <c r="A27929"/>
      <c r="B27929"/>
    </row>
    <row r="27930" spans="1:2" x14ac:dyDescent="0.25">
      <c r="A27930"/>
      <c r="B27930"/>
    </row>
    <row r="27931" spans="1:2" x14ac:dyDescent="0.25">
      <c r="A27931"/>
      <c r="B27931"/>
    </row>
    <row r="27932" spans="1:2" x14ac:dyDescent="0.25">
      <c r="A27932"/>
      <c r="B27932"/>
    </row>
    <row r="27933" spans="1:2" x14ac:dyDescent="0.25">
      <c r="A27933"/>
      <c r="B27933"/>
    </row>
    <row r="27934" spans="1:2" x14ac:dyDescent="0.25">
      <c r="A27934"/>
      <c r="B27934"/>
    </row>
    <row r="27935" spans="1:2" x14ac:dyDescent="0.25">
      <c r="A27935"/>
      <c r="B27935"/>
    </row>
    <row r="27936" spans="1:2" x14ac:dyDescent="0.25">
      <c r="A27936"/>
      <c r="B27936"/>
    </row>
    <row r="27937" spans="1:2" x14ac:dyDescent="0.25">
      <c r="A27937"/>
      <c r="B27937"/>
    </row>
    <row r="27938" spans="1:2" x14ac:dyDescent="0.25">
      <c r="A27938"/>
      <c r="B27938"/>
    </row>
    <row r="27939" spans="1:2" x14ac:dyDescent="0.25">
      <c r="A27939"/>
      <c r="B27939"/>
    </row>
    <row r="27940" spans="1:2" x14ac:dyDescent="0.25">
      <c r="A27940"/>
      <c r="B27940"/>
    </row>
    <row r="27941" spans="1:2" x14ac:dyDescent="0.25">
      <c r="A27941"/>
      <c r="B27941"/>
    </row>
    <row r="27942" spans="1:2" x14ac:dyDescent="0.25">
      <c r="A27942"/>
      <c r="B27942"/>
    </row>
    <row r="27943" spans="1:2" x14ac:dyDescent="0.25">
      <c r="A27943"/>
      <c r="B27943"/>
    </row>
    <row r="27944" spans="1:2" x14ac:dyDescent="0.25">
      <c r="A27944"/>
      <c r="B27944"/>
    </row>
    <row r="27945" spans="1:2" x14ac:dyDescent="0.25">
      <c r="A27945"/>
      <c r="B27945"/>
    </row>
    <row r="27946" spans="1:2" x14ac:dyDescent="0.25">
      <c r="A27946"/>
      <c r="B27946"/>
    </row>
    <row r="27947" spans="1:2" x14ac:dyDescent="0.25">
      <c r="A27947"/>
      <c r="B27947"/>
    </row>
    <row r="27948" spans="1:2" x14ac:dyDescent="0.25">
      <c r="A27948"/>
      <c r="B27948"/>
    </row>
    <row r="27949" spans="1:2" x14ac:dyDescent="0.25">
      <c r="A27949"/>
      <c r="B27949"/>
    </row>
    <row r="27950" spans="1:2" x14ac:dyDescent="0.25">
      <c r="A27950"/>
      <c r="B27950"/>
    </row>
    <row r="27951" spans="1:2" x14ac:dyDescent="0.25">
      <c r="A27951"/>
      <c r="B27951"/>
    </row>
    <row r="27952" spans="1:2" x14ac:dyDescent="0.25">
      <c r="A27952"/>
      <c r="B27952"/>
    </row>
    <row r="27953" spans="1:2" x14ac:dyDescent="0.25">
      <c r="A27953"/>
      <c r="B27953"/>
    </row>
    <row r="27954" spans="1:2" x14ac:dyDescent="0.25">
      <c r="A27954"/>
      <c r="B27954"/>
    </row>
    <row r="27955" spans="1:2" x14ac:dyDescent="0.25">
      <c r="A27955"/>
      <c r="B27955"/>
    </row>
    <row r="27956" spans="1:2" x14ac:dyDescent="0.25">
      <c r="A27956"/>
      <c r="B27956"/>
    </row>
    <row r="27957" spans="1:2" x14ac:dyDescent="0.25">
      <c r="A27957"/>
      <c r="B27957"/>
    </row>
    <row r="27958" spans="1:2" x14ac:dyDescent="0.25">
      <c r="A27958"/>
      <c r="B27958"/>
    </row>
    <row r="27959" spans="1:2" x14ac:dyDescent="0.25">
      <c r="A27959"/>
      <c r="B27959"/>
    </row>
    <row r="27960" spans="1:2" x14ac:dyDescent="0.25">
      <c r="A27960"/>
      <c r="B27960"/>
    </row>
    <row r="27961" spans="1:2" x14ac:dyDescent="0.25">
      <c r="A27961"/>
      <c r="B27961"/>
    </row>
    <row r="27962" spans="1:2" x14ac:dyDescent="0.25">
      <c r="A27962"/>
      <c r="B27962"/>
    </row>
    <row r="27963" spans="1:2" x14ac:dyDescent="0.25">
      <c r="A27963"/>
      <c r="B27963"/>
    </row>
    <row r="27964" spans="1:2" x14ac:dyDescent="0.25">
      <c r="A27964"/>
      <c r="B27964"/>
    </row>
    <row r="27965" spans="1:2" x14ac:dyDescent="0.25">
      <c r="A27965"/>
      <c r="B27965"/>
    </row>
    <row r="27966" spans="1:2" x14ac:dyDescent="0.25">
      <c r="A27966"/>
      <c r="B27966"/>
    </row>
    <row r="27967" spans="1:2" x14ac:dyDescent="0.25">
      <c r="A27967"/>
      <c r="B27967"/>
    </row>
    <row r="27968" spans="1:2" x14ac:dyDescent="0.25">
      <c r="A27968"/>
      <c r="B27968"/>
    </row>
    <row r="27969" spans="1:2" x14ac:dyDescent="0.25">
      <c r="A27969"/>
      <c r="B27969"/>
    </row>
    <row r="27970" spans="1:2" x14ac:dyDescent="0.25">
      <c r="A27970"/>
      <c r="B27970"/>
    </row>
    <row r="27971" spans="1:2" x14ac:dyDescent="0.25">
      <c r="A27971"/>
      <c r="B27971"/>
    </row>
    <row r="27972" spans="1:2" x14ac:dyDescent="0.25">
      <c r="A27972"/>
      <c r="B27972"/>
    </row>
    <row r="27973" spans="1:2" x14ac:dyDescent="0.25">
      <c r="A27973"/>
      <c r="B27973"/>
    </row>
    <row r="27974" spans="1:2" x14ac:dyDescent="0.25">
      <c r="A27974"/>
      <c r="B27974"/>
    </row>
    <row r="27975" spans="1:2" x14ac:dyDescent="0.25">
      <c r="A27975"/>
      <c r="B27975"/>
    </row>
    <row r="27976" spans="1:2" x14ac:dyDescent="0.25">
      <c r="A27976"/>
      <c r="B27976"/>
    </row>
    <row r="27977" spans="1:2" x14ac:dyDescent="0.25">
      <c r="A27977"/>
      <c r="B27977"/>
    </row>
    <row r="27978" spans="1:2" x14ac:dyDescent="0.25">
      <c r="A27978"/>
      <c r="B27978"/>
    </row>
    <row r="27979" spans="1:2" x14ac:dyDescent="0.25">
      <c r="A27979"/>
      <c r="B27979"/>
    </row>
    <row r="27980" spans="1:2" x14ac:dyDescent="0.25">
      <c r="A27980"/>
      <c r="B27980"/>
    </row>
    <row r="27981" spans="1:2" x14ac:dyDescent="0.25">
      <c r="A27981"/>
      <c r="B27981"/>
    </row>
    <row r="27982" spans="1:2" x14ac:dyDescent="0.25">
      <c r="A27982"/>
      <c r="B27982"/>
    </row>
    <row r="27983" spans="1:2" x14ac:dyDescent="0.25">
      <c r="A27983"/>
      <c r="B27983"/>
    </row>
    <row r="27984" spans="1:2" x14ac:dyDescent="0.25">
      <c r="A27984"/>
      <c r="B27984"/>
    </row>
    <row r="27985" spans="1:2" x14ac:dyDescent="0.25">
      <c r="A27985"/>
      <c r="B27985"/>
    </row>
    <row r="27986" spans="1:2" x14ac:dyDescent="0.25">
      <c r="A27986"/>
      <c r="B27986"/>
    </row>
    <row r="27987" spans="1:2" x14ac:dyDescent="0.25">
      <c r="A27987"/>
      <c r="B27987"/>
    </row>
    <row r="27988" spans="1:2" x14ac:dyDescent="0.25">
      <c r="A27988"/>
      <c r="B27988"/>
    </row>
    <row r="27989" spans="1:2" x14ac:dyDescent="0.25">
      <c r="A27989"/>
      <c r="B27989"/>
    </row>
    <row r="27990" spans="1:2" x14ac:dyDescent="0.25">
      <c r="A27990"/>
      <c r="B27990"/>
    </row>
    <row r="27991" spans="1:2" x14ac:dyDescent="0.25">
      <c r="A27991"/>
      <c r="B27991"/>
    </row>
    <row r="27992" spans="1:2" x14ac:dyDescent="0.25">
      <c r="A27992"/>
      <c r="B27992"/>
    </row>
    <row r="27993" spans="1:2" x14ac:dyDescent="0.25">
      <c r="A27993"/>
      <c r="B27993"/>
    </row>
    <row r="27994" spans="1:2" x14ac:dyDescent="0.25">
      <c r="A27994"/>
      <c r="B27994"/>
    </row>
    <row r="27995" spans="1:2" x14ac:dyDescent="0.25">
      <c r="A27995"/>
      <c r="B27995"/>
    </row>
    <row r="27996" spans="1:2" x14ac:dyDescent="0.25">
      <c r="A27996"/>
      <c r="B27996"/>
    </row>
    <row r="27997" spans="1:2" x14ac:dyDescent="0.25">
      <c r="A27997"/>
      <c r="B27997"/>
    </row>
    <row r="27998" spans="1:2" x14ac:dyDescent="0.25">
      <c r="A27998"/>
      <c r="B27998"/>
    </row>
    <row r="27999" spans="1:2" x14ac:dyDescent="0.25">
      <c r="A27999"/>
      <c r="B27999"/>
    </row>
    <row r="28000" spans="1:2" x14ac:dyDescent="0.25">
      <c r="A28000"/>
      <c r="B28000"/>
    </row>
    <row r="28001" spans="1:2" x14ac:dyDescent="0.25">
      <c r="A28001"/>
      <c r="B28001"/>
    </row>
    <row r="28002" spans="1:2" x14ac:dyDescent="0.25">
      <c r="A28002"/>
      <c r="B28002"/>
    </row>
    <row r="28003" spans="1:2" x14ac:dyDescent="0.25">
      <c r="A28003"/>
      <c r="B28003"/>
    </row>
    <row r="28004" spans="1:2" x14ac:dyDescent="0.25">
      <c r="A28004"/>
      <c r="B28004"/>
    </row>
    <row r="28005" spans="1:2" x14ac:dyDescent="0.25">
      <c r="A28005"/>
      <c r="B28005"/>
    </row>
    <row r="28006" spans="1:2" x14ac:dyDescent="0.25">
      <c r="A28006"/>
      <c r="B28006"/>
    </row>
    <row r="28007" spans="1:2" x14ac:dyDescent="0.25">
      <c r="A28007"/>
      <c r="B28007"/>
    </row>
    <row r="28008" spans="1:2" x14ac:dyDescent="0.25">
      <c r="A28008"/>
      <c r="B28008"/>
    </row>
    <row r="28009" spans="1:2" x14ac:dyDescent="0.25">
      <c r="A28009"/>
      <c r="B28009"/>
    </row>
    <row r="28010" spans="1:2" x14ac:dyDescent="0.25">
      <c r="A28010"/>
      <c r="B28010"/>
    </row>
    <row r="28011" spans="1:2" x14ac:dyDescent="0.25">
      <c r="A28011"/>
      <c r="B28011"/>
    </row>
    <row r="28012" spans="1:2" x14ac:dyDescent="0.25">
      <c r="A28012"/>
      <c r="B28012"/>
    </row>
    <row r="28013" spans="1:2" x14ac:dyDescent="0.25">
      <c r="A28013"/>
      <c r="B28013"/>
    </row>
    <row r="28014" spans="1:2" x14ac:dyDescent="0.25">
      <c r="A28014"/>
      <c r="B28014"/>
    </row>
    <row r="28015" spans="1:2" x14ac:dyDescent="0.25">
      <c r="A28015"/>
      <c r="B28015"/>
    </row>
    <row r="28016" spans="1:2" x14ac:dyDescent="0.25">
      <c r="A28016"/>
      <c r="B28016"/>
    </row>
    <row r="28017" spans="1:2" x14ac:dyDescent="0.25">
      <c r="A28017"/>
      <c r="B28017"/>
    </row>
    <row r="28018" spans="1:2" x14ac:dyDescent="0.25">
      <c r="A28018"/>
      <c r="B28018"/>
    </row>
    <row r="28019" spans="1:2" x14ac:dyDescent="0.25">
      <c r="A28019"/>
      <c r="B28019"/>
    </row>
    <row r="28020" spans="1:2" x14ac:dyDescent="0.25">
      <c r="A28020"/>
      <c r="B28020"/>
    </row>
    <row r="28021" spans="1:2" x14ac:dyDescent="0.25">
      <c r="A28021"/>
      <c r="B28021"/>
    </row>
    <row r="28022" spans="1:2" x14ac:dyDescent="0.25">
      <c r="A28022"/>
      <c r="B28022"/>
    </row>
    <row r="28023" spans="1:2" x14ac:dyDescent="0.25">
      <c r="A28023"/>
      <c r="B28023"/>
    </row>
    <row r="28024" spans="1:2" x14ac:dyDescent="0.25">
      <c r="A28024"/>
      <c r="B28024"/>
    </row>
    <row r="28025" spans="1:2" x14ac:dyDescent="0.25">
      <c r="A28025"/>
      <c r="B28025"/>
    </row>
    <row r="28026" spans="1:2" x14ac:dyDescent="0.25">
      <c r="A28026"/>
      <c r="B28026"/>
    </row>
    <row r="28027" spans="1:2" x14ac:dyDescent="0.25">
      <c r="A28027"/>
      <c r="B28027"/>
    </row>
    <row r="28028" spans="1:2" x14ac:dyDescent="0.25">
      <c r="A28028"/>
      <c r="B28028"/>
    </row>
    <row r="28029" spans="1:2" x14ac:dyDescent="0.25">
      <c r="A28029"/>
      <c r="B28029"/>
    </row>
    <row r="28030" spans="1:2" x14ac:dyDescent="0.25">
      <c r="A28030"/>
      <c r="B28030"/>
    </row>
    <row r="28031" spans="1:2" x14ac:dyDescent="0.25">
      <c r="A28031"/>
      <c r="B28031"/>
    </row>
    <row r="28032" spans="1:2" x14ac:dyDescent="0.25">
      <c r="A28032"/>
      <c r="B28032"/>
    </row>
    <row r="28033" spans="1:2" x14ac:dyDescent="0.25">
      <c r="A28033"/>
      <c r="B28033"/>
    </row>
    <row r="28034" spans="1:2" x14ac:dyDescent="0.25">
      <c r="A28034"/>
      <c r="B28034"/>
    </row>
    <row r="28035" spans="1:2" x14ac:dyDescent="0.25">
      <c r="A28035"/>
      <c r="B28035"/>
    </row>
    <row r="28036" spans="1:2" x14ac:dyDescent="0.25">
      <c r="A28036"/>
      <c r="B28036"/>
    </row>
    <row r="28037" spans="1:2" x14ac:dyDescent="0.25">
      <c r="A28037"/>
      <c r="B28037"/>
    </row>
    <row r="28038" spans="1:2" x14ac:dyDescent="0.25">
      <c r="A28038"/>
      <c r="B28038"/>
    </row>
    <row r="28039" spans="1:2" x14ac:dyDescent="0.25">
      <c r="A28039"/>
      <c r="B28039"/>
    </row>
    <row r="28040" spans="1:2" x14ac:dyDescent="0.25">
      <c r="A28040"/>
      <c r="B28040"/>
    </row>
    <row r="28041" spans="1:2" x14ac:dyDescent="0.25">
      <c r="A28041"/>
      <c r="B28041"/>
    </row>
    <row r="28042" spans="1:2" x14ac:dyDescent="0.25">
      <c r="A28042"/>
      <c r="B28042"/>
    </row>
    <row r="28043" spans="1:2" x14ac:dyDescent="0.25">
      <c r="A28043"/>
      <c r="B28043"/>
    </row>
    <row r="28044" spans="1:2" x14ac:dyDescent="0.25">
      <c r="A28044"/>
      <c r="B28044"/>
    </row>
    <row r="28045" spans="1:2" x14ac:dyDescent="0.25">
      <c r="A28045"/>
      <c r="B28045"/>
    </row>
    <row r="28046" spans="1:2" x14ac:dyDescent="0.25">
      <c r="A28046"/>
      <c r="B28046"/>
    </row>
    <row r="28047" spans="1:2" x14ac:dyDescent="0.25">
      <c r="A28047"/>
      <c r="B28047"/>
    </row>
    <row r="28048" spans="1:2" x14ac:dyDescent="0.25">
      <c r="A28048"/>
      <c r="B28048"/>
    </row>
    <row r="28049" spans="1:2" x14ac:dyDescent="0.25">
      <c r="A28049"/>
      <c r="B28049"/>
    </row>
    <row r="28050" spans="1:2" x14ac:dyDescent="0.25">
      <c r="A28050"/>
      <c r="B28050"/>
    </row>
    <row r="28051" spans="1:2" x14ac:dyDescent="0.25">
      <c r="A28051"/>
      <c r="B28051"/>
    </row>
    <row r="28052" spans="1:2" x14ac:dyDescent="0.25">
      <c r="A28052"/>
      <c r="B28052"/>
    </row>
    <row r="28053" spans="1:2" x14ac:dyDescent="0.25">
      <c r="A28053"/>
      <c r="B28053"/>
    </row>
    <row r="28054" spans="1:2" x14ac:dyDescent="0.25">
      <c r="A28054"/>
      <c r="B28054"/>
    </row>
    <row r="28055" spans="1:2" x14ac:dyDescent="0.25">
      <c r="A28055"/>
      <c r="B28055"/>
    </row>
    <row r="28056" spans="1:2" x14ac:dyDescent="0.25">
      <c r="A28056"/>
      <c r="B28056"/>
    </row>
    <row r="28057" spans="1:2" x14ac:dyDescent="0.25">
      <c r="A28057"/>
      <c r="B28057"/>
    </row>
    <row r="28058" spans="1:2" x14ac:dyDescent="0.25">
      <c r="A28058"/>
      <c r="B28058"/>
    </row>
    <row r="28059" spans="1:2" x14ac:dyDescent="0.25">
      <c r="A28059"/>
      <c r="B28059"/>
    </row>
    <row r="28060" spans="1:2" x14ac:dyDescent="0.25">
      <c r="A28060"/>
      <c r="B28060"/>
    </row>
    <row r="28061" spans="1:2" x14ac:dyDescent="0.25">
      <c r="A28061"/>
      <c r="B28061"/>
    </row>
    <row r="28062" spans="1:2" x14ac:dyDescent="0.25">
      <c r="A28062"/>
      <c r="B28062"/>
    </row>
    <row r="28063" spans="1:2" x14ac:dyDescent="0.25">
      <c r="A28063"/>
      <c r="B28063"/>
    </row>
    <row r="28064" spans="1:2" x14ac:dyDescent="0.25">
      <c r="A28064"/>
      <c r="B28064"/>
    </row>
    <row r="28065" spans="1:2" x14ac:dyDescent="0.25">
      <c r="A28065"/>
      <c r="B28065"/>
    </row>
    <row r="28066" spans="1:2" x14ac:dyDescent="0.25">
      <c r="A28066"/>
      <c r="B28066"/>
    </row>
    <row r="28067" spans="1:2" x14ac:dyDescent="0.25">
      <c r="A28067"/>
      <c r="B28067"/>
    </row>
    <row r="28068" spans="1:2" x14ac:dyDescent="0.25">
      <c r="A28068"/>
      <c r="B28068"/>
    </row>
    <row r="28069" spans="1:2" x14ac:dyDescent="0.25">
      <c r="A28069"/>
      <c r="B28069"/>
    </row>
    <row r="28070" spans="1:2" x14ac:dyDescent="0.25">
      <c r="A28070"/>
      <c r="B28070"/>
    </row>
    <row r="28071" spans="1:2" x14ac:dyDescent="0.25">
      <c r="A28071"/>
      <c r="B28071"/>
    </row>
    <row r="28072" spans="1:2" x14ac:dyDescent="0.25">
      <c r="A28072"/>
      <c r="B28072"/>
    </row>
    <row r="28073" spans="1:2" x14ac:dyDescent="0.25">
      <c r="A28073"/>
      <c r="B28073"/>
    </row>
    <row r="28074" spans="1:2" x14ac:dyDescent="0.25">
      <c r="A28074"/>
      <c r="B28074"/>
    </row>
    <row r="28075" spans="1:2" x14ac:dyDescent="0.25">
      <c r="A28075"/>
      <c r="B28075"/>
    </row>
    <row r="28076" spans="1:2" x14ac:dyDescent="0.25">
      <c r="A28076"/>
      <c r="B28076"/>
    </row>
    <row r="28077" spans="1:2" x14ac:dyDescent="0.25">
      <c r="A28077"/>
      <c r="B28077"/>
    </row>
    <row r="28078" spans="1:2" x14ac:dyDescent="0.25">
      <c r="A28078"/>
      <c r="B28078"/>
    </row>
    <row r="28079" spans="1:2" x14ac:dyDescent="0.25">
      <c r="A28079"/>
      <c r="B28079"/>
    </row>
    <row r="28080" spans="1:2" x14ac:dyDescent="0.25">
      <c r="A28080"/>
      <c r="B28080"/>
    </row>
    <row r="28081" spans="1:2" x14ac:dyDescent="0.25">
      <c r="A28081"/>
      <c r="B28081"/>
    </row>
    <row r="28082" spans="1:2" x14ac:dyDescent="0.25">
      <c r="A28082"/>
      <c r="B28082"/>
    </row>
    <row r="28083" spans="1:2" x14ac:dyDescent="0.25">
      <c r="A28083"/>
      <c r="B28083"/>
    </row>
    <row r="28084" spans="1:2" x14ac:dyDescent="0.25">
      <c r="A28084"/>
      <c r="B28084"/>
    </row>
    <row r="28085" spans="1:2" x14ac:dyDescent="0.25">
      <c r="A28085"/>
      <c r="B28085"/>
    </row>
    <row r="28086" spans="1:2" x14ac:dyDescent="0.25">
      <c r="A28086"/>
      <c r="B28086"/>
    </row>
    <row r="28087" spans="1:2" x14ac:dyDescent="0.25">
      <c r="A28087"/>
      <c r="B28087"/>
    </row>
    <row r="28088" spans="1:2" x14ac:dyDescent="0.25">
      <c r="A28088"/>
      <c r="B28088"/>
    </row>
    <row r="28089" spans="1:2" x14ac:dyDescent="0.25">
      <c r="A28089"/>
      <c r="B28089"/>
    </row>
    <row r="28090" spans="1:2" x14ac:dyDescent="0.25">
      <c r="A28090"/>
      <c r="B28090"/>
    </row>
    <row r="28091" spans="1:2" x14ac:dyDescent="0.25">
      <c r="A28091"/>
      <c r="B28091"/>
    </row>
    <row r="28092" spans="1:2" x14ac:dyDescent="0.25">
      <c r="A28092"/>
      <c r="B28092"/>
    </row>
    <row r="28093" spans="1:2" x14ac:dyDescent="0.25">
      <c r="A28093"/>
      <c r="B28093"/>
    </row>
    <row r="28094" spans="1:2" x14ac:dyDescent="0.25">
      <c r="A28094"/>
      <c r="B28094"/>
    </row>
    <row r="28095" spans="1:2" x14ac:dyDescent="0.25">
      <c r="A28095"/>
      <c r="B28095"/>
    </row>
    <row r="28096" spans="1:2" x14ac:dyDescent="0.25">
      <c r="A28096"/>
      <c r="B28096"/>
    </row>
    <row r="28097" spans="1:2" x14ac:dyDescent="0.25">
      <c r="A28097"/>
      <c r="B28097"/>
    </row>
    <row r="28098" spans="1:2" x14ac:dyDescent="0.25">
      <c r="A28098"/>
      <c r="B28098"/>
    </row>
    <row r="28099" spans="1:2" x14ac:dyDescent="0.25">
      <c r="A28099"/>
      <c r="B28099"/>
    </row>
    <row r="28100" spans="1:2" x14ac:dyDescent="0.25">
      <c r="A28100"/>
      <c r="B28100"/>
    </row>
    <row r="28101" spans="1:2" x14ac:dyDescent="0.25">
      <c r="A28101"/>
      <c r="B28101"/>
    </row>
    <row r="28102" spans="1:2" x14ac:dyDescent="0.25">
      <c r="A28102"/>
      <c r="B28102"/>
    </row>
    <row r="28103" spans="1:2" x14ac:dyDescent="0.25">
      <c r="A28103"/>
      <c r="B28103"/>
    </row>
    <row r="28104" spans="1:2" x14ac:dyDescent="0.25">
      <c r="A28104"/>
      <c r="B28104"/>
    </row>
    <row r="28105" spans="1:2" x14ac:dyDescent="0.25">
      <c r="A28105"/>
      <c r="B28105"/>
    </row>
    <row r="28106" spans="1:2" x14ac:dyDescent="0.25">
      <c r="A28106"/>
      <c r="B28106"/>
    </row>
    <row r="28107" spans="1:2" x14ac:dyDescent="0.25">
      <c r="A28107"/>
      <c r="B28107"/>
    </row>
    <row r="28108" spans="1:2" x14ac:dyDescent="0.25">
      <c r="A28108"/>
      <c r="B28108"/>
    </row>
    <row r="28109" spans="1:2" x14ac:dyDescent="0.25">
      <c r="A28109"/>
      <c r="B28109"/>
    </row>
    <row r="28110" spans="1:2" x14ac:dyDescent="0.25">
      <c r="A28110"/>
      <c r="B28110"/>
    </row>
    <row r="28111" spans="1:2" x14ac:dyDescent="0.25">
      <c r="A28111"/>
      <c r="B28111"/>
    </row>
    <row r="28112" spans="1:2" x14ac:dyDescent="0.25">
      <c r="A28112"/>
      <c r="B28112"/>
    </row>
    <row r="28113" spans="1:2" x14ac:dyDescent="0.25">
      <c r="A28113"/>
      <c r="B28113"/>
    </row>
    <row r="28114" spans="1:2" x14ac:dyDescent="0.25">
      <c r="A28114"/>
      <c r="B28114"/>
    </row>
    <row r="28115" spans="1:2" x14ac:dyDescent="0.25">
      <c r="A28115"/>
      <c r="B28115"/>
    </row>
    <row r="28116" spans="1:2" x14ac:dyDescent="0.25">
      <c r="A28116"/>
      <c r="B28116"/>
    </row>
    <row r="28117" spans="1:2" x14ac:dyDescent="0.25">
      <c r="A28117"/>
      <c r="B28117"/>
    </row>
    <row r="28118" spans="1:2" x14ac:dyDescent="0.25">
      <c r="A28118"/>
      <c r="B28118"/>
    </row>
    <row r="28119" spans="1:2" x14ac:dyDescent="0.25">
      <c r="A28119"/>
      <c r="B28119"/>
    </row>
    <row r="28120" spans="1:2" x14ac:dyDescent="0.25">
      <c r="A28120"/>
      <c r="B28120"/>
    </row>
    <row r="28121" spans="1:2" x14ac:dyDescent="0.25">
      <c r="A28121"/>
      <c r="B28121"/>
    </row>
    <row r="28122" spans="1:2" x14ac:dyDescent="0.25">
      <c r="A28122"/>
      <c r="B28122"/>
    </row>
    <row r="28123" spans="1:2" x14ac:dyDescent="0.25">
      <c r="A28123"/>
      <c r="B28123"/>
    </row>
    <row r="28124" spans="1:2" x14ac:dyDescent="0.25">
      <c r="A28124"/>
      <c r="B28124"/>
    </row>
    <row r="28125" spans="1:2" x14ac:dyDescent="0.25">
      <c r="A28125"/>
      <c r="B28125"/>
    </row>
    <row r="28126" spans="1:2" x14ac:dyDescent="0.25">
      <c r="A28126"/>
      <c r="B28126"/>
    </row>
    <row r="28127" spans="1:2" x14ac:dyDescent="0.25">
      <c r="A28127"/>
      <c r="B28127"/>
    </row>
    <row r="28128" spans="1:2" x14ac:dyDescent="0.25">
      <c r="A28128"/>
      <c r="B28128"/>
    </row>
    <row r="28129" spans="1:2" x14ac:dyDescent="0.25">
      <c r="A28129"/>
      <c r="B28129"/>
    </row>
    <row r="28130" spans="1:2" x14ac:dyDescent="0.25">
      <c r="A28130"/>
      <c r="B28130"/>
    </row>
    <row r="28131" spans="1:2" x14ac:dyDescent="0.25">
      <c r="A28131"/>
      <c r="B28131"/>
    </row>
    <row r="28132" spans="1:2" x14ac:dyDescent="0.25">
      <c r="A28132"/>
      <c r="B28132"/>
    </row>
    <row r="28133" spans="1:2" x14ac:dyDescent="0.25">
      <c r="A28133"/>
      <c r="B28133"/>
    </row>
    <row r="28134" spans="1:2" x14ac:dyDescent="0.25">
      <c r="A28134"/>
      <c r="B28134"/>
    </row>
    <row r="28135" spans="1:2" x14ac:dyDescent="0.25">
      <c r="A28135"/>
      <c r="B28135"/>
    </row>
    <row r="28136" spans="1:2" x14ac:dyDescent="0.25">
      <c r="A28136"/>
      <c r="B28136"/>
    </row>
    <row r="28137" spans="1:2" x14ac:dyDescent="0.25">
      <c r="A28137"/>
      <c r="B28137"/>
    </row>
    <row r="28138" spans="1:2" x14ac:dyDescent="0.25">
      <c r="A28138"/>
      <c r="B28138"/>
    </row>
    <row r="28139" spans="1:2" x14ac:dyDescent="0.25">
      <c r="A28139"/>
      <c r="B28139"/>
    </row>
    <row r="28140" spans="1:2" x14ac:dyDescent="0.25">
      <c r="A28140"/>
      <c r="B28140"/>
    </row>
    <row r="28141" spans="1:2" x14ac:dyDescent="0.25">
      <c r="A28141"/>
      <c r="B28141"/>
    </row>
    <row r="28142" spans="1:2" x14ac:dyDescent="0.25">
      <c r="A28142"/>
      <c r="B28142"/>
    </row>
    <row r="28143" spans="1:2" x14ac:dyDescent="0.25">
      <c r="A28143"/>
      <c r="B28143"/>
    </row>
    <row r="28144" spans="1:2" x14ac:dyDescent="0.25">
      <c r="A28144"/>
      <c r="B28144"/>
    </row>
    <row r="28145" spans="1:2" x14ac:dyDescent="0.25">
      <c r="A28145"/>
      <c r="B28145"/>
    </row>
    <row r="28146" spans="1:2" x14ac:dyDescent="0.25">
      <c r="A28146"/>
      <c r="B28146"/>
    </row>
    <row r="28147" spans="1:2" x14ac:dyDescent="0.25">
      <c r="A28147"/>
      <c r="B28147"/>
    </row>
    <row r="28148" spans="1:2" x14ac:dyDescent="0.25">
      <c r="A28148"/>
      <c r="B28148"/>
    </row>
    <row r="28149" spans="1:2" x14ac:dyDescent="0.25">
      <c r="A28149"/>
      <c r="B28149"/>
    </row>
    <row r="28150" spans="1:2" x14ac:dyDescent="0.25">
      <c r="A28150"/>
      <c r="B28150"/>
    </row>
    <row r="28151" spans="1:2" x14ac:dyDescent="0.25">
      <c r="A28151"/>
      <c r="B28151"/>
    </row>
    <row r="28152" spans="1:2" x14ac:dyDescent="0.25">
      <c r="A28152"/>
      <c r="B28152"/>
    </row>
    <row r="28153" spans="1:2" x14ac:dyDescent="0.25">
      <c r="A28153"/>
      <c r="B28153"/>
    </row>
    <row r="28154" spans="1:2" x14ac:dyDescent="0.25">
      <c r="A28154"/>
      <c r="B28154"/>
    </row>
    <row r="28155" spans="1:2" x14ac:dyDescent="0.25">
      <c r="A28155"/>
      <c r="B28155"/>
    </row>
    <row r="28156" spans="1:2" x14ac:dyDescent="0.25">
      <c r="A28156"/>
      <c r="B28156"/>
    </row>
    <row r="28157" spans="1:2" x14ac:dyDescent="0.25">
      <c r="A28157"/>
      <c r="B28157"/>
    </row>
    <row r="28158" spans="1:2" x14ac:dyDescent="0.25">
      <c r="A28158"/>
      <c r="B28158"/>
    </row>
    <row r="28159" spans="1:2" x14ac:dyDescent="0.25">
      <c r="A28159"/>
      <c r="B28159"/>
    </row>
    <row r="28160" spans="1:2" x14ac:dyDescent="0.25">
      <c r="A28160"/>
      <c r="B28160"/>
    </row>
    <row r="28161" spans="1:2" x14ac:dyDescent="0.25">
      <c r="A28161"/>
      <c r="B28161"/>
    </row>
    <row r="28162" spans="1:2" x14ac:dyDescent="0.25">
      <c r="A28162"/>
      <c r="B28162"/>
    </row>
    <row r="28163" spans="1:2" x14ac:dyDescent="0.25">
      <c r="A28163"/>
      <c r="B28163"/>
    </row>
    <row r="28164" spans="1:2" x14ac:dyDescent="0.25">
      <c r="A28164"/>
      <c r="B28164"/>
    </row>
    <row r="28165" spans="1:2" x14ac:dyDescent="0.25">
      <c r="A28165"/>
      <c r="B28165"/>
    </row>
    <row r="28166" spans="1:2" x14ac:dyDescent="0.25">
      <c r="A28166"/>
      <c r="B28166"/>
    </row>
    <row r="28167" spans="1:2" x14ac:dyDescent="0.25">
      <c r="A28167"/>
      <c r="B28167"/>
    </row>
    <row r="28168" spans="1:2" x14ac:dyDescent="0.25">
      <c r="A28168"/>
      <c r="B28168"/>
    </row>
    <row r="28169" spans="1:2" x14ac:dyDescent="0.25">
      <c r="A28169"/>
      <c r="B28169"/>
    </row>
    <row r="28170" spans="1:2" x14ac:dyDescent="0.25">
      <c r="A28170"/>
      <c r="B28170"/>
    </row>
    <row r="28171" spans="1:2" x14ac:dyDescent="0.25">
      <c r="A28171"/>
      <c r="B28171"/>
    </row>
    <row r="28172" spans="1:2" x14ac:dyDescent="0.25">
      <c r="A28172"/>
      <c r="B28172"/>
    </row>
    <row r="28173" spans="1:2" x14ac:dyDescent="0.25">
      <c r="A28173"/>
      <c r="B28173"/>
    </row>
    <row r="28174" spans="1:2" x14ac:dyDescent="0.25">
      <c r="A28174"/>
      <c r="B28174"/>
    </row>
    <row r="28175" spans="1:2" x14ac:dyDescent="0.25">
      <c r="A28175"/>
      <c r="B28175"/>
    </row>
    <row r="28176" spans="1:2" x14ac:dyDescent="0.25">
      <c r="A28176"/>
      <c r="B28176"/>
    </row>
    <row r="28177" spans="1:2" x14ac:dyDescent="0.25">
      <c r="A28177"/>
      <c r="B28177"/>
    </row>
    <row r="28178" spans="1:2" x14ac:dyDescent="0.25">
      <c r="A28178"/>
      <c r="B28178"/>
    </row>
    <row r="28179" spans="1:2" x14ac:dyDescent="0.25">
      <c r="A28179"/>
      <c r="B28179"/>
    </row>
    <row r="28180" spans="1:2" x14ac:dyDescent="0.25">
      <c r="A28180"/>
      <c r="B28180"/>
    </row>
    <row r="28181" spans="1:2" x14ac:dyDescent="0.25">
      <c r="A28181"/>
      <c r="B28181"/>
    </row>
    <row r="28182" spans="1:2" x14ac:dyDescent="0.25">
      <c r="A28182"/>
      <c r="B28182"/>
    </row>
    <row r="28183" spans="1:2" x14ac:dyDescent="0.25">
      <c r="A28183"/>
      <c r="B28183"/>
    </row>
    <row r="28184" spans="1:2" x14ac:dyDescent="0.25">
      <c r="A28184"/>
      <c r="B28184"/>
    </row>
    <row r="28185" spans="1:2" x14ac:dyDescent="0.25">
      <c r="A28185"/>
      <c r="B28185"/>
    </row>
    <row r="28186" spans="1:2" x14ac:dyDescent="0.25">
      <c r="A28186"/>
      <c r="B28186"/>
    </row>
    <row r="28187" spans="1:2" x14ac:dyDescent="0.25">
      <c r="A28187"/>
      <c r="B28187"/>
    </row>
    <row r="28188" spans="1:2" x14ac:dyDescent="0.25">
      <c r="A28188"/>
      <c r="B28188"/>
    </row>
    <row r="28189" spans="1:2" x14ac:dyDescent="0.25">
      <c r="A28189"/>
      <c r="B28189"/>
    </row>
    <row r="28190" spans="1:2" x14ac:dyDescent="0.25">
      <c r="A28190"/>
      <c r="B28190"/>
    </row>
    <row r="28191" spans="1:2" x14ac:dyDescent="0.25">
      <c r="A28191"/>
      <c r="B28191"/>
    </row>
    <row r="28192" spans="1:2" x14ac:dyDescent="0.25">
      <c r="A28192"/>
      <c r="B28192"/>
    </row>
    <row r="28193" spans="1:2" x14ac:dyDescent="0.25">
      <c r="A28193"/>
      <c r="B28193"/>
    </row>
    <row r="28194" spans="1:2" x14ac:dyDescent="0.25">
      <c r="A28194"/>
      <c r="B28194"/>
    </row>
    <row r="28195" spans="1:2" x14ac:dyDescent="0.25">
      <c r="A28195"/>
      <c r="B28195"/>
    </row>
    <row r="28196" spans="1:2" x14ac:dyDescent="0.25">
      <c r="A28196"/>
      <c r="B28196"/>
    </row>
    <row r="28197" spans="1:2" x14ac:dyDescent="0.25">
      <c r="A28197"/>
      <c r="B28197"/>
    </row>
    <row r="28198" spans="1:2" x14ac:dyDescent="0.25">
      <c r="A28198"/>
      <c r="B28198"/>
    </row>
    <row r="28199" spans="1:2" x14ac:dyDescent="0.25">
      <c r="A28199"/>
      <c r="B28199"/>
    </row>
    <row r="28200" spans="1:2" x14ac:dyDescent="0.25">
      <c r="A28200"/>
      <c r="B28200"/>
    </row>
    <row r="28201" spans="1:2" x14ac:dyDescent="0.25">
      <c r="A28201"/>
      <c r="B28201"/>
    </row>
    <row r="28202" spans="1:2" x14ac:dyDescent="0.25">
      <c r="A28202"/>
      <c r="B28202"/>
    </row>
    <row r="28203" spans="1:2" x14ac:dyDescent="0.25">
      <c r="A28203"/>
      <c r="B28203"/>
    </row>
    <row r="28204" spans="1:2" x14ac:dyDescent="0.25">
      <c r="A28204"/>
      <c r="B28204"/>
    </row>
    <row r="28205" spans="1:2" x14ac:dyDescent="0.25">
      <c r="A28205"/>
      <c r="B28205"/>
    </row>
    <row r="28206" spans="1:2" x14ac:dyDescent="0.25">
      <c r="A28206"/>
      <c r="B28206"/>
    </row>
    <row r="28207" spans="1:2" x14ac:dyDescent="0.25">
      <c r="A28207"/>
      <c r="B28207"/>
    </row>
    <row r="28208" spans="1:2" x14ac:dyDescent="0.25">
      <c r="A28208"/>
      <c r="B28208"/>
    </row>
    <row r="28209" spans="1:2" x14ac:dyDescent="0.25">
      <c r="A28209"/>
      <c r="B28209"/>
    </row>
    <row r="28210" spans="1:2" x14ac:dyDescent="0.25">
      <c r="A28210"/>
      <c r="B28210"/>
    </row>
    <row r="28211" spans="1:2" x14ac:dyDescent="0.25">
      <c r="A28211"/>
      <c r="B28211"/>
    </row>
    <row r="28212" spans="1:2" x14ac:dyDescent="0.25">
      <c r="A28212"/>
      <c r="B28212"/>
    </row>
    <row r="28213" spans="1:2" x14ac:dyDescent="0.25">
      <c r="A28213"/>
      <c r="B28213"/>
    </row>
    <row r="28214" spans="1:2" x14ac:dyDescent="0.25">
      <c r="A28214"/>
      <c r="B28214"/>
    </row>
    <row r="28215" spans="1:2" x14ac:dyDescent="0.25">
      <c r="A28215"/>
      <c r="B28215"/>
    </row>
    <row r="28216" spans="1:2" x14ac:dyDescent="0.25">
      <c r="A28216"/>
      <c r="B28216"/>
    </row>
    <row r="28217" spans="1:2" x14ac:dyDescent="0.25">
      <c r="A28217"/>
      <c r="B28217"/>
    </row>
    <row r="28218" spans="1:2" x14ac:dyDescent="0.25">
      <c r="A28218"/>
      <c r="B28218"/>
    </row>
    <row r="28219" spans="1:2" x14ac:dyDescent="0.25">
      <c r="A28219"/>
      <c r="B28219"/>
    </row>
    <row r="28220" spans="1:2" x14ac:dyDescent="0.25">
      <c r="A28220"/>
      <c r="B28220"/>
    </row>
    <row r="28221" spans="1:2" x14ac:dyDescent="0.25">
      <c r="A28221"/>
      <c r="B28221"/>
    </row>
    <row r="28222" spans="1:2" x14ac:dyDescent="0.25">
      <c r="A28222"/>
      <c r="B28222"/>
    </row>
    <row r="28223" spans="1:2" x14ac:dyDescent="0.25">
      <c r="A28223"/>
      <c r="B28223"/>
    </row>
    <row r="28224" spans="1:2" x14ac:dyDescent="0.25">
      <c r="A28224"/>
      <c r="B28224"/>
    </row>
    <row r="28225" spans="1:2" x14ac:dyDescent="0.25">
      <c r="A28225"/>
      <c r="B28225"/>
    </row>
    <row r="28226" spans="1:2" x14ac:dyDescent="0.25">
      <c r="A28226"/>
      <c r="B28226"/>
    </row>
    <row r="28227" spans="1:2" x14ac:dyDescent="0.25">
      <c r="A28227"/>
      <c r="B28227"/>
    </row>
    <row r="28228" spans="1:2" x14ac:dyDescent="0.25">
      <c r="A28228"/>
      <c r="B28228"/>
    </row>
    <row r="28229" spans="1:2" x14ac:dyDescent="0.25">
      <c r="A28229"/>
      <c r="B28229"/>
    </row>
    <row r="28230" spans="1:2" x14ac:dyDescent="0.25">
      <c r="A28230"/>
      <c r="B28230"/>
    </row>
    <row r="28231" spans="1:2" x14ac:dyDescent="0.25">
      <c r="A28231"/>
      <c r="B28231"/>
    </row>
    <row r="28232" spans="1:2" x14ac:dyDescent="0.25">
      <c r="A28232"/>
      <c r="B28232"/>
    </row>
    <row r="28233" spans="1:2" x14ac:dyDescent="0.25">
      <c r="A28233"/>
      <c r="B28233"/>
    </row>
    <row r="28234" spans="1:2" x14ac:dyDescent="0.25">
      <c r="A28234"/>
      <c r="B28234"/>
    </row>
    <row r="28235" spans="1:2" x14ac:dyDescent="0.25">
      <c r="A28235"/>
      <c r="B28235"/>
    </row>
    <row r="28236" spans="1:2" x14ac:dyDescent="0.25">
      <c r="A28236"/>
      <c r="B28236"/>
    </row>
    <row r="28237" spans="1:2" x14ac:dyDescent="0.25">
      <c r="A28237"/>
      <c r="B28237"/>
    </row>
    <row r="28238" spans="1:2" x14ac:dyDescent="0.25">
      <c r="A28238"/>
      <c r="B28238"/>
    </row>
    <row r="28239" spans="1:2" x14ac:dyDescent="0.25">
      <c r="A28239"/>
      <c r="B28239"/>
    </row>
    <row r="28240" spans="1:2" x14ac:dyDescent="0.25">
      <c r="A28240"/>
      <c r="B28240"/>
    </row>
    <row r="28241" spans="1:2" x14ac:dyDescent="0.25">
      <c r="A28241"/>
      <c r="B28241"/>
    </row>
    <row r="28242" spans="1:2" x14ac:dyDescent="0.25">
      <c r="A28242"/>
      <c r="B28242"/>
    </row>
    <row r="28243" spans="1:2" x14ac:dyDescent="0.25">
      <c r="A28243"/>
      <c r="B28243"/>
    </row>
    <row r="28244" spans="1:2" x14ac:dyDescent="0.25">
      <c r="A28244"/>
      <c r="B28244"/>
    </row>
    <row r="28245" spans="1:2" x14ac:dyDescent="0.25">
      <c r="A28245"/>
      <c r="B28245"/>
    </row>
    <row r="28246" spans="1:2" x14ac:dyDescent="0.25">
      <c r="A28246"/>
      <c r="B28246"/>
    </row>
    <row r="28247" spans="1:2" x14ac:dyDescent="0.25">
      <c r="A28247"/>
      <c r="B28247"/>
    </row>
    <row r="28248" spans="1:2" x14ac:dyDescent="0.25">
      <c r="A28248"/>
      <c r="B28248"/>
    </row>
    <row r="28249" spans="1:2" x14ac:dyDescent="0.25">
      <c r="A28249"/>
      <c r="B28249"/>
    </row>
    <row r="28250" spans="1:2" x14ac:dyDescent="0.25">
      <c r="A28250"/>
      <c r="B28250"/>
    </row>
    <row r="28251" spans="1:2" x14ac:dyDescent="0.25">
      <c r="A28251"/>
      <c r="B28251"/>
    </row>
    <row r="28252" spans="1:2" x14ac:dyDescent="0.25">
      <c r="A28252"/>
      <c r="B28252"/>
    </row>
    <row r="28253" spans="1:2" x14ac:dyDescent="0.25">
      <c r="A28253"/>
      <c r="B28253"/>
    </row>
    <row r="28254" spans="1:2" x14ac:dyDescent="0.25">
      <c r="A28254"/>
      <c r="B28254"/>
    </row>
    <row r="28255" spans="1:2" x14ac:dyDescent="0.25">
      <c r="A28255"/>
      <c r="B28255"/>
    </row>
    <row r="28256" spans="1:2" x14ac:dyDescent="0.25">
      <c r="A28256"/>
      <c r="B28256"/>
    </row>
    <row r="28257" spans="1:2" x14ac:dyDescent="0.25">
      <c r="A28257"/>
      <c r="B28257"/>
    </row>
    <row r="28258" spans="1:2" x14ac:dyDescent="0.25">
      <c r="A28258"/>
      <c r="B28258"/>
    </row>
    <row r="28259" spans="1:2" x14ac:dyDescent="0.25">
      <c r="A28259"/>
      <c r="B28259"/>
    </row>
    <row r="28260" spans="1:2" x14ac:dyDescent="0.25">
      <c r="A28260"/>
      <c r="B28260"/>
    </row>
    <row r="28261" spans="1:2" x14ac:dyDescent="0.25">
      <c r="A28261"/>
      <c r="B28261"/>
    </row>
    <row r="28262" spans="1:2" x14ac:dyDescent="0.25">
      <c r="A28262"/>
      <c r="B28262"/>
    </row>
    <row r="28263" spans="1:2" x14ac:dyDescent="0.25">
      <c r="A28263"/>
      <c r="B28263"/>
    </row>
    <row r="28264" spans="1:2" x14ac:dyDescent="0.25">
      <c r="A28264"/>
      <c r="B28264"/>
    </row>
    <row r="28265" spans="1:2" x14ac:dyDescent="0.25">
      <c r="A28265"/>
      <c r="B28265"/>
    </row>
    <row r="28266" spans="1:2" x14ac:dyDescent="0.25">
      <c r="A28266"/>
      <c r="B28266"/>
    </row>
    <row r="28267" spans="1:2" x14ac:dyDescent="0.25">
      <c r="A28267"/>
      <c r="B28267"/>
    </row>
    <row r="28268" spans="1:2" x14ac:dyDescent="0.25">
      <c r="A28268"/>
      <c r="B28268"/>
    </row>
    <row r="28269" spans="1:2" x14ac:dyDescent="0.25">
      <c r="A28269"/>
      <c r="B28269"/>
    </row>
    <row r="28270" spans="1:2" x14ac:dyDescent="0.25">
      <c r="A28270"/>
      <c r="B28270"/>
    </row>
    <row r="28271" spans="1:2" x14ac:dyDescent="0.25">
      <c r="A28271"/>
      <c r="B28271"/>
    </row>
    <row r="28272" spans="1:2" x14ac:dyDescent="0.25">
      <c r="A28272"/>
      <c r="B28272"/>
    </row>
    <row r="28273" spans="1:2" x14ac:dyDescent="0.25">
      <c r="A28273"/>
      <c r="B28273"/>
    </row>
    <row r="28274" spans="1:2" x14ac:dyDescent="0.25">
      <c r="A28274"/>
      <c r="B28274"/>
    </row>
    <row r="28275" spans="1:2" x14ac:dyDescent="0.25">
      <c r="A28275"/>
      <c r="B28275"/>
    </row>
    <row r="28276" spans="1:2" x14ac:dyDescent="0.25">
      <c r="A28276"/>
      <c r="B28276"/>
    </row>
    <row r="28277" spans="1:2" x14ac:dyDescent="0.25">
      <c r="A28277"/>
      <c r="B28277"/>
    </row>
    <row r="28278" spans="1:2" x14ac:dyDescent="0.25">
      <c r="A28278"/>
      <c r="B28278"/>
    </row>
    <row r="28279" spans="1:2" x14ac:dyDescent="0.25">
      <c r="A28279"/>
      <c r="B28279"/>
    </row>
    <row r="28280" spans="1:2" x14ac:dyDescent="0.25">
      <c r="A28280"/>
      <c r="B28280"/>
    </row>
    <row r="28281" spans="1:2" x14ac:dyDescent="0.25">
      <c r="A28281"/>
      <c r="B28281"/>
    </row>
    <row r="28282" spans="1:2" x14ac:dyDescent="0.25">
      <c r="A28282"/>
      <c r="B28282"/>
    </row>
    <row r="28283" spans="1:2" x14ac:dyDescent="0.25">
      <c r="A28283"/>
      <c r="B28283"/>
    </row>
    <row r="28284" spans="1:2" x14ac:dyDescent="0.25">
      <c r="A28284"/>
      <c r="B28284"/>
    </row>
    <row r="28285" spans="1:2" x14ac:dyDescent="0.25">
      <c r="A28285"/>
      <c r="B28285"/>
    </row>
    <row r="28286" spans="1:2" x14ac:dyDescent="0.25">
      <c r="A28286"/>
      <c r="B28286"/>
    </row>
    <row r="28287" spans="1:2" x14ac:dyDescent="0.25">
      <c r="A28287"/>
      <c r="B28287"/>
    </row>
    <row r="28288" spans="1:2" x14ac:dyDescent="0.25">
      <c r="A28288"/>
      <c r="B28288"/>
    </row>
    <row r="28289" spans="1:2" x14ac:dyDescent="0.25">
      <c r="A28289"/>
      <c r="B28289"/>
    </row>
    <row r="28290" spans="1:2" x14ac:dyDescent="0.25">
      <c r="A28290"/>
      <c r="B28290"/>
    </row>
    <row r="28291" spans="1:2" x14ac:dyDescent="0.25">
      <c r="A28291"/>
      <c r="B28291"/>
    </row>
    <row r="28292" spans="1:2" x14ac:dyDescent="0.25">
      <c r="A28292"/>
      <c r="B28292"/>
    </row>
    <row r="28293" spans="1:2" x14ac:dyDescent="0.25">
      <c r="A28293"/>
      <c r="B28293"/>
    </row>
    <row r="28294" spans="1:2" x14ac:dyDescent="0.25">
      <c r="A28294"/>
      <c r="B28294"/>
    </row>
    <row r="28295" spans="1:2" x14ac:dyDescent="0.25">
      <c r="A28295"/>
      <c r="B28295"/>
    </row>
    <row r="28296" spans="1:2" x14ac:dyDescent="0.25">
      <c r="A28296"/>
      <c r="B28296"/>
    </row>
    <row r="28297" spans="1:2" x14ac:dyDescent="0.25">
      <c r="A28297"/>
      <c r="B28297"/>
    </row>
    <row r="28298" spans="1:2" x14ac:dyDescent="0.25">
      <c r="A28298"/>
      <c r="B28298"/>
    </row>
    <row r="28299" spans="1:2" x14ac:dyDescent="0.25">
      <c r="A28299"/>
      <c r="B28299"/>
    </row>
    <row r="28300" spans="1:2" x14ac:dyDescent="0.25">
      <c r="A28300"/>
      <c r="B28300"/>
    </row>
    <row r="28301" spans="1:2" x14ac:dyDescent="0.25">
      <c r="A28301"/>
      <c r="B28301"/>
    </row>
    <row r="28302" spans="1:2" x14ac:dyDescent="0.25">
      <c r="A28302"/>
      <c r="B28302"/>
    </row>
    <row r="28303" spans="1:2" x14ac:dyDescent="0.25">
      <c r="A28303"/>
      <c r="B28303"/>
    </row>
    <row r="28304" spans="1:2" x14ac:dyDescent="0.25">
      <c r="A28304"/>
      <c r="B28304"/>
    </row>
    <row r="28305" spans="1:2" x14ac:dyDescent="0.25">
      <c r="A28305"/>
      <c r="B28305"/>
    </row>
    <row r="28306" spans="1:2" x14ac:dyDescent="0.25">
      <c r="A28306"/>
      <c r="B28306"/>
    </row>
    <row r="28307" spans="1:2" x14ac:dyDescent="0.25">
      <c r="A28307"/>
      <c r="B28307"/>
    </row>
    <row r="28308" spans="1:2" x14ac:dyDescent="0.25">
      <c r="A28308"/>
      <c r="B28308"/>
    </row>
    <row r="28309" spans="1:2" x14ac:dyDescent="0.25">
      <c r="A28309"/>
      <c r="B28309"/>
    </row>
    <row r="28310" spans="1:2" x14ac:dyDescent="0.25">
      <c r="A28310"/>
      <c r="B28310"/>
    </row>
    <row r="28311" spans="1:2" x14ac:dyDescent="0.25">
      <c r="A28311"/>
      <c r="B28311"/>
    </row>
    <row r="28312" spans="1:2" x14ac:dyDescent="0.25">
      <c r="A28312"/>
      <c r="B28312"/>
    </row>
    <row r="28313" spans="1:2" x14ac:dyDescent="0.25">
      <c r="A28313"/>
      <c r="B28313"/>
    </row>
    <row r="28314" spans="1:2" x14ac:dyDescent="0.25">
      <c r="A28314"/>
      <c r="B28314"/>
    </row>
    <row r="28315" spans="1:2" x14ac:dyDescent="0.25">
      <c r="A28315"/>
      <c r="B28315"/>
    </row>
    <row r="28316" spans="1:2" x14ac:dyDescent="0.25">
      <c r="A28316"/>
      <c r="B28316"/>
    </row>
    <row r="28317" spans="1:2" x14ac:dyDescent="0.25">
      <c r="A28317"/>
      <c r="B28317"/>
    </row>
    <row r="28318" spans="1:2" x14ac:dyDescent="0.25">
      <c r="A28318"/>
      <c r="B28318"/>
    </row>
    <row r="28319" spans="1:2" x14ac:dyDescent="0.25">
      <c r="A28319"/>
      <c r="B28319"/>
    </row>
    <row r="28320" spans="1:2" x14ac:dyDescent="0.25">
      <c r="A28320"/>
      <c r="B28320"/>
    </row>
    <row r="28321" spans="1:2" x14ac:dyDescent="0.25">
      <c r="A28321"/>
      <c r="B28321"/>
    </row>
    <row r="28322" spans="1:2" x14ac:dyDescent="0.25">
      <c r="A28322"/>
      <c r="B28322"/>
    </row>
    <row r="28323" spans="1:2" x14ac:dyDescent="0.25">
      <c r="A28323"/>
      <c r="B28323"/>
    </row>
    <row r="28324" spans="1:2" x14ac:dyDescent="0.25">
      <c r="A28324"/>
      <c r="B28324"/>
    </row>
    <row r="28325" spans="1:2" x14ac:dyDescent="0.25">
      <c r="A28325"/>
      <c r="B28325"/>
    </row>
    <row r="28326" spans="1:2" x14ac:dyDescent="0.25">
      <c r="A28326"/>
      <c r="B28326"/>
    </row>
    <row r="28327" spans="1:2" x14ac:dyDescent="0.25">
      <c r="A28327"/>
      <c r="B28327"/>
    </row>
    <row r="28328" spans="1:2" x14ac:dyDescent="0.25">
      <c r="A28328"/>
      <c r="B28328"/>
    </row>
    <row r="28329" spans="1:2" x14ac:dyDescent="0.25">
      <c r="A28329"/>
      <c r="B28329"/>
    </row>
    <row r="28330" spans="1:2" x14ac:dyDescent="0.25">
      <c r="A28330"/>
      <c r="B28330"/>
    </row>
    <row r="28331" spans="1:2" x14ac:dyDescent="0.25">
      <c r="A28331"/>
      <c r="B28331"/>
    </row>
    <row r="28332" spans="1:2" x14ac:dyDescent="0.25">
      <c r="A28332"/>
      <c r="B28332"/>
    </row>
    <row r="28333" spans="1:2" x14ac:dyDescent="0.25">
      <c r="A28333"/>
      <c r="B28333"/>
    </row>
    <row r="28334" spans="1:2" x14ac:dyDescent="0.25">
      <c r="A28334"/>
      <c r="B28334"/>
    </row>
    <row r="28335" spans="1:2" x14ac:dyDescent="0.25">
      <c r="A28335"/>
      <c r="B28335"/>
    </row>
    <row r="28336" spans="1:2" x14ac:dyDescent="0.25">
      <c r="A28336"/>
      <c r="B28336"/>
    </row>
    <row r="28337" spans="1:2" x14ac:dyDescent="0.25">
      <c r="A28337"/>
      <c r="B28337"/>
    </row>
    <row r="28338" spans="1:2" x14ac:dyDescent="0.25">
      <c r="A28338"/>
      <c r="B28338"/>
    </row>
    <row r="28339" spans="1:2" x14ac:dyDescent="0.25">
      <c r="A28339"/>
      <c r="B28339"/>
    </row>
    <row r="28340" spans="1:2" x14ac:dyDescent="0.25">
      <c r="A28340"/>
      <c r="B28340"/>
    </row>
    <row r="28341" spans="1:2" x14ac:dyDescent="0.25">
      <c r="A28341"/>
      <c r="B28341"/>
    </row>
    <row r="28342" spans="1:2" x14ac:dyDescent="0.25">
      <c r="A28342"/>
      <c r="B28342"/>
    </row>
    <row r="28343" spans="1:2" x14ac:dyDescent="0.25">
      <c r="A28343"/>
      <c r="B28343"/>
    </row>
    <row r="28344" spans="1:2" x14ac:dyDescent="0.25">
      <c r="A28344"/>
      <c r="B28344"/>
    </row>
    <row r="28345" spans="1:2" x14ac:dyDescent="0.25">
      <c r="A28345"/>
      <c r="B28345"/>
    </row>
    <row r="28346" spans="1:2" x14ac:dyDescent="0.25">
      <c r="A28346"/>
      <c r="B28346"/>
    </row>
    <row r="28347" spans="1:2" x14ac:dyDescent="0.25">
      <c r="A28347"/>
      <c r="B28347"/>
    </row>
    <row r="28348" spans="1:2" x14ac:dyDescent="0.25">
      <c r="A28348"/>
      <c r="B28348"/>
    </row>
    <row r="28349" spans="1:2" x14ac:dyDescent="0.25">
      <c r="A28349"/>
      <c r="B28349"/>
    </row>
    <row r="28350" spans="1:2" x14ac:dyDescent="0.25">
      <c r="A28350"/>
      <c r="B28350"/>
    </row>
    <row r="28351" spans="1:2" x14ac:dyDescent="0.25">
      <c r="A28351"/>
      <c r="B28351"/>
    </row>
    <row r="28352" spans="1:2" x14ac:dyDescent="0.25">
      <c r="A28352"/>
      <c r="B28352"/>
    </row>
    <row r="28353" spans="1:2" x14ac:dyDescent="0.25">
      <c r="A28353"/>
      <c r="B28353"/>
    </row>
    <row r="28354" spans="1:2" x14ac:dyDescent="0.25">
      <c r="A28354"/>
      <c r="B28354"/>
    </row>
    <row r="28355" spans="1:2" x14ac:dyDescent="0.25">
      <c r="A28355"/>
      <c r="B28355"/>
    </row>
    <row r="28356" spans="1:2" x14ac:dyDescent="0.25">
      <c r="A28356"/>
      <c r="B28356"/>
    </row>
    <row r="28357" spans="1:2" x14ac:dyDescent="0.25">
      <c r="A28357"/>
      <c r="B28357"/>
    </row>
    <row r="28358" spans="1:2" x14ac:dyDescent="0.25">
      <c r="A28358"/>
      <c r="B28358"/>
    </row>
    <row r="28359" spans="1:2" x14ac:dyDescent="0.25">
      <c r="A28359"/>
      <c r="B28359"/>
    </row>
    <row r="28360" spans="1:2" x14ac:dyDescent="0.25">
      <c r="A28360"/>
      <c r="B28360"/>
    </row>
    <row r="28361" spans="1:2" x14ac:dyDescent="0.25">
      <c r="A28361"/>
      <c r="B28361"/>
    </row>
    <row r="28362" spans="1:2" x14ac:dyDescent="0.25">
      <c r="A28362"/>
      <c r="B28362"/>
    </row>
    <row r="28363" spans="1:2" x14ac:dyDescent="0.25">
      <c r="A28363"/>
      <c r="B28363"/>
    </row>
    <row r="28364" spans="1:2" x14ac:dyDescent="0.25">
      <c r="A28364"/>
      <c r="B28364"/>
    </row>
    <row r="28365" spans="1:2" x14ac:dyDescent="0.25">
      <c r="A28365"/>
      <c r="B28365"/>
    </row>
    <row r="28366" spans="1:2" x14ac:dyDescent="0.25">
      <c r="A28366"/>
      <c r="B28366"/>
    </row>
    <row r="28367" spans="1:2" x14ac:dyDescent="0.25">
      <c r="A28367"/>
      <c r="B28367"/>
    </row>
    <row r="28368" spans="1:2" x14ac:dyDescent="0.25">
      <c r="A28368"/>
      <c r="B28368"/>
    </row>
    <row r="28369" spans="1:2" x14ac:dyDescent="0.25">
      <c r="A28369"/>
      <c r="B28369"/>
    </row>
    <row r="28370" spans="1:2" x14ac:dyDescent="0.25">
      <c r="A28370"/>
      <c r="B28370"/>
    </row>
    <row r="28371" spans="1:2" x14ac:dyDescent="0.25">
      <c r="A28371"/>
      <c r="B28371"/>
    </row>
    <row r="28372" spans="1:2" x14ac:dyDescent="0.25">
      <c r="A28372"/>
      <c r="B28372"/>
    </row>
    <row r="28373" spans="1:2" x14ac:dyDescent="0.25">
      <c r="A28373"/>
      <c r="B28373"/>
    </row>
    <row r="28374" spans="1:2" x14ac:dyDescent="0.25">
      <c r="A28374"/>
      <c r="B28374"/>
    </row>
    <row r="28375" spans="1:2" x14ac:dyDescent="0.25">
      <c r="A28375"/>
      <c r="B28375"/>
    </row>
    <row r="28376" spans="1:2" x14ac:dyDescent="0.25">
      <c r="A28376"/>
      <c r="B28376"/>
    </row>
    <row r="28377" spans="1:2" x14ac:dyDescent="0.25">
      <c r="A28377"/>
      <c r="B28377"/>
    </row>
    <row r="28378" spans="1:2" x14ac:dyDescent="0.25">
      <c r="A28378"/>
      <c r="B28378"/>
    </row>
    <row r="28379" spans="1:2" x14ac:dyDescent="0.25">
      <c r="A28379"/>
      <c r="B28379"/>
    </row>
    <row r="28380" spans="1:2" x14ac:dyDescent="0.25">
      <c r="A28380"/>
      <c r="B28380"/>
    </row>
    <row r="28381" spans="1:2" x14ac:dyDescent="0.25">
      <c r="A28381"/>
      <c r="B28381"/>
    </row>
    <row r="28382" spans="1:2" x14ac:dyDescent="0.25">
      <c r="A28382"/>
      <c r="B28382"/>
    </row>
    <row r="28383" spans="1:2" x14ac:dyDescent="0.25">
      <c r="A28383"/>
      <c r="B28383"/>
    </row>
    <row r="28384" spans="1:2" x14ac:dyDescent="0.25">
      <c r="A28384"/>
      <c r="B28384"/>
    </row>
    <row r="28385" spans="1:2" x14ac:dyDescent="0.25">
      <c r="A28385"/>
      <c r="B28385"/>
    </row>
    <row r="28386" spans="1:2" x14ac:dyDescent="0.25">
      <c r="A28386"/>
      <c r="B28386"/>
    </row>
    <row r="28387" spans="1:2" x14ac:dyDescent="0.25">
      <c r="A28387"/>
      <c r="B28387"/>
    </row>
    <row r="28388" spans="1:2" x14ac:dyDescent="0.25">
      <c r="A28388"/>
      <c r="B28388"/>
    </row>
    <row r="28389" spans="1:2" x14ac:dyDescent="0.25">
      <c r="A28389"/>
      <c r="B28389"/>
    </row>
    <row r="28390" spans="1:2" x14ac:dyDescent="0.25">
      <c r="A28390"/>
      <c r="B28390"/>
    </row>
    <row r="28391" spans="1:2" x14ac:dyDescent="0.25">
      <c r="A28391"/>
      <c r="B28391"/>
    </row>
    <row r="28392" spans="1:2" x14ac:dyDescent="0.25">
      <c r="A28392"/>
      <c r="B28392"/>
    </row>
    <row r="28393" spans="1:2" x14ac:dyDescent="0.25">
      <c r="A28393"/>
      <c r="B28393"/>
    </row>
    <row r="28394" spans="1:2" x14ac:dyDescent="0.25">
      <c r="A28394"/>
      <c r="B28394"/>
    </row>
    <row r="28395" spans="1:2" x14ac:dyDescent="0.25">
      <c r="A28395"/>
      <c r="B28395"/>
    </row>
    <row r="28396" spans="1:2" x14ac:dyDescent="0.25">
      <c r="A28396"/>
      <c r="B28396"/>
    </row>
    <row r="28397" spans="1:2" x14ac:dyDescent="0.25">
      <c r="A28397"/>
      <c r="B28397"/>
    </row>
    <row r="28398" spans="1:2" x14ac:dyDescent="0.25">
      <c r="A28398"/>
      <c r="B28398"/>
    </row>
    <row r="28399" spans="1:2" x14ac:dyDescent="0.25">
      <c r="A28399"/>
      <c r="B28399"/>
    </row>
    <row r="28400" spans="1:2" x14ac:dyDescent="0.25">
      <c r="A28400"/>
      <c r="B28400"/>
    </row>
    <row r="28401" spans="1:2" x14ac:dyDescent="0.25">
      <c r="A28401"/>
      <c r="B28401"/>
    </row>
    <row r="28402" spans="1:2" x14ac:dyDescent="0.25">
      <c r="A28402"/>
      <c r="B28402"/>
    </row>
    <row r="28403" spans="1:2" x14ac:dyDescent="0.25">
      <c r="A28403"/>
      <c r="B28403"/>
    </row>
    <row r="28404" spans="1:2" x14ac:dyDescent="0.25">
      <c r="A28404"/>
      <c r="B28404"/>
    </row>
    <row r="28405" spans="1:2" x14ac:dyDescent="0.25">
      <c r="A28405"/>
      <c r="B28405"/>
    </row>
    <row r="28406" spans="1:2" x14ac:dyDescent="0.25">
      <c r="A28406"/>
      <c r="B28406"/>
    </row>
    <row r="28407" spans="1:2" x14ac:dyDescent="0.25">
      <c r="A28407"/>
      <c r="B28407"/>
    </row>
    <row r="28408" spans="1:2" x14ac:dyDescent="0.25">
      <c r="A28408"/>
      <c r="B28408"/>
    </row>
    <row r="28409" spans="1:2" x14ac:dyDescent="0.25">
      <c r="A28409"/>
      <c r="B28409"/>
    </row>
    <row r="28410" spans="1:2" x14ac:dyDescent="0.25">
      <c r="A28410"/>
      <c r="B28410"/>
    </row>
    <row r="28411" spans="1:2" x14ac:dyDescent="0.25">
      <c r="A28411"/>
      <c r="B28411"/>
    </row>
    <row r="28412" spans="1:2" x14ac:dyDescent="0.25">
      <c r="A28412"/>
      <c r="B28412"/>
    </row>
    <row r="28413" spans="1:2" x14ac:dyDescent="0.25">
      <c r="A28413"/>
      <c r="B28413"/>
    </row>
    <row r="28414" spans="1:2" x14ac:dyDescent="0.25">
      <c r="A28414"/>
      <c r="B28414"/>
    </row>
    <row r="28415" spans="1:2" x14ac:dyDescent="0.25">
      <c r="A28415"/>
      <c r="B28415"/>
    </row>
    <row r="28416" spans="1:2" x14ac:dyDescent="0.25">
      <c r="A28416"/>
      <c r="B28416"/>
    </row>
    <row r="28417" spans="1:2" x14ac:dyDescent="0.25">
      <c r="A28417"/>
      <c r="B28417"/>
    </row>
    <row r="28418" spans="1:2" x14ac:dyDescent="0.25">
      <c r="A28418"/>
      <c r="B28418"/>
    </row>
    <row r="28419" spans="1:2" x14ac:dyDescent="0.25">
      <c r="A28419"/>
      <c r="B28419"/>
    </row>
    <row r="28420" spans="1:2" x14ac:dyDescent="0.25">
      <c r="A28420"/>
      <c r="B28420"/>
    </row>
    <row r="28421" spans="1:2" x14ac:dyDescent="0.25">
      <c r="A28421"/>
      <c r="B28421"/>
    </row>
    <row r="28422" spans="1:2" x14ac:dyDescent="0.25">
      <c r="A28422"/>
      <c r="B28422"/>
    </row>
    <row r="28423" spans="1:2" x14ac:dyDescent="0.25">
      <c r="A28423"/>
      <c r="B28423"/>
    </row>
    <row r="28424" spans="1:2" x14ac:dyDescent="0.25">
      <c r="A28424"/>
      <c r="B28424"/>
    </row>
    <row r="28425" spans="1:2" x14ac:dyDescent="0.25">
      <c r="A28425"/>
      <c r="B28425"/>
    </row>
    <row r="28426" spans="1:2" x14ac:dyDescent="0.25">
      <c r="A28426"/>
      <c r="B28426"/>
    </row>
    <row r="28427" spans="1:2" x14ac:dyDescent="0.25">
      <c r="A28427"/>
      <c r="B28427"/>
    </row>
    <row r="28428" spans="1:2" x14ac:dyDescent="0.25">
      <c r="A28428"/>
      <c r="B28428"/>
    </row>
    <row r="28429" spans="1:2" x14ac:dyDescent="0.25">
      <c r="A28429"/>
      <c r="B28429"/>
    </row>
    <row r="28430" spans="1:2" x14ac:dyDescent="0.25">
      <c r="A28430"/>
      <c r="B28430"/>
    </row>
    <row r="28431" spans="1:2" x14ac:dyDescent="0.25">
      <c r="A28431"/>
      <c r="B28431"/>
    </row>
    <row r="28432" spans="1:2" x14ac:dyDescent="0.25">
      <c r="A28432"/>
      <c r="B28432"/>
    </row>
    <row r="28433" spans="1:2" x14ac:dyDescent="0.25">
      <c r="A28433"/>
      <c r="B28433"/>
    </row>
    <row r="28434" spans="1:2" x14ac:dyDescent="0.25">
      <c r="A28434"/>
      <c r="B28434"/>
    </row>
    <row r="28435" spans="1:2" x14ac:dyDescent="0.25">
      <c r="A28435"/>
      <c r="B28435"/>
    </row>
    <row r="28436" spans="1:2" x14ac:dyDescent="0.25">
      <c r="A28436"/>
      <c r="B28436"/>
    </row>
    <row r="28437" spans="1:2" x14ac:dyDescent="0.25">
      <c r="A28437"/>
      <c r="B28437"/>
    </row>
    <row r="28438" spans="1:2" x14ac:dyDescent="0.25">
      <c r="A28438"/>
      <c r="B28438"/>
    </row>
    <row r="28439" spans="1:2" x14ac:dyDescent="0.25">
      <c r="A28439"/>
      <c r="B28439"/>
    </row>
    <row r="28440" spans="1:2" x14ac:dyDescent="0.25">
      <c r="A28440"/>
      <c r="B28440"/>
    </row>
    <row r="28441" spans="1:2" x14ac:dyDescent="0.25">
      <c r="A28441"/>
      <c r="B28441"/>
    </row>
    <row r="28442" spans="1:2" x14ac:dyDescent="0.25">
      <c r="A28442"/>
      <c r="B28442"/>
    </row>
    <row r="28443" spans="1:2" x14ac:dyDescent="0.25">
      <c r="A28443"/>
      <c r="B28443"/>
    </row>
    <row r="28444" spans="1:2" x14ac:dyDescent="0.25">
      <c r="A28444"/>
      <c r="B28444"/>
    </row>
    <row r="28445" spans="1:2" x14ac:dyDescent="0.25">
      <c r="A28445"/>
      <c r="B28445"/>
    </row>
    <row r="28446" spans="1:2" x14ac:dyDescent="0.25">
      <c r="A28446"/>
      <c r="B28446"/>
    </row>
    <row r="28447" spans="1:2" x14ac:dyDescent="0.25">
      <c r="A28447"/>
      <c r="B28447"/>
    </row>
    <row r="28448" spans="1:2" x14ac:dyDescent="0.25">
      <c r="A28448"/>
      <c r="B28448"/>
    </row>
    <row r="28449" spans="1:2" x14ac:dyDescent="0.25">
      <c r="A28449"/>
      <c r="B28449"/>
    </row>
    <row r="28450" spans="1:2" x14ac:dyDescent="0.25">
      <c r="A28450"/>
      <c r="B28450"/>
    </row>
    <row r="28451" spans="1:2" x14ac:dyDescent="0.25">
      <c r="A28451"/>
      <c r="B28451"/>
    </row>
    <row r="28452" spans="1:2" x14ac:dyDescent="0.25">
      <c r="A28452"/>
      <c r="B28452"/>
    </row>
    <row r="28453" spans="1:2" x14ac:dyDescent="0.25">
      <c r="A28453"/>
      <c r="B28453"/>
    </row>
    <row r="28454" spans="1:2" x14ac:dyDescent="0.25">
      <c r="A28454"/>
      <c r="B28454"/>
    </row>
    <row r="28455" spans="1:2" x14ac:dyDescent="0.25">
      <c r="A28455"/>
      <c r="B28455"/>
    </row>
    <row r="28456" spans="1:2" x14ac:dyDescent="0.25">
      <c r="A28456"/>
      <c r="B28456"/>
    </row>
    <row r="28457" spans="1:2" x14ac:dyDescent="0.25">
      <c r="A28457"/>
      <c r="B28457"/>
    </row>
    <row r="28458" spans="1:2" x14ac:dyDescent="0.25">
      <c r="A28458"/>
      <c r="B28458"/>
    </row>
    <row r="28459" spans="1:2" x14ac:dyDescent="0.25">
      <c r="A28459"/>
      <c r="B28459"/>
    </row>
    <row r="28460" spans="1:2" x14ac:dyDescent="0.25">
      <c r="A28460"/>
      <c r="B28460"/>
    </row>
    <row r="28461" spans="1:2" x14ac:dyDescent="0.25">
      <c r="A28461"/>
      <c r="B28461"/>
    </row>
    <row r="28462" spans="1:2" x14ac:dyDescent="0.25">
      <c r="A28462"/>
      <c r="B28462"/>
    </row>
    <row r="28463" spans="1:2" x14ac:dyDescent="0.25">
      <c r="A28463"/>
      <c r="B28463"/>
    </row>
    <row r="28464" spans="1:2" x14ac:dyDescent="0.25">
      <c r="A28464"/>
      <c r="B28464"/>
    </row>
    <row r="28465" spans="1:2" x14ac:dyDescent="0.25">
      <c r="A28465"/>
      <c r="B28465"/>
    </row>
    <row r="28466" spans="1:2" x14ac:dyDescent="0.25">
      <c r="A28466"/>
      <c r="B28466"/>
    </row>
    <row r="28467" spans="1:2" x14ac:dyDescent="0.25">
      <c r="A28467"/>
      <c r="B28467"/>
    </row>
    <row r="28468" spans="1:2" x14ac:dyDescent="0.25">
      <c r="A28468"/>
      <c r="B28468"/>
    </row>
    <row r="28469" spans="1:2" x14ac:dyDescent="0.25">
      <c r="A28469"/>
      <c r="B28469"/>
    </row>
    <row r="28470" spans="1:2" x14ac:dyDescent="0.25">
      <c r="A28470"/>
      <c r="B28470"/>
    </row>
    <row r="28471" spans="1:2" x14ac:dyDescent="0.25">
      <c r="A28471"/>
      <c r="B28471"/>
    </row>
    <row r="28472" spans="1:2" x14ac:dyDescent="0.25">
      <c r="A28472"/>
      <c r="B28472"/>
    </row>
    <row r="28473" spans="1:2" x14ac:dyDescent="0.25">
      <c r="A28473"/>
      <c r="B28473"/>
    </row>
    <row r="28474" spans="1:2" x14ac:dyDescent="0.25">
      <c r="A28474"/>
      <c r="B28474"/>
    </row>
    <row r="28475" spans="1:2" x14ac:dyDescent="0.25">
      <c r="A28475"/>
      <c r="B28475"/>
    </row>
    <row r="28476" spans="1:2" x14ac:dyDescent="0.25">
      <c r="A28476"/>
      <c r="B28476"/>
    </row>
    <row r="28477" spans="1:2" x14ac:dyDescent="0.25">
      <c r="A28477"/>
      <c r="B28477"/>
    </row>
    <row r="28478" spans="1:2" x14ac:dyDescent="0.25">
      <c r="A28478"/>
      <c r="B28478"/>
    </row>
    <row r="28479" spans="1:2" x14ac:dyDescent="0.25">
      <c r="A28479"/>
      <c r="B28479"/>
    </row>
    <row r="28480" spans="1:2" x14ac:dyDescent="0.25">
      <c r="A28480"/>
      <c r="B28480"/>
    </row>
    <row r="28481" spans="1:2" x14ac:dyDescent="0.25">
      <c r="A28481"/>
      <c r="B28481"/>
    </row>
    <row r="28482" spans="1:2" x14ac:dyDescent="0.25">
      <c r="A28482"/>
      <c r="B28482"/>
    </row>
    <row r="28483" spans="1:2" x14ac:dyDescent="0.25">
      <c r="A28483"/>
      <c r="B28483"/>
    </row>
    <row r="28484" spans="1:2" x14ac:dyDescent="0.25">
      <c r="A28484"/>
      <c r="B28484"/>
    </row>
    <row r="28485" spans="1:2" x14ac:dyDescent="0.25">
      <c r="A28485"/>
      <c r="B28485"/>
    </row>
    <row r="28486" spans="1:2" x14ac:dyDescent="0.25">
      <c r="A28486"/>
      <c r="B28486"/>
    </row>
    <row r="28487" spans="1:2" x14ac:dyDescent="0.25">
      <c r="A28487"/>
      <c r="B28487"/>
    </row>
    <row r="28488" spans="1:2" x14ac:dyDescent="0.25">
      <c r="A28488"/>
      <c r="B28488"/>
    </row>
    <row r="28489" spans="1:2" x14ac:dyDescent="0.25">
      <c r="A28489"/>
      <c r="B28489"/>
    </row>
    <row r="28490" spans="1:2" x14ac:dyDescent="0.25">
      <c r="A28490"/>
      <c r="B28490"/>
    </row>
    <row r="28491" spans="1:2" x14ac:dyDescent="0.25">
      <c r="A28491"/>
      <c r="B28491"/>
    </row>
    <row r="28492" spans="1:2" x14ac:dyDescent="0.25">
      <c r="A28492"/>
      <c r="B28492"/>
    </row>
    <row r="28493" spans="1:2" x14ac:dyDescent="0.25">
      <c r="A28493"/>
      <c r="B28493"/>
    </row>
    <row r="28494" spans="1:2" x14ac:dyDescent="0.25">
      <c r="A28494"/>
      <c r="B28494"/>
    </row>
    <row r="28495" spans="1:2" x14ac:dyDescent="0.25">
      <c r="A28495"/>
      <c r="B28495"/>
    </row>
    <row r="28496" spans="1:2" x14ac:dyDescent="0.25">
      <c r="A28496"/>
      <c r="B28496"/>
    </row>
    <row r="28497" spans="1:2" x14ac:dyDescent="0.25">
      <c r="A28497"/>
      <c r="B28497"/>
    </row>
    <row r="28498" spans="1:2" x14ac:dyDescent="0.25">
      <c r="A28498"/>
      <c r="B28498"/>
    </row>
    <row r="28499" spans="1:2" x14ac:dyDescent="0.25">
      <c r="A28499"/>
      <c r="B28499"/>
    </row>
    <row r="28500" spans="1:2" x14ac:dyDescent="0.25">
      <c r="A28500"/>
      <c r="B28500"/>
    </row>
    <row r="28501" spans="1:2" x14ac:dyDescent="0.25">
      <c r="A28501"/>
      <c r="B28501"/>
    </row>
    <row r="28502" spans="1:2" x14ac:dyDescent="0.25">
      <c r="A28502"/>
      <c r="B28502"/>
    </row>
    <row r="28503" spans="1:2" x14ac:dyDescent="0.25">
      <c r="A28503"/>
      <c r="B28503"/>
    </row>
    <row r="28504" spans="1:2" x14ac:dyDescent="0.25">
      <c r="A28504"/>
      <c r="B28504"/>
    </row>
    <row r="28505" spans="1:2" x14ac:dyDescent="0.25">
      <c r="A28505"/>
      <c r="B28505"/>
    </row>
    <row r="28506" spans="1:2" x14ac:dyDescent="0.25">
      <c r="A28506"/>
      <c r="B28506"/>
    </row>
    <row r="28507" spans="1:2" x14ac:dyDescent="0.25">
      <c r="A28507"/>
      <c r="B28507"/>
    </row>
    <row r="28508" spans="1:2" x14ac:dyDescent="0.25">
      <c r="A28508"/>
      <c r="B28508"/>
    </row>
    <row r="28509" spans="1:2" x14ac:dyDescent="0.25">
      <c r="A28509"/>
      <c r="B28509"/>
    </row>
    <row r="28510" spans="1:2" x14ac:dyDescent="0.25">
      <c r="A28510"/>
      <c r="B28510"/>
    </row>
    <row r="28511" spans="1:2" x14ac:dyDescent="0.25">
      <c r="A28511"/>
      <c r="B28511"/>
    </row>
    <row r="28512" spans="1:2" x14ac:dyDescent="0.25">
      <c r="A28512"/>
      <c r="B28512"/>
    </row>
    <row r="28513" spans="1:2" x14ac:dyDescent="0.25">
      <c r="A28513"/>
      <c r="B28513"/>
    </row>
    <row r="28514" spans="1:2" x14ac:dyDescent="0.25">
      <c r="A28514"/>
      <c r="B28514"/>
    </row>
    <row r="28515" spans="1:2" x14ac:dyDescent="0.25">
      <c r="A28515"/>
      <c r="B28515"/>
    </row>
    <row r="28516" spans="1:2" x14ac:dyDescent="0.25">
      <c r="A28516"/>
      <c r="B28516"/>
    </row>
    <row r="28517" spans="1:2" x14ac:dyDescent="0.25">
      <c r="A28517"/>
      <c r="B28517"/>
    </row>
    <row r="28518" spans="1:2" x14ac:dyDescent="0.25">
      <c r="A28518"/>
      <c r="B28518"/>
    </row>
    <row r="28519" spans="1:2" x14ac:dyDescent="0.25">
      <c r="A28519"/>
      <c r="B28519"/>
    </row>
    <row r="28520" spans="1:2" x14ac:dyDescent="0.25">
      <c r="A28520"/>
      <c r="B28520"/>
    </row>
    <row r="28521" spans="1:2" x14ac:dyDescent="0.25">
      <c r="A28521"/>
      <c r="B28521"/>
    </row>
    <row r="28522" spans="1:2" x14ac:dyDescent="0.25">
      <c r="A28522"/>
      <c r="B28522"/>
    </row>
    <row r="28523" spans="1:2" x14ac:dyDescent="0.25">
      <c r="A28523"/>
      <c r="B28523"/>
    </row>
    <row r="28524" spans="1:2" x14ac:dyDescent="0.25">
      <c r="A28524"/>
      <c r="B28524"/>
    </row>
    <row r="28525" spans="1:2" x14ac:dyDescent="0.25">
      <c r="A28525"/>
      <c r="B28525"/>
    </row>
    <row r="28526" spans="1:2" x14ac:dyDescent="0.25">
      <c r="A28526"/>
      <c r="B28526"/>
    </row>
    <row r="28527" spans="1:2" x14ac:dyDescent="0.25">
      <c r="A28527"/>
      <c r="B28527"/>
    </row>
    <row r="28528" spans="1:2" x14ac:dyDescent="0.25">
      <c r="A28528"/>
      <c r="B28528"/>
    </row>
    <row r="28529" spans="1:2" x14ac:dyDescent="0.25">
      <c r="A28529"/>
      <c r="B28529"/>
    </row>
    <row r="28530" spans="1:2" x14ac:dyDescent="0.25">
      <c r="A28530"/>
      <c r="B28530"/>
    </row>
    <row r="28531" spans="1:2" x14ac:dyDescent="0.25">
      <c r="A28531"/>
      <c r="B28531"/>
    </row>
    <row r="28532" spans="1:2" x14ac:dyDescent="0.25">
      <c r="A28532"/>
      <c r="B28532"/>
    </row>
    <row r="28533" spans="1:2" x14ac:dyDescent="0.25">
      <c r="A28533"/>
      <c r="B28533"/>
    </row>
    <row r="28534" spans="1:2" x14ac:dyDescent="0.25">
      <c r="A28534"/>
      <c r="B28534"/>
    </row>
    <row r="28535" spans="1:2" x14ac:dyDescent="0.25">
      <c r="A28535"/>
      <c r="B28535"/>
    </row>
    <row r="28536" spans="1:2" x14ac:dyDescent="0.25">
      <c r="A28536"/>
      <c r="B28536"/>
    </row>
    <row r="28537" spans="1:2" x14ac:dyDescent="0.25">
      <c r="A28537"/>
      <c r="B28537"/>
    </row>
    <row r="28538" spans="1:2" x14ac:dyDescent="0.25">
      <c r="A28538"/>
      <c r="B28538"/>
    </row>
    <row r="28539" spans="1:2" x14ac:dyDescent="0.25">
      <c r="A28539"/>
      <c r="B28539"/>
    </row>
    <row r="28540" spans="1:2" x14ac:dyDescent="0.25">
      <c r="A28540"/>
      <c r="B28540"/>
    </row>
    <row r="28541" spans="1:2" x14ac:dyDescent="0.25">
      <c r="A28541"/>
      <c r="B28541"/>
    </row>
    <row r="28542" spans="1:2" x14ac:dyDescent="0.25">
      <c r="A28542"/>
      <c r="B28542"/>
    </row>
    <row r="28543" spans="1:2" x14ac:dyDescent="0.25">
      <c r="A28543"/>
      <c r="B28543"/>
    </row>
    <row r="28544" spans="1:2" x14ac:dyDescent="0.25">
      <c r="A28544"/>
      <c r="B28544"/>
    </row>
    <row r="28545" spans="1:2" x14ac:dyDescent="0.25">
      <c r="A28545"/>
      <c r="B28545"/>
    </row>
    <row r="28546" spans="1:2" x14ac:dyDescent="0.25">
      <c r="A28546"/>
      <c r="B28546"/>
    </row>
    <row r="28547" spans="1:2" x14ac:dyDescent="0.25">
      <c r="A28547"/>
      <c r="B28547"/>
    </row>
    <row r="28548" spans="1:2" x14ac:dyDescent="0.25">
      <c r="A28548"/>
      <c r="B28548"/>
    </row>
    <row r="28549" spans="1:2" x14ac:dyDescent="0.25">
      <c r="A28549"/>
      <c r="B28549"/>
    </row>
    <row r="28550" spans="1:2" x14ac:dyDescent="0.25">
      <c r="A28550"/>
      <c r="B28550"/>
    </row>
    <row r="28551" spans="1:2" x14ac:dyDescent="0.25">
      <c r="A28551"/>
      <c r="B28551"/>
    </row>
    <row r="28552" spans="1:2" x14ac:dyDescent="0.25">
      <c r="A28552"/>
      <c r="B28552"/>
    </row>
    <row r="28553" spans="1:2" x14ac:dyDescent="0.25">
      <c r="A28553"/>
      <c r="B28553"/>
    </row>
    <row r="28554" spans="1:2" x14ac:dyDescent="0.25">
      <c r="A28554"/>
      <c r="B28554"/>
    </row>
    <row r="28555" spans="1:2" x14ac:dyDescent="0.25">
      <c r="A28555"/>
      <c r="B28555"/>
    </row>
    <row r="28556" spans="1:2" x14ac:dyDescent="0.25">
      <c r="A28556"/>
      <c r="B28556"/>
    </row>
    <row r="28557" spans="1:2" x14ac:dyDescent="0.25">
      <c r="A28557"/>
      <c r="B28557"/>
    </row>
    <row r="28558" spans="1:2" x14ac:dyDescent="0.25">
      <c r="A28558"/>
      <c r="B28558"/>
    </row>
    <row r="28559" spans="1:2" x14ac:dyDescent="0.25">
      <c r="A28559"/>
      <c r="B28559"/>
    </row>
    <row r="28560" spans="1:2" x14ac:dyDescent="0.25">
      <c r="A28560"/>
      <c r="B28560"/>
    </row>
    <row r="28561" spans="1:2" x14ac:dyDescent="0.25">
      <c r="A28561"/>
      <c r="B28561"/>
    </row>
    <row r="28562" spans="1:2" x14ac:dyDescent="0.25">
      <c r="A28562"/>
      <c r="B28562"/>
    </row>
    <row r="28563" spans="1:2" x14ac:dyDescent="0.25">
      <c r="A28563"/>
      <c r="B28563"/>
    </row>
    <row r="28564" spans="1:2" x14ac:dyDescent="0.25">
      <c r="A28564"/>
      <c r="B28564"/>
    </row>
    <row r="28565" spans="1:2" x14ac:dyDescent="0.25">
      <c r="A28565"/>
      <c r="B28565"/>
    </row>
    <row r="28566" spans="1:2" x14ac:dyDescent="0.25">
      <c r="A28566"/>
      <c r="B28566"/>
    </row>
    <row r="28567" spans="1:2" x14ac:dyDescent="0.25">
      <c r="A28567"/>
      <c r="B28567"/>
    </row>
    <row r="28568" spans="1:2" x14ac:dyDescent="0.25">
      <c r="A28568"/>
      <c r="B28568"/>
    </row>
    <row r="28569" spans="1:2" x14ac:dyDescent="0.25">
      <c r="A28569"/>
      <c r="B28569"/>
    </row>
    <row r="28570" spans="1:2" x14ac:dyDescent="0.25">
      <c r="A28570"/>
      <c r="B28570"/>
    </row>
    <row r="28571" spans="1:2" x14ac:dyDescent="0.25">
      <c r="A28571"/>
      <c r="B28571"/>
    </row>
    <row r="28572" spans="1:2" x14ac:dyDescent="0.25">
      <c r="A28572"/>
      <c r="B28572"/>
    </row>
    <row r="28573" spans="1:2" x14ac:dyDescent="0.25">
      <c r="A28573"/>
      <c r="B28573"/>
    </row>
    <row r="28574" spans="1:2" x14ac:dyDescent="0.25">
      <c r="A28574"/>
      <c r="B28574"/>
    </row>
    <row r="28575" spans="1:2" x14ac:dyDescent="0.25">
      <c r="A28575"/>
      <c r="B28575"/>
    </row>
    <row r="28576" spans="1:2" x14ac:dyDescent="0.25">
      <c r="A28576"/>
      <c r="B28576"/>
    </row>
    <row r="28577" spans="1:2" x14ac:dyDescent="0.25">
      <c r="A28577"/>
      <c r="B28577"/>
    </row>
    <row r="28578" spans="1:2" x14ac:dyDescent="0.25">
      <c r="A28578"/>
      <c r="B28578"/>
    </row>
    <row r="28579" spans="1:2" x14ac:dyDescent="0.25">
      <c r="A28579"/>
      <c r="B28579"/>
    </row>
    <row r="28580" spans="1:2" x14ac:dyDescent="0.25">
      <c r="A28580"/>
      <c r="B28580"/>
    </row>
    <row r="28581" spans="1:2" x14ac:dyDescent="0.25">
      <c r="A28581"/>
      <c r="B28581"/>
    </row>
    <row r="28582" spans="1:2" x14ac:dyDescent="0.25">
      <c r="A28582"/>
      <c r="B28582"/>
    </row>
    <row r="28583" spans="1:2" x14ac:dyDescent="0.25">
      <c r="A28583"/>
      <c r="B28583"/>
    </row>
    <row r="28584" spans="1:2" x14ac:dyDescent="0.25">
      <c r="A28584"/>
      <c r="B28584"/>
    </row>
    <row r="28585" spans="1:2" x14ac:dyDescent="0.25">
      <c r="A28585"/>
      <c r="B28585"/>
    </row>
    <row r="28586" spans="1:2" x14ac:dyDescent="0.25">
      <c r="A28586"/>
      <c r="B28586"/>
    </row>
    <row r="28587" spans="1:2" x14ac:dyDescent="0.25">
      <c r="A28587"/>
      <c r="B28587"/>
    </row>
    <row r="28588" spans="1:2" x14ac:dyDescent="0.25">
      <c r="A28588"/>
      <c r="B28588"/>
    </row>
    <row r="28589" spans="1:2" x14ac:dyDescent="0.25">
      <c r="A28589"/>
      <c r="B28589"/>
    </row>
    <row r="28590" spans="1:2" x14ac:dyDescent="0.25">
      <c r="A28590"/>
      <c r="B28590"/>
    </row>
    <row r="28591" spans="1:2" x14ac:dyDescent="0.25">
      <c r="A28591"/>
      <c r="B28591"/>
    </row>
    <row r="28592" spans="1:2" x14ac:dyDescent="0.25">
      <c r="A28592"/>
      <c r="B28592"/>
    </row>
    <row r="28593" spans="1:2" x14ac:dyDescent="0.25">
      <c r="A28593"/>
      <c r="B28593"/>
    </row>
    <row r="28594" spans="1:2" x14ac:dyDescent="0.25">
      <c r="A28594"/>
      <c r="B28594"/>
    </row>
    <row r="28595" spans="1:2" x14ac:dyDescent="0.25">
      <c r="A28595"/>
      <c r="B28595"/>
    </row>
    <row r="28596" spans="1:2" x14ac:dyDescent="0.25">
      <c r="A28596"/>
      <c r="B28596"/>
    </row>
    <row r="28597" spans="1:2" x14ac:dyDescent="0.25">
      <c r="A28597"/>
      <c r="B28597"/>
    </row>
    <row r="28598" spans="1:2" x14ac:dyDescent="0.25">
      <c r="A28598"/>
      <c r="B28598"/>
    </row>
    <row r="28599" spans="1:2" x14ac:dyDescent="0.25">
      <c r="A28599"/>
      <c r="B28599"/>
    </row>
    <row r="28600" spans="1:2" x14ac:dyDescent="0.25">
      <c r="A28600"/>
      <c r="B28600"/>
    </row>
    <row r="28601" spans="1:2" x14ac:dyDescent="0.25">
      <c r="A28601"/>
      <c r="B28601"/>
    </row>
    <row r="28602" spans="1:2" x14ac:dyDescent="0.25">
      <c r="A28602"/>
      <c r="B28602"/>
    </row>
    <row r="28603" spans="1:2" x14ac:dyDescent="0.25">
      <c r="A28603"/>
      <c r="B28603"/>
    </row>
    <row r="28604" spans="1:2" x14ac:dyDescent="0.25">
      <c r="A28604"/>
      <c r="B28604"/>
    </row>
    <row r="28605" spans="1:2" x14ac:dyDescent="0.25">
      <c r="A28605"/>
      <c r="B28605"/>
    </row>
    <row r="28606" spans="1:2" x14ac:dyDescent="0.25">
      <c r="A28606"/>
      <c r="B28606"/>
    </row>
    <row r="28607" spans="1:2" x14ac:dyDescent="0.25">
      <c r="A28607"/>
      <c r="B28607"/>
    </row>
    <row r="28608" spans="1:2" x14ac:dyDescent="0.25">
      <c r="A28608"/>
      <c r="B28608"/>
    </row>
    <row r="28609" spans="1:2" x14ac:dyDescent="0.25">
      <c r="A28609"/>
      <c r="B28609"/>
    </row>
    <row r="28610" spans="1:2" x14ac:dyDescent="0.25">
      <c r="A28610"/>
      <c r="B28610"/>
    </row>
    <row r="28611" spans="1:2" x14ac:dyDescent="0.25">
      <c r="A28611"/>
      <c r="B28611"/>
    </row>
    <row r="28612" spans="1:2" x14ac:dyDescent="0.25">
      <c r="A28612"/>
      <c r="B28612"/>
    </row>
    <row r="28613" spans="1:2" x14ac:dyDescent="0.25">
      <c r="A28613"/>
      <c r="B28613"/>
    </row>
    <row r="28614" spans="1:2" x14ac:dyDescent="0.25">
      <c r="A28614"/>
      <c r="B28614"/>
    </row>
    <row r="28615" spans="1:2" x14ac:dyDescent="0.25">
      <c r="A28615"/>
      <c r="B28615"/>
    </row>
    <row r="28616" spans="1:2" x14ac:dyDescent="0.25">
      <c r="A28616"/>
      <c r="B28616"/>
    </row>
    <row r="28617" spans="1:2" x14ac:dyDescent="0.25">
      <c r="A28617"/>
      <c r="B28617"/>
    </row>
    <row r="28618" spans="1:2" x14ac:dyDescent="0.25">
      <c r="A28618"/>
      <c r="B28618"/>
    </row>
    <row r="28619" spans="1:2" x14ac:dyDescent="0.25">
      <c r="A28619"/>
      <c r="B28619"/>
    </row>
    <row r="28620" spans="1:2" x14ac:dyDescent="0.25">
      <c r="A28620"/>
      <c r="B28620"/>
    </row>
    <row r="28621" spans="1:2" x14ac:dyDescent="0.25">
      <c r="A28621"/>
      <c r="B28621"/>
    </row>
    <row r="28622" spans="1:2" x14ac:dyDescent="0.25">
      <c r="A28622"/>
      <c r="B28622"/>
    </row>
    <row r="28623" spans="1:2" x14ac:dyDescent="0.25">
      <c r="A28623"/>
      <c r="B28623"/>
    </row>
    <row r="28624" spans="1:2" x14ac:dyDescent="0.25">
      <c r="A28624"/>
      <c r="B28624"/>
    </row>
    <row r="28625" spans="1:2" x14ac:dyDescent="0.25">
      <c r="A28625"/>
      <c r="B28625"/>
    </row>
    <row r="28626" spans="1:2" x14ac:dyDescent="0.25">
      <c r="A28626"/>
      <c r="B28626"/>
    </row>
    <row r="28627" spans="1:2" x14ac:dyDescent="0.25">
      <c r="A28627"/>
      <c r="B28627"/>
    </row>
    <row r="28628" spans="1:2" x14ac:dyDescent="0.25">
      <c r="A28628"/>
      <c r="B28628"/>
    </row>
    <row r="28629" spans="1:2" x14ac:dyDescent="0.25">
      <c r="A28629"/>
      <c r="B28629"/>
    </row>
    <row r="28630" spans="1:2" x14ac:dyDescent="0.25">
      <c r="A28630"/>
      <c r="B28630"/>
    </row>
    <row r="28631" spans="1:2" x14ac:dyDescent="0.25">
      <c r="A28631"/>
      <c r="B28631"/>
    </row>
    <row r="28632" spans="1:2" x14ac:dyDescent="0.25">
      <c r="A28632"/>
      <c r="B28632"/>
    </row>
    <row r="28633" spans="1:2" x14ac:dyDescent="0.25">
      <c r="A28633"/>
      <c r="B28633"/>
    </row>
    <row r="28634" spans="1:2" x14ac:dyDescent="0.25">
      <c r="A28634"/>
      <c r="B28634"/>
    </row>
    <row r="28635" spans="1:2" x14ac:dyDescent="0.25">
      <c r="A28635"/>
      <c r="B28635"/>
    </row>
    <row r="28636" spans="1:2" x14ac:dyDescent="0.25">
      <c r="A28636"/>
      <c r="B28636"/>
    </row>
    <row r="28637" spans="1:2" x14ac:dyDescent="0.25">
      <c r="A28637"/>
      <c r="B28637"/>
    </row>
    <row r="28638" spans="1:2" x14ac:dyDescent="0.25">
      <c r="A28638"/>
      <c r="B28638"/>
    </row>
    <row r="28639" spans="1:2" x14ac:dyDescent="0.25">
      <c r="A28639"/>
      <c r="B28639"/>
    </row>
    <row r="28640" spans="1:2" x14ac:dyDescent="0.25">
      <c r="A28640"/>
      <c r="B28640"/>
    </row>
    <row r="28641" spans="1:2" x14ac:dyDescent="0.25">
      <c r="A28641"/>
      <c r="B28641"/>
    </row>
    <row r="28642" spans="1:2" x14ac:dyDescent="0.25">
      <c r="A28642"/>
      <c r="B28642"/>
    </row>
    <row r="28643" spans="1:2" x14ac:dyDescent="0.25">
      <c r="A28643"/>
      <c r="B28643"/>
    </row>
    <row r="28644" spans="1:2" x14ac:dyDescent="0.25">
      <c r="A28644"/>
      <c r="B28644"/>
    </row>
    <row r="28645" spans="1:2" x14ac:dyDescent="0.25">
      <c r="A28645"/>
      <c r="B28645"/>
    </row>
    <row r="28646" spans="1:2" x14ac:dyDescent="0.25">
      <c r="A28646"/>
      <c r="B28646"/>
    </row>
    <row r="28647" spans="1:2" x14ac:dyDescent="0.25">
      <c r="A28647"/>
      <c r="B28647"/>
    </row>
    <row r="28648" spans="1:2" x14ac:dyDescent="0.25">
      <c r="A28648"/>
      <c r="B28648"/>
    </row>
    <row r="28649" spans="1:2" x14ac:dyDescent="0.25">
      <c r="A28649"/>
      <c r="B28649"/>
    </row>
    <row r="28650" spans="1:2" x14ac:dyDescent="0.25">
      <c r="A28650"/>
      <c r="B28650"/>
    </row>
    <row r="28651" spans="1:2" x14ac:dyDescent="0.25">
      <c r="A28651"/>
      <c r="B28651"/>
    </row>
    <row r="28652" spans="1:2" x14ac:dyDescent="0.25">
      <c r="A28652"/>
      <c r="B28652"/>
    </row>
    <row r="28653" spans="1:2" x14ac:dyDescent="0.25">
      <c r="A28653"/>
      <c r="B28653"/>
    </row>
    <row r="28654" spans="1:2" x14ac:dyDescent="0.25">
      <c r="A28654"/>
      <c r="B28654"/>
    </row>
    <row r="28655" spans="1:2" x14ac:dyDescent="0.25">
      <c r="A28655"/>
      <c r="B28655"/>
    </row>
    <row r="28656" spans="1:2" x14ac:dyDescent="0.25">
      <c r="A28656"/>
      <c r="B28656"/>
    </row>
    <row r="28657" spans="1:2" x14ac:dyDescent="0.25">
      <c r="A28657"/>
      <c r="B28657"/>
    </row>
    <row r="28658" spans="1:2" x14ac:dyDescent="0.25">
      <c r="A28658"/>
      <c r="B28658"/>
    </row>
    <row r="28659" spans="1:2" x14ac:dyDescent="0.25">
      <c r="A28659"/>
      <c r="B28659"/>
    </row>
    <row r="28660" spans="1:2" x14ac:dyDescent="0.25">
      <c r="A28660"/>
      <c r="B28660"/>
    </row>
    <row r="28661" spans="1:2" x14ac:dyDescent="0.25">
      <c r="A28661"/>
      <c r="B28661"/>
    </row>
    <row r="28662" spans="1:2" x14ac:dyDescent="0.25">
      <c r="A28662"/>
      <c r="B28662"/>
    </row>
    <row r="28663" spans="1:2" x14ac:dyDescent="0.25">
      <c r="A28663"/>
      <c r="B28663"/>
    </row>
    <row r="28664" spans="1:2" x14ac:dyDescent="0.25">
      <c r="A28664"/>
      <c r="B28664"/>
    </row>
    <row r="28665" spans="1:2" x14ac:dyDescent="0.25">
      <c r="A28665"/>
      <c r="B28665"/>
    </row>
    <row r="28666" spans="1:2" x14ac:dyDescent="0.25">
      <c r="A28666"/>
      <c r="B28666"/>
    </row>
    <row r="28667" spans="1:2" x14ac:dyDescent="0.25">
      <c r="A28667"/>
      <c r="B28667"/>
    </row>
    <row r="28668" spans="1:2" x14ac:dyDescent="0.25">
      <c r="A28668"/>
      <c r="B28668"/>
    </row>
    <row r="28669" spans="1:2" x14ac:dyDescent="0.25">
      <c r="A28669"/>
      <c r="B28669"/>
    </row>
    <row r="28670" spans="1:2" x14ac:dyDescent="0.25">
      <c r="A28670"/>
      <c r="B28670"/>
    </row>
    <row r="28671" spans="1:2" x14ac:dyDescent="0.25">
      <c r="A28671"/>
      <c r="B28671"/>
    </row>
    <row r="28672" spans="1:2" x14ac:dyDescent="0.25">
      <c r="A28672"/>
      <c r="B28672"/>
    </row>
    <row r="28673" spans="1:2" x14ac:dyDescent="0.25">
      <c r="A28673"/>
      <c r="B28673"/>
    </row>
    <row r="28674" spans="1:2" x14ac:dyDescent="0.25">
      <c r="A28674"/>
      <c r="B28674"/>
    </row>
    <row r="28675" spans="1:2" x14ac:dyDescent="0.25">
      <c r="A28675"/>
      <c r="B28675"/>
    </row>
    <row r="28676" spans="1:2" x14ac:dyDescent="0.25">
      <c r="A28676"/>
      <c r="B28676"/>
    </row>
    <row r="28677" spans="1:2" x14ac:dyDescent="0.25">
      <c r="A28677"/>
      <c r="B28677"/>
    </row>
    <row r="28678" spans="1:2" x14ac:dyDescent="0.25">
      <c r="A28678"/>
      <c r="B28678"/>
    </row>
    <row r="28679" spans="1:2" x14ac:dyDescent="0.25">
      <c r="A28679"/>
      <c r="B28679"/>
    </row>
    <row r="28680" spans="1:2" x14ac:dyDescent="0.25">
      <c r="A28680"/>
      <c r="B28680"/>
    </row>
    <row r="28681" spans="1:2" x14ac:dyDescent="0.25">
      <c r="A28681"/>
      <c r="B28681"/>
    </row>
    <row r="28682" spans="1:2" x14ac:dyDescent="0.25">
      <c r="A28682"/>
      <c r="B28682"/>
    </row>
    <row r="28683" spans="1:2" x14ac:dyDescent="0.25">
      <c r="A28683"/>
      <c r="B28683"/>
    </row>
    <row r="28684" spans="1:2" x14ac:dyDescent="0.25">
      <c r="A28684"/>
      <c r="B28684"/>
    </row>
    <row r="28685" spans="1:2" x14ac:dyDescent="0.25">
      <c r="A28685"/>
      <c r="B28685"/>
    </row>
    <row r="28686" spans="1:2" x14ac:dyDescent="0.25">
      <c r="A28686"/>
      <c r="B28686"/>
    </row>
    <row r="28687" spans="1:2" x14ac:dyDescent="0.25">
      <c r="A28687"/>
      <c r="B28687"/>
    </row>
    <row r="28688" spans="1:2" x14ac:dyDescent="0.25">
      <c r="A28688"/>
      <c r="B28688"/>
    </row>
    <row r="28689" spans="1:2" x14ac:dyDescent="0.25">
      <c r="A28689"/>
      <c r="B28689"/>
    </row>
    <row r="28690" spans="1:2" x14ac:dyDescent="0.25">
      <c r="A28690"/>
      <c r="B28690"/>
    </row>
    <row r="28691" spans="1:2" x14ac:dyDescent="0.25">
      <c r="A28691"/>
      <c r="B28691"/>
    </row>
    <row r="28692" spans="1:2" x14ac:dyDescent="0.25">
      <c r="A28692"/>
      <c r="B28692"/>
    </row>
    <row r="28693" spans="1:2" x14ac:dyDescent="0.25">
      <c r="A28693"/>
      <c r="B28693"/>
    </row>
    <row r="28694" spans="1:2" x14ac:dyDescent="0.25">
      <c r="A28694"/>
      <c r="B28694"/>
    </row>
    <row r="28695" spans="1:2" x14ac:dyDescent="0.25">
      <c r="A28695"/>
      <c r="B28695"/>
    </row>
    <row r="28696" spans="1:2" x14ac:dyDescent="0.25">
      <c r="A28696"/>
      <c r="B28696"/>
    </row>
    <row r="28697" spans="1:2" x14ac:dyDescent="0.25">
      <c r="A28697"/>
      <c r="B28697"/>
    </row>
    <row r="28698" spans="1:2" x14ac:dyDescent="0.25">
      <c r="A28698"/>
      <c r="B28698"/>
    </row>
    <row r="28699" spans="1:2" x14ac:dyDescent="0.25">
      <c r="A28699"/>
      <c r="B28699"/>
    </row>
    <row r="28700" spans="1:2" x14ac:dyDescent="0.25">
      <c r="A28700"/>
      <c r="B28700"/>
    </row>
    <row r="28701" spans="1:2" x14ac:dyDescent="0.25">
      <c r="A28701"/>
      <c r="B28701"/>
    </row>
    <row r="28702" spans="1:2" x14ac:dyDescent="0.25">
      <c r="A28702"/>
      <c r="B28702"/>
    </row>
    <row r="28703" spans="1:2" x14ac:dyDescent="0.25">
      <c r="A28703"/>
      <c r="B28703"/>
    </row>
    <row r="28704" spans="1:2" x14ac:dyDescent="0.25">
      <c r="A28704"/>
      <c r="B28704"/>
    </row>
    <row r="28705" spans="1:2" x14ac:dyDescent="0.25">
      <c r="A28705"/>
      <c r="B28705"/>
    </row>
    <row r="28706" spans="1:2" x14ac:dyDescent="0.25">
      <c r="A28706"/>
      <c r="B28706"/>
    </row>
    <row r="28707" spans="1:2" x14ac:dyDescent="0.25">
      <c r="A28707"/>
      <c r="B28707"/>
    </row>
    <row r="28708" spans="1:2" x14ac:dyDescent="0.25">
      <c r="A28708"/>
      <c r="B28708"/>
    </row>
    <row r="28709" spans="1:2" x14ac:dyDescent="0.25">
      <c r="A28709"/>
      <c r="B28709"/>
    </row>
    <row r="28710" spans="1:2" x14ac:dyDescent="0.25">
      <c r="A28710"/>
      <c r="B28710"/>
    </row>
    <row r="28711" spans="1:2" x14ac:dyDescent="0.25">
      <c r="A28711"/>
      <c r="B28711"/>
    </row>
    <row r="28712" spans="1:2" x14ac:dyDescent="0.25">
      <c r="A28712"/>
      <c r="B28712"/>
    </row>
    <row r="28713" spans="1:2" x14ac:dyDescent="0.25">
      <c r="A28713"/>
      <c r="B28713"/>
    </row>
    <row r="28714" spans="1:2" x14ac:dyDescent="0.25">
      <c r="A28714"/>
      <c r="B28714"/>
    </row>
    <row r="28715" spans="1:2" x14ac:dyDescent="0.25">
      <c r="A28715"/>
      <c r="B28715"/>
    </row>
    <row r="28716" spans="1:2" x14ac:dyDescent="0.25">
      <c r="A28716"/>
      <c r="B28716"/>
    </row>
    <row r="28717" spans="1:2" x14ac:dyDescent="0.25">
      <c r="A28717"/>
      <c r="B28717"/>
    </row>
    <row r="28718" spans="1:2" x14ac:dyDescent="0.25">
      <c r="A28718"/>
      <c r="B28718"/>
    </row>
    <row r="28719" spans="1:2" x14ac:dyDescent="0.25">
      <c r="A28719"/>
      <c r="B28719"/>
    </row>
    <row r="28720" spans="1:2" x14ac:dyDescent="0.25">
      <c r="A28720"/>
      <c r="B28720"/>
    </row>
    <row r="28721" spans="1:2" x14ac:dyDescent="0.25">
      <c r="A28721"/>
      <c r="B28721"/>
    </row>
    <row r="28722" spans="1:2" x14ac:dyDescent="0.25">
      <c r="A28722"/>
      <c r="B28722"/>
    </row>
    <row r="28723" spans="1:2" x14ac:dyDescent="0.25">
      <c r="A28723"/>
      <c r="B28723"/>
    </row>
    <row r="28724" spans="1:2" x14ac:dyDescent="0.25">
      <c r="A28724"/>
      <c r="B28724"/>
    </row>
    <row r="28725" spans="1:2" x14ac:dyDescent="0.25">
      <c r="A28725"/>
      <c r="B28725"/>
    </row>
    <row r="28726" spans="1:2" x14ac:dyDescent="0.25">
      <c r="A28726"/>
      <c r="B28726"/>
    </row>
    <row r="28727" spans="1:2" x14ac:dyDescent="0.25">
      <c r="A28727"/>
      <c r="B28727"/>
    </row>
    <row r="28728" spans="1:2" x14ac:dyDescent="0.25">
      <c r="A28728"/>
      <c r="B28728"/>
    </row>
    <row r="28729" spans="1:2" x14ac:dyDescent="0.25">
      <c r="A28729"/>
      <c r="B28729"/>
    </row>
    <row r="28730" spans="1:2" x14ac:dyDescent="0.25">
      <c r="A28730"/>
      <c r="B28730"/>
    </row>
    <row r="28731" spans="1:2" x14ac:dyDescent="0.25">
      <c r="A28731"/>
      <c r="B28731"/>
    </row>
    <row r="28732" spans="1:2" x14ac:dyDescent="0.25">
      <c r="A28732"/>
      <c r="B28732"/>
    </row>
    <row r="28733" spans="1:2" x14ac:dyDescent="0.25">
      <c r="A28733"/>
      <c r="B28733"/>
    </row>
    <row r="28734" spans="1:2" x14ac:dyDescent="0.25">
      <c r="A28734"/>
      <c r="B28734"/>
    </row>
    <row r="28735" spans="1:2" x14ac:dyDescent="0.25">
      <c r="A28735"/>
      <c r="B28735"/>
    </row>
    <row r="28736" spans="1:2" x14ac:dyDescent="0.25">
      <c r="A28736"/>
      <c r="B28736"/>
    </row>
    <row r="28737" spans="1:2" x14ac:dyDescent="0.25">
      <c r="A28737"/>
      <c r="B28737"/>
    </row>
    <row r="28738" spans="1:2" x14ac:dyDescent="0.25">
      <c r="A28738"/>
      <c r="B28738"/>
    </row>
    <row r="28739" spans="1:2" x14ac:dyDescent="0.25">
      <c r="A28739"/>
      <c r="B28739"/>
    </row>
    <row r="28740" spans="1:2" x14ac:dyDescent="0.25">
      <c r="A28740"/>
      <c r="B28740"/>
    </row>
    <row r="28741" spans="1:2" x14ac:dyDescent="0.25">
      <c r="A28741"/>
      <c r="B28741"/>
    </row>
    <row r="28742" spans="1:2" x14ac:dyDescent="0.25">
      <c r="A28742"/>
      <c r="B28742"/>
    </row>
    <row r="28743" spans="1:2" x14ac:dyDescent="0.25">
      <c r="A28743"/>
      <c r="B28743"/>
    </row>
    <row r="28744" spans="1:2" x14ac:dyDescent="0.25">
      <c r="A28744"/>
      <c r="B28744"/>
    </row>
    <row r="28745" spans="1:2" x14ac:dyDescent="0.25">
      <c r="A28745"/>
      <c r="B28745"/>
    </row>
    <row r="28746" spans="1:2" x14ac:dyDescent="0.25">
      <c r="A28746"/>
      <c r="B28746"/>
    </row>
    <row r="28747" spans="1:2" x14ac:dyDescent="0.25">
      <c r="A28747"/>
      <c r="B28747"/>
    </row>
    <row r="28748" spans="1:2" x14ac:dyDescent="0.25">
      <c r="A28748"/>
      <c r="B28748"/>
    </row>
    <row r="28749" spans="1:2" x14ac:dyDescent="0.25">
      <c r="A28749"/>
      <c r="B28749"/>
    </row>
    <row r="28750" spans="1:2" x14ac:dyDescent="0.25">
      <c r="A28750"/>
      <c r="B28750"/>
    </row>
    <row r="28751" spans="1:2" x14ac:dyDescent="0.25">
      <c r="A28751"/>
      <c r="B28751"/>
    </row>
    <row r="28752" spans="1:2" x14ac:dyDescent="0.25">
      <c r="A28752"/>
      <c r="B28752"/>
    </row>
    <row r="28753" spans="1:2" x14ac:dyDescent="0.25">
      <c r="A28753"/>
      <c r="B28753"/>
    </row>
    <row r="28754" spans="1:2" x14ac:dyDescent="0.25">
      <c r="A28754"/>
      <c r="B28754"/>
    </row>
    <row r="28755" spans="1:2" x14ac:dyDescent="0.25">
      <c r="A28755"/>
      <c r="B28755"/>
    </row>
    <row r="28756" spans="1:2" x14ac:dyDescent="0.25">
      <c r="A28756"/>
      <c r="B28756"/>
    </row>
    <row r="28757" spans="1:2" x14ac:dyDescent="0.25">
      <c r="A28757"/>
      <c r="B28757"/>
    </row>
    <row r="28758" spans="1:2" x14ac:dyDescent="0.25">
      <c r="A28758"/>
      <c r="B28758"/>
    </row>
    <row r="28759" spans="1:2" x14ac:dyDescent="0.25">
      <c r="A28759"/>
      <c r="B28759"/>
    </row>
    <row r="28760" spans="1:2" x14ac:dyDescent="0.25">
      <c r="A28760"/>
      <c r="B28760"/>
    </row>
    <row r="28761" spans="1:2" x14ac:dyDescent="0.25">
      <c r="A28761"/>
      <c r="B28761"/>
    </row>
    <row r="28762" spans="1:2" x14ac:dyDescent="0.25">
      <c r="A28762"/>
      <c r="B28762"/>
    </row>
    <row r="28763" spans="1:2" x14ac:dyDescent="0.25">
      <c r="A28763"/>
      <c r="B28763"/>
    </row>
    <row r="28764" spans="1:2" x14ac:dyDescent="0.25">
      <c r="A28764"/>
      <c r="B28764"/>
    </row>
    <row r="28765" spans="1:2" x14ac:dyDescent="0.25">
      <c r="A28765"/>
      <c r="B28765"/>
    </row>
    <row r="28766" spans="1:2" x14ac:dyDescent="0.25">
      <c r="A28766"/>
      <c r="B28766"/>
    </row>
    <row r="28767" spans="1:2" x14ac:dyDescent="0.25">
      <c r="A28767"/>
      <c r="B28767"/>
    </row>
    <row r="28768" spans="1:2" x14ac:dyDescent="0.25">
      <c r="A28768"/>
      <c r="B28768"/>
    </row>
    <row r="28769" spans="1:2" x14ac:dyDescent="0.25">
      <c r="A28769"/>
      <c r="B28769"/>
    </row>
    <row r="28770" spans="1:2" x14ac:dyDescent="0.25">
      <c r="A28770"/>
      <c r="B28770"/>
    </row>
    <row r="28771" spans="1:2" x14ac:dyDescent="0.25">
      <c r="A28771"/>
      <c r="B28771"/>
    </row>
    <row r="28772" spans="1:2" x14ac:dyDescent="0.25">
      <c r="A28772"/>
      <c r="B28772"/>
    </row>
    <row r="28773" spans="1:2" x14ac:dyDescent="0.25">
      <c r="A28773"/>
      <c r="B28773"/>
    </row>
    <row r="28774" spans="1:2" x14ac:dyDescent="0.25">
      <c r="A28774"/>
      <c r="B28774"/>
    </row>
    <row r="28775" spans="1:2" x14ac:dyDescent="0.25">
      <c r="A28775"/>
      <c r="B28775"/>
    </row>
    <row r="28776" spans="1:2" x14ac:dyDescent="0.25">
      <c r="A28776"/>
      <c r="B28776"/>
    </row>
    <row r="28777" spans="1:2" x14ac:dyDescent="0.25">
      <c r="A28777"/>
      <c r="B28777"/>
    </row>
    <row r="28778" spans="1:2" x14ac:dyDescent="0.25">
      <c r="A28778"/>
      <c r="B28778"/>
    </row>
    <row r="28779" spans="1:2" x14ac:dyDescent="0.25">
      <c r="A28779"/>
      <c r="B28779"/>
    </row>
    <row r="28780" spans="1:2" x14ac:dyDescent="0.25">
      <c r="A28780"/>
      <c r="B28780"/>
    </row>
    <row r="28781" spans="1:2" x14ac:dyDescent="0.25">
      <c r="A28781"/>
      <c r="B28781"/>
    </row>
    <row r="28782" spans="1:2" x14ac:dyDescent="0.25">
      <c r="A28782"/>
      <c r="B28782"/>
    </row>
    <row r="28783" spans="1:2" x14ac:dyDescent="0.25">
      <c r="A28783"/>
      <c r="B28783"/>
    </row>
    <row r="28784" spans="1:2" x14ac:dyDescent="0.25">
      <c r="A28784"/>
      <c r="B28784"/>
    </row>
    <row r="28785" spans="1:2" x14ac:dyDescent="0.25">
      <c r="A28785"/>
      <c r="B28785"/>
    </row>
    <row r="28786" spans="1:2" x14ac:dyDescent="0.25">
      <c r="A28786"/>
      <c r="B28786"/>
    </row>
    <row r="28787" spans="1:2" x14ac:dyDescent="0.25">
      <c r="A28787"/>
      <c r="B28787"/>
    </row>
    <row r="28788" spans="1:2" x14ac:dyDescent="0.25">
      <c r="A28788"/>
      <c r="B28788"/>
    </row>
    <row r="28789" spans="1:2" x14ac:dyDescent="0.25">
      <c r="A28789"/>
      <c r="B28789"/>
    </row>
    <row r="28790" spans="1:2" x14ac:dyDescent="0.25">
      <c r="A28790"/>
      <c r="B28790"/>
    </row>
    <row r="28791" spans="1:2" x14ac:dyDescent="0.25">
      <c r="A28791"/>
      <c r="B28791"/>
    </row>
    <row r="28792" spans="1:2" x14ac:dyDescent="0.25">
      <c r="A28792"/>
      <c r="B28792"/>
    </row>
    <row r="28793" spans="1:2" x14ac:dyDescent="0.25">
      <c r="A28793"/>
      <c r="B28793"/>
    </row>
    <row r="28794" spans="1:2" x14ac:dyDescent="0.25">
      <c r="A28794"/>
      <c r="B28794"/>
    </row>
    <row r="28795" spans="1:2" x14ac:dyDescent="0.25">
      <c r="A28795"/>
      <c r="B28795"/>
    </row>
    <row r="28796" spans="1:2" x14ac:dyDescent="0.25">
      <c r="A28796"/>
      <c r="B28796"/>
    </row>
    <row r="28797" spans="1:2" x14ac:dyDescent="0.25">
      <c r="A28797"/>
      <c r="B28797"/>
    </row>
    <row r="28798" spans="1:2" x14ac:dyDescent="0.25">
      <c r="A28798"/>
      <c r="B28798"/>
    </row>
    <row r="28799" spans="1:2" x14ac:dyDescent="0.25">
      <c r="A28799"/>
      <c r="B28799"/>
    </row>
    <row r="28800" spans="1:2" x14ac:dyDescent="0.25">
      <c r="A28800"/>
      <c r="B28800"/>
    </row>
    <row r="28801" spans="1:2" x14ac:dyDescent="0.25">
      <c r="A28801"/>
      <c r="B28801"/>
    </row>
    <row r="28802" spans="1:2" x14ac:dyDescent="0.25">
      <c r="A28802"/>
      <c r="B28802"/>
    </row>
    <row r="28803" spans="1:2" x14ac:dyDescent="0.25">
      <c r="A28803"/>
      <c r="B28803"/>
    </row>
    <row r="28804" spans="1:2" x14ac:dyDescent="0.25">
      <c r="A28804"/>
      <c r="B28804"/>
    </row>
    <row r="28805" spans="1:2" x14ac:dyDescent="0.25">
      <c r="A28805"/>
      <c r="B28805"/>
    </row>
    <row r="28806" spans="1:2" x14ac:dyDescent="0.25">
      <c r="A28806"/>
      <c r="B28806"/>
    </row>
    <row r="28807" spans="1:2" x14ac:dyDescent="0.25">
      <c r="A28807"/>
      <c r="B28807"/>
    </row>
    <row r="28808" spans="1:2" x14ac:dyDescent="0.25">
      <c r="A28808"/>
      <c r="B28808"/>
    </row>
    <row r="28809" spans="1:2" x14ac:dyDescent="0.25">
      <c r="A28809"/>
      <c r="B28809"/>
    </row>
    <row r="28810" spans="1:2" x14ac:dyDescent="0.25">
      <c r="A28810"/>
      <c r="B28810"/>
    </row>
    <row r="28811" spans="1:2" x14ac:dyDescent="0.25">
      <c r="A28811"/>
      <c r="B28811"/>
    </row>
    <row r="28812" spans="1:2" x14ac:dyDescent="0.25">
      <c r="A28812"/>
      <c r="B28812"/>
    </row>
    <row r="28813" spans="1:2" x14ac:dyDescent="0.25">
      <c r="A28813"/>
      <c r="B28813"/>
    </row>
    <row r="28814" spans="1:2" x14ac:dyDescent="0.25">
      <c r="A28814"/>
      <c r="B28814"/>
    </row>
    <row r="28815" spans="1:2" x14ac:dyDescent="0.25">
      <c r="A28815"/>
      <c r="B28815"/>
    </row>
    <row r="28816" spans="1:2" x14ac:dyDescent="0.25">
      <c r="A28816"/>
      <c r="B28816"/>
    </row>
    <row r="28817" spans="1:2" x14ac:dyDescent="0.25">
      <c r="A28817"/>
      <c r="B28817"/>
    </row>
    <row r="28818" spans="1:2" x14ac:dyDescent="0.25">
      <c r="A28818"/>
      <c r="B28818"/>
    </row>
    <row r="28819" spans="1:2" x14ac:dyDescent="0.25">
      <c r="A28819"/>
      <c r="B28819"/>
    </row>
    <row r="28820" spans="1:2" x14ac:dyDescent="0.25">
      <c r="A28820"/>
      <c r="B28820"/>
    </row>
    <row r="28821" spans="1:2" x14ac:dyDescent="0.25">
      <c r="A28821"/>
      <c r="B28821"/>
    </row>
    <row r="28822" spans="1:2" x14ac:dyDescent="0.25">
      <c r="A28822"/>
      <c r="B28822"/>
    </row>
    <row r="28823" spans="1:2" x14ac:dyDescent="0.25">
      <c r="A28823"/>
      <c r="B28823"/>
    </row>
    <row r="28824" spans="1:2" x14ac:dyDescent="0.25">
      <c r="A28824"/>
      <c r="B28824"/>
    </row>
    <row r="28825" spans="1:2" x14ac:dyDescent="0.25">
      <c r="A28825"/>
      <c r="B28825"/>
    </row>
    <row r="28826" spans="1:2" x14ac:dyDescent="0.25">
      <c r="A28826"/>
      <c r="B28826"/>
    </row>
    <row r="28827" spans="1:2" x14ac:dyDescent="0.25">
      <c r="A28827"/>
      <c r="B28827"/>
    </row>
    <row r="28828" spans="1:2" x14ac:dyDescent="0.25">
      <c r="A28828"/>
      <c r="B28828"/>
    </row>
    <row r="28829" spans="1:2" x14ac:dyDescent="0.25">
      <c r="A28829"/>
      <c r="B28829"/>
    </row>
    <row r="28830" spans="1:2" x14ac:dyDescent="0.25">
      <c r="A28830"/>
      <c r="B28830"/>
    </row>
    <row r="28831" spans="1:2" x14ac:dyDescent="0.25">
      <c r="A28831"/>
      <c r="B28831"/>
    </row>
    <row r="28832" spans="1:2" x14ac:dyDescent="0.25">
      <c r="A28832"/>
      <c r="B28832"/>
    </row>
    <row r="28833" spans="1:2" x14ac:dyDescent="0.25">
      <c r="A28833"/>
      <c r="B28833"/>
    </row>
    <row r="28834" spans="1:2" x14ac:dyDescent="0.25">
      <c r="A28834"/>
      <c r="B28834"/>
    </row>
    <row r="28835" spans="1:2" x14ac:dyDescent="0.25">
      <c r="A28835"/>
      <c r="B28835"/>
    </row>
    <row r="28836" spans="1:2" x14ac:dyDescent="0.25">
      <c r="A28836"/>
      <c r="B28836"/>
    </row>
    <row r="28837" spans="1:2" x14ac:dyDescent="0.25">
      <c r="A28837"/>
      <c r="B28837"/>
    </row>
    <row r="28838" spans="1:2" x14ac:dyDescent="0.25">
      <c r="A28838"/>
      <c r="B28838"/>
    </row>
    <row r="28839" spans="1:2" x14ac:dyDescent="0.25">
      <c r="A28839"/>
      <c r="B28839"/>
    </row>
    <row r="28840" spans="1:2" x14ac:dyDescent="0.25">
      <c r="A28840"/>
      <c r="B28840"/>
    </row>
    <row r="28841" spans="1:2" x14ac:dyDescent="0.25">
      <c r="A28841"/>
      <c r="B28841"/>
    </row>
    <row r="28842" spans="1:2" x14ac:dyDescent="0.25">
      <c r="A28842"/>
      <c r="B28842"/>
    </row>
    <row r="28843" spans="1:2" x14ac:dyDescent="0.25">
      <c r="A28843"/>
      <c r="B28843"/>
    </row>
    <row r="28844" spans="1:2" x14ac:dyDescent="0.25">
      <c r="A28844"/>
      <c r="B28844"/>
    </row>
    <row r="28845" spans="1:2" x14ac:dyDescent="0.25">
      <c r="A28845"/>
      <c r="B28845"/>
    </row>
    <row r="28846" spans="1:2" x14ac:dyDescent="0.25">
      <c r="A28846"/>
      <c r="B28846"/>
    </row>
    <row r="28847" spans="1:2" x14ac:dyDescent="0.25">
      <c r="A28847"/>
      <c r="B28847"/>
    </row>
    <row r="28848" spans="1:2" x14ac:dyDescent="0.25">
      <c r="A28848"/>
      <c r="B28848"/>
    </row>
    <row r="28849" spans="1:2" x14ac:dyDescent="0.25">
      <c r="A28849"/>
      <c r="B28849"/>
    </row>
    <row r="28850" spans="1:2" x14ac:dyDescent="0.25">
      <c r="A28850"/>
      <c r="B28850"/>
    </row>
    <row r="28851" spans="1:2" x14ac:dyDescent="0.25">
      <c r="A28851"/>
      <c r="B28851"/>
    </row>
    <row r="28852" spans="1:2" x14ac:dyDescent="0.25">
      <c r="A28852"/>
      <c r="B28852"/>
    </row>
    <row r="28853" spans="1:2" x14ac:dyDescent="0.25">
      <c r="A28853"/>
      <c r="B28853"/>
    </row>
    <row r="28854" spans="1:2" x14ac:dyDescent="0.25">
      <c r="A28854"/>
      <c r="B28854"/>
    </row>
    <row r="28855" spans="1:2" x14ac:dyDescent="0.25">
      <c r="A28855"/>
      <c r="B28855"/>
    </row>
    <row r="28856" spans="1:2" x14ac:dyDescent="0.25">
      <c r="A28856"/>
      <c r="B28856"/>
    </row>
    <row r="28857" spans="1:2" x14ac:dyDescent="0.25">
      <c r="A28857"/>
      <c r="B28857"/>
    </row>
    <row r="28858" spans="1:2" x14ac:dyDescent="0.25">
      <c r="A28858"/>
      <c r="B28858"/>
    </row>
    <row r="28859" spans="1:2" x14ac:dyDescent="0.25">
      <c r="A28859"/>
      <c r="B28859"/>
    </row>
    <row r="28860" spans="1:2" x14ac:dyDescent="0.25">
      <c r="A28860"/>
      <c r="B28860"/>
    </row>
    <row r="28861" spans="1:2" x14ac:dyDescent="0.25">
      <c r="A28861"/>
      <c r="B28861"/>
    </row>
    <row r="28862" spans="1:2" x14ac:dyDescent="0.25">
      <c r="A28862"/>
      <c r="B28862"/>
    </row>
    <row r="28863" spans="1:2" x14ac:dyDescent="0.25">
      <c r="A28863"/>
      <c r="B28863"/>
    </row>
    <row r="28864" spans="1:2" x14ac:dyDescent="0.25">
      <c r="A28864"/>
      <c r="B28864"/>
    </row>
    <row r="28865" spans="1:2" x14ac:dyDescent="0.25">
      <c r="A28865"/>
      <c r="B28865"/>
    </row>
    <row r="28866" spans="1:2" x14ac:dyDescent="0.25">
      <c r="A28866"/>
      <c r="B28866"/>
    </row>
    <row r="28867" spans="1:2" x14ac:dyDescent="0.25">
      <c r="A28867"/>
      <c r="B28867"/>
    </row>
    <row r="28868" spans="1:2" x14ac:dyDescent="0.25">
      <c r="A28868"/>
      <c r="B28868"/>
    </row>
    <row r="28869" spans="1:2" x14ac:dyDescent="0.25">
      <c r="A28869"/>
      <c r="B28869"/>
    </row>
    <row r="28870" spans="1:2" x14ac:dyDescent="0.25">
      <c r="A28870"/>
      <c r="B28870"/>
    </row>
    <row r="28871" spans="1:2" x14ac:dyDescent="0.25">
      <c r="A28871"/>
      <c r="B28871"/>
    </row>
    <row r="28872" spans="1:2" x14ac:dyDescent="0.25">
      <c r="A28872"/>
      <c r="B28872"/>
    </row>
    <row r="28873" spans="1:2" x14ac:dyDescent="0.25">
      <c r="A28873"/>
      <c r="B28873"/>
    </row>
    <row r="28874" spans="1:2" x14ac:dyDescent="0.25">
      <c r="A28874"/>
      <c r="B28874"/>
    </row>
    <row r="28875" spans="1:2" x14ac:dyDescent="0.25">
      <c r="A28875"/>
      <c r="B28875"/>
    </row>
    <row r="28876" spans="1:2" x14ac:dyDescent="0.25">
      <c r="A28876"/>
      <c r="B28876"/>
    </row>
    <row r="28877" spans="1:2" x14ac:dyDescent="0.25">
      <c r="A28877"/>
      <c r="B28877"/>
    </row>
    <row r="28878" spans="1:2" x14ac:dyDescent="0.25">
      <c r="A28878"/>
      <c r="B28878"/>
    </row>
    <row r="28879" spans="1:2" x14ac:dyDescent="0.25">
      <c r="A28879"/>
      <c r="B28879"/>
    </row>
    <row r="28880" spans="1:2" x14ac:dyDescent="0.25">
      <c r="A28880"/>
      <c r="B28880"/>
    </row>
    <row r="28881" spans="1:2" x14ac:dyDescent="0.25">
      <c r="A28881"/>
      <c r="B28881"/>
    </row>
    <row r="28882" spans="1:2" x14ac:dyDescent="0.25">
      <c r="A28882"/>
      <c r="B28882"/>
    </row>
    <row r="28883" spans="1:2" x14ac:dyDescent="0.25">
      <c r="A28883"/>
      <c r="B28883"/>
    </row>
    <row r="28884" spans="1:2" x14ac:dyDescent="0.25">
      <c r="A28884"/>
      <c r="B28884"/>
    </row>
    <row r="28885" spans="1:2" x14ac:dyDescent="0.25">
      <c r="A28885"/>
      <c r="B28885"/>
    </row>
    <row r="28886" spans="1:2" x14ac:dyDescent="0.25">
      <c r="A28886"/>
      <c r="B28886"/>
    </row>
    <row r="28887" spans="1:2" x14ac:dyDescent="0.25">
      <c r="A28887"/>
      <c r="B28887"/>
    </row>
    <row r="28888" spans="1:2" x14ac:dyDescent="0.25">
      <c r="A28888"/>
      <c r="B28888"/>
    </row>
    <row r="28889" spans="1:2" x14ac:dyDescent="0.25">
      <c r="A28889"/>
      <c r="B28889"/>
    </row>
    <row r="28890" spans="1:2" x14ac:dyDescent="0.25">
      <c r="A28890"/>
      <c r="B28890"/>
    </row>
    <row r="28891" spans="1:2" x14ac:dyDescent="0.25">
      <c r="A28891"/>
      <c r="B28891"/>
    </row>
    <row r="28892" spans="1:2" x14ac:dyDescent="0.25">
      <c r="A28892"/>
      <c r="B28892"/>
    </row>
    <row r="28893" spans="1:2" x14ac:dyDescent="0.25">
      <c r="A28893"/>
      <c r="B28893"/>
    </row>
    <row r="28894" spans="1:2" x14ac:dyDescent="0.25">
      <c r="A28894"/>
      <c r="B28894"/>
    </row>
    <row r="28895" spans="1:2" x14ac:dyDescent="0.25">
      <c r="A28895"/>
      <c r="B28895"/>
    </row>
    <row r="28896" spans="1:2" x14ac:dyDescent="0.25">
      <c r="A28896"/>
      <c r="B28896"/>
    </row>
    <row r="28897" spans="1:2" x14ac:dyDescent="0.25">
      <c r="A28897"/>
      <c r="B28897"/>
    </row>
    <row r="28898" spans="1:2" x14ac:dyDescent="0.25">
      <c r="A28898"/>
      <c r="B28898"/>
    </row>
    <row r="28899" spans="1:2" x14ac:dyDescent="0.25">
      <c r="A28899"/>
      <c r="B28899"/>
    </row>
    <row r="28900" spans="1:2" x14ac:dyDescent="0.25">
      <c r="A28900"/>
      <c r="B28900"/>
    </row>
    <row r="28901" spans="1:2" x14ac:dyDescent="0.25">
      <c r="A28901"/>
      <c r="B28901"/>
    </row>
    <row r="28902" spans="1:2" x14ac:dyDescent="0.25">
      <c r="A28902"/>
      <c r="B28902"/>
    </row>
    <row r="28903" spans="1:2" x14ac:dyDescent="0.25">
      <c r="A28903"/>
      <c r="B28903"/>
    </row>
    <row r="28904" spans="1:2" x14ac:dyDescent="0.25">
      <c r="A28904"/>
      <c r="B28904"/>
    </row>
    <row r="28905" spans="1:2" x14ac:dyDescent="0.25">
      <c r="A28905"/>
      <c r="B28905"/>
    </row>
    <row r="28906" spans="1:2" x14ac:dyDescent="0.25">
      <c r="A28906"/>
      <c r="B28906"/>
    </row>
    <row r="28907" spans="1:2" x14ac:dyDescent="0.25">
      <c r="A28907"/>
      <c r="B28907"/>
    </row>
    <row r="28908" spans="1:2" x14ac:dyDescent="0.25">
      <c r="A28908"/>
      <c r="B28908"/>
    </row>
    <row r="28909" spans="1:2" x14ac:dyDescent="0.25">
      <c r="A28909"/>
      <c r="B28909"/>
    </row>
    <row r="28910" spans="1:2" x14ac:dyDescent="0.25">
      <c r="A28910"/>
      <c r="B28910"/>
    </row>
    <row r="28911" spans="1:2" x14ac:dyDescent="0.25">
      <c r="A28911"/>
      <c r="B28911"/>
    </row>
    <row r="28912" spans="1:2" x14ac:dyDescent="0.25">
      <c r="A28912"/>
      <c r="B28912"/>
    </row>
    <row r="28913" spans="1:2" x14ac:dyDescent="0.25">
      <c r="A28913"/>
      <c r="B28913"/>
    </row>
    <row r="28914" spans="1:2" x14ac:dyDescent="0.25">
      <c r="A28914"/>
      <c r="B28914"/>
    </row>
    <row r="28915" spans="1:2" x14ac:dyDescent="0.25">
      <c r="A28915"/>
      <c r="B28915"/>
    </row>
    <row r="28916" spans="1:2" x14ac:dyDescent="0.25">
      <c r="A28916"/>
      <c r="B28916"/>
    </row>
    <row r="28917" spans="1:2" x14ac:dyDescent="0.25">
      <c r="A28917"/>
      <c r="B28917"/>
    </row>
    <row r="28918" spans="1:2" x14ac:dyDescent="0.25">
      <c r="A28918"/>
      <c r="B28918"/>
    </row>
    <row r="28919" spans="1:2" x14ac:dyDescent="0.25">
      <c r="A28919"/>
      <c r="B28919"/>
    </row>
    <row r="28920" spans="1:2" x14ac:dyDescent="0.25">
      <c r="A28920"/>
      <c r="B28920"/>
    </row>
    <row r="28921" spans="1:2" x14ac:dyDescent="0.25">
      <c r="A28921"/>
      <c r="B28921"/>
    </row>
    <row r="28922" spans="1:2" x14ac:dyDescent="0.25">
      <c r="A28922"/>
      <c r="B28922"/>
    </row>
    <row r="28923" spans="1:2" x14ac:dyDescent="0.25">
      <c r="A28923"/>
      <c r="B28923"/>
    </row>
    <row r="28924" spans="1:2" x14ac:dyDescent="0.25">
      <c r="A28924"/>
      <c r="B28924"/>
    </row>
    <row r="28925" spans="1:2" x14ac:dyDescent="0.25">
      <c r="A28925"/>
      <c r="B28925"/>
    </row>
    <row r="28926" spans="1:2" x14ac:dyDescent="0.25">
      <c r="A28926"/>
      <c r="B28926"/>
    </row>
    <row r="28927" spans="1:2" x14ac:dyDescent="0.25">
      <c r="A28927"/>
      <c r="B28927"/>
    </row>
    <row r="28928" spans="1:2" x14ac:dyDescent="0.25">
      <c r="A28928"/>
      <c r="B28928"/>
    </row>
    <row r="28929" spans="1:2" x14ac:dyDescent="0.25">
      <c r="A28929"/>
      <c r="B28929"/>
    </row>
    <row r="28930" spans="1:2" x14ac:dyDescent="0.25">
      <c r="A28930"/>
      <c r="B28930"/>
    </row>
    <row r="28931" spans="1:2" x14ac:dyDescent="0.25">
      <c r="A28931"/>
      <c r="B28931"/>
    </row>
    <row r="28932" spans="1:2" x14ac:dyDescent="0.25">
      <c r="A28932"/>
      <c r="B28932"/>
    </row>
    <row r="28933" spans="1:2" x14ac:dyDescent="0.25">
      <c r="A28933"/>
      <c r="B28933"/>
    </row>
    <row r="28934" spans="1:2" x14ac:dyDescent="0.25">
      <c r="A28934"/>
      <c r="B28934"/>
    </row>
    <row r="28935" spans="1:2" x14ac:dyDescent="0.25">
      <c r="A28935"/>
      <c r="B28935"/>
    </row>
    <row r="28936" spans="1:2" x14ac:dyDescent="0.25">
      <c r="A28936"/>
      <c r="B28936"/>
    </row>
    <row r="28937" spans="1:2" x14ac:dyDescent="0.25">
      <c r="A28937"/>
      <c r="B28937"/>
    </row>
    <row r="28938" spans="1:2" x14ac:dyDescent="0.25">
      <c r="A28938"/>
      <c r="B28938"/>
    </row>
    <row r="28939" spans="1:2" x14ac:dyDescent="0.25">
      <c r="A28939"/>
      <c r="B28939"/>
    </row>
    <row r="28940" spans="1:2" x14ac:dyDescent="0.25">
      <c r="A28940"/>
      <c r="B28940"/>
    </row>
    <row r="28941" spans="1:2" x14ac:dyDescent="0.25">
      <c r="A28941"/>
      <c r="B28941"/>
    </row>
    <row r="28942" spans="1:2" x14ac:dyDescent="0.25">
      <c r="A28942"/>
      <c r="B28942"/>
    </row>
    <row r="28943" spans="1:2" x14ac:dyDescent="0.25">
      <c r="A28943"/>
      <c r="B28943"/>
    </row>
    <row r="28944" spans="1:2" x14ac:dyDescent="0.25">
      <c r="A28944"/>
      <c r="B28944"/>
    </row>
    <row r="28945" spans="1:2" x14ac:dyDescent="0.25">
      <c r="A28945"/>
      <c r="B28945"/>
    </row>
    <row r="28946" spans="1:2" x14ac:dyDescent="0.25">
      <c r="A28946"/>
      <c r="B28946"/>
    </row>
    <row r="28947" spans="1:2" x14ac:dyDescent="0.25">
      <c r="A28947"/>
      <c r="B28947"/>
    </row>
    <row r="28948" spans="1:2" x14ac:dyDescent="0.25">
      <c r="A28948"/>
      <c r="B28948"/>
    </row>
    <row r="28949" spans="1:2" x14ac:dyDescent="0.25">
      <c r="A28949"/>
      <c r="B28949"/>
    </row>
    <row r="28950" spans="1:2" x14ac:dyDescent="0.25">
      <c r="A28950"/>
      <c r="B28950"/>
    </row>
    <row r="28951" spans="1:2" x14ac:dyDescent="0.25">
      <c r="A28951"/>
      <c r="B28951"/>
    </row>
    <row r="28952" spans="1:2" x14ac:dyDescent="0.25">
      <c r="A28952"/>
      <c r="B28952"/>
    </row>
    <row r="28953" spans="1:2" x14ac:dyDescent="0.25">
      <c r="A28953"/>
      <c r="B28953"/>
    </row>
    <row r="28954" spans="1:2" x14ac:dyDescent="0.25">
      <c r="A28954"/>
      <c r="B28954"/>
    </row>
    <row r="28955" spans="1:2" x14ac:dyDescent="0.25">
      <c r="A28955"/>
      <c r="B28955"/>
    </row>
    <row r="28956" spans="1:2" x14ac:dyDescent="0.25">
      <c r="A28956"/>
      <c r="B28956"/>
    </row>
    <row r="28957" spans="1:2" x14ac:dyDescent="0.25">
      <c r="A28957"/>
      <c r="B28957"/>
    </row>
    <row r="28958" spans="1:2" x14ac:dyDescent="0.25">
      <c r="A28958"/>
      <c r="B28958"/>
    </row>
    <row r="28959" spans="1:2" x14ac:dyDescent="0.25">
      <c r="A28959"/>
      <c r="B28959"/>
    </row>
    <row r="28960" spans="1:2" x14ac:dyDescent="0.25">
      <c r="A28960"/>
      <c r="B28960"/>
    </row>
    <row r="28961" spans="1:2" x14ac:dyDescent="0.25">
      <c r="A28961"/>
      <c r="B28961"/>
    </row>
    <row r="28962" spans="1:2" x14ac:dyDescent="0.25">
      <c r="A28962"/>
      <c r="B28962"/>
    </row>
    <row r="28963" spans="1:2" x14ac:dyDescent="0.25">
      <c r="A28963"/>
      <c r="B28963"/>
    </row>
    <row r="28964" spans="1:2" x14ac:dyDescent="0.25">
      <c r="A28964"/>
      <c r="B28964"/>
    </row>
    <row r="28965" spans="1:2" x14ac:dyDescent="0.25">
      <c r="A28965"/>
      <c r="B28965"/>
    </row>
    <row r="28966" spans="1:2" x14ac:dyDescent="0.25">
      <c r="A28966"/>
      <c r="B28966"/>
    </row>
    <row r="28967" spans="1:2" x14ac:dyDescent="0.25">
      <c r="A28967"/>
      <c r="B28967"/>
    </row>
    <row r="28968" spans="1:2" x14ac:dyDescent="0.25">
      <c r="A28968"/>
      <c r="B28968"/>
    </row>
    <row r="28969" spans="1:2" x14ac:dyDescent="0.25">
      <c r="A28969"/>
      <c r="B28969"/>
    </row>
    <row r="28970" spans="1:2" x14ac:dyDescent="0.25">
      <c r="A28970"/>
      <c r="B28970"/>
    </row>
    <row r="28971" spans="1:2" x14ac:dyDescent="0.25">
      <c r="A28971"/>
      <c r="B28971"/>
    </row>
    <row r="28972" spans="1:2" x14ac:dyDescent="0.25">
      <c r="A28972"/>
      <c r="B28972"/>
    </row>
    <row r="28973" spans="1:2" x14ac:dyDescent="0.25">
      <c r="A28973"/>
      <c r="B28973"/>
    </row>
    <row r="28974" spans="1:2" x14ac:dyDescent="0.25">
      <c r="A28974"/>
      <c r="B28974"/>
    </row>
    <row r="28975" spans="1:2" x14ac:dyDescent="0.25">
      <c r="A28975"/>
      <c r="B28975"/>
    </row>
    <row r="28976" spans="1:2" x14ac:dyDescent="0.25">
      <c r="A28976"/>
      <c r="B28976"/>
    </row>
    <row r="28977" spans="1:2" x14ac:dyDescent="0.25">
      <c r="A28977"/>
      <c r="B28977"/>
    </row>
    <row r="28978" spans="1:2" x14ac:dyDescent="0.25">
      <c r="A28978"/>
      <c r="B28978"/>
    </row>
    <row r="28979" spans="1:2" x14ac:dyDescent="0.25">
      <c r="A28979"/>
      <c r="B28979"/>
    </row>
    <row r="28980" spans="1:2" x14ac:dyDescent="0.25">
      <c r="A28980"/>
      <c r="B28980"/>
    </row>
    <row r="28981" spans="1:2" x14ac:dyDescent="0.25">
      <c r="A28981"/>
      <c r="B28981"/>
    </row>
    <row r="28982" spans="1:2" x14ac:dyDescent="0.25">
      <c r="A28982"/>
      <c r="B28982"/>
    </row>
    <row r="28983" spans="1:2" x14ac:dyDescent="0.25">
      <c r="A28983"/>
      <c r="B28983"/>
    </row>
    <row r="28984" spans="1:2" x14ac:dyDescent="0.25">
      <c r="A28984"/>
      <c r="B28984"/>
    </row>
    <row r="28985" spans="1:2" x14ac:dyDescent="0.25">
      <c r="A28985"/>
      <c r="B28985"/>
    </row>
    <row r="28986" spans="1:2" x14ac:dyDescent="0.25">
      <c r="A28986"/>
      <c r="B28986"/>
    </row>
    <row r="28987" spans="1:2" x14ac:dyDescent="0.25">
      <c r="A28987"/>
      <c r="B28987"/>
    </row>
    <row r="28988" spans="1:2" x14ac:dyDescent="0.25">
      <c r="A28988"/>
      <c r="B28988"/>
    </row>
    <row r="28989" spans="1:2" x14ac:dyDescent="0.25">
      <c r="A28989"/>
      <c r="B28989"/>
    </row>
    <row r="28990" spans="1:2" x14ac:dyDescent="0.25">
      <c r="A28990"/>
      <c r="B28990"/>
    </row>
    <row r="28991" spans="1:2" x14ac:dyDescent="0.25">
      <c r="A28991"/>
      <c r="B28991"/>
    </row>
    <row r="28992" spans="1:2" x14ac:dyDescent="0.25">
      <c r="A28992"/>
      <c r="B28992"/>
    </row>
    <row r="28993" spans="1:2" x14ac:dyDescent="0.25">
      <c r="A28993"/>
      <c r="B28993"/>
    </row>
    <row r="28994" spans="1:2" x14ac:dyDescent="0.25">
      <c r="A28994"/>
      <c r="B28994"/>
    </row>
    <row r="28995" spans="1:2" x14ac:dyDescent="0.25">
      <c r="A28995"/>
      <c r="B28995"/>
    </row>
    <row r="28996" spans="1:2" x14ac:dyDescent="0.25">
      <c r="A28996"/>
      <c r="B28996"/>
    </row>
    <row r="28997" spans="1:2" x14ac:dyDescent="0.25">
      <c r="A28997"/>
      <c r="B28997"/>
    </row>
    <row r="28998" spans="1:2" x14ac:dyDescent="0.25">
      <c r="A28998"/>
      <c r="B28998"/>
    </row>
    <row r="28999" spans="1:2" x14ac:dyDescent="0.25">
      <c r="A28999"/>
      <c r="B28999"/>
    </row>
    <row r="29000" spans="1:2" x14ac:dyDescent="0.25">
      <c r="A29000"/>
      <c r="B29000"/>
    </row>
    <row r="29001" spans="1:2" x14ac:dyDescent="0.25">
      <c r="A29001"/>
      <c r="B29001"/>
    </row>
    <row r="29002" spans="1:2" x14ac:dyDescent="0.25">
      <c r="A29002"/>
      <c r="B29002"/>
    </row>
    <row r="29003" spans="1:2" x14ac:dyDescent="0.25">
      <c r="A29003"/>
      <c r="B29003"/>
    </row>
    <row r="29004" spans="1:2" x14ac:dyDescent="0.25">
      <c r="A29004"/>
      <c r="B29004"/>
    </row>
    <row r="29005" spans="1:2" x14ac:dyDescent="0.25">
      <c r="A29005"/>
      <c r="B29005"/>
    </row>
    <row r="29006" spans="1:2" x14ac:dyDescent="0.25">
      <c r="A29006"/>
      <c r="B29006"/>
    </row>
    <row r="29007" spans="1:2" x14ac:dyDescent="0.25">
      <c r="A29007"/>
      <c r="B29007"/>
    </row>
    <row r="29008" spans="1:2" x14ac:dyDescent="0.25">
      <c r="A29008"/>
      <c r="B29008"/>
    </row>
    <row r="29009" spans="1:2" x14ac:dyDescent="0.25">
      <c r="A29009"/>
      <c r="B29009"/>
    </row>
    <row r="29010" spans="1:2" x14ac:dyDescent="0.25">
      <c r="A29010"/>
      <c r="B29010"/>
    </row>
    <row r="29011" spans="1:2" x14ac:dyDescent="0.25">
      <c r="A29011"/>
      <c r="B29011"/>
    </row>
    <row r="29012" spans="1:2" x14ac:dyDescent="0.25">
      <c r="A29012"/>
      <c r="B29012"/>
    </row>
    <row r="29013" spans="1:2" x14ac:dyDescent="0.25">
      <c r="A29013"/>
      <c r="B29013"/>
    </row>
    <row r="29014" spans="1:2" x14ac:dyDescent="0.25">
      <c r="A29014"/>
      <c r="B29014"/>
    </row>
    <row r="29015" spans="1:2" x14ac:dyDescent="0.25">
      <c r="A29015"/>
      <c r="B29015"/>
    </row>
    <row r="29016" spans="1:2" x14ac:dyDescent="0.25">
      <c r="A29016"/>
      <c r="B29016"/>
    </row>
    <row r="29017" spans="1:2" x14ac:dyDescent="0.25">
      <c r="A29017"/>
      <c r="B29017"/>
    </row>
    <row r="29018" spans="1:2" x14ac:dyDescent="0.25">
      <c r="A29018"/>
      <c r="B29018"/>
    </row>
    <row r="29019" spans="1:2" x14ac:dyDescent="0.25">
      <c r="A29019"/>
      <c r="B29019"/>
    </row>
    <row r="29020" spans="1:2" x14ac:dyDescent="0.25">
      <c r="A29020"/>
      <c r="B29020"/>
    </row>
    <row r="29021" spans="1:2" x14ac:dyDescent="0.25">
      <c r="A29021"/>
      <c r="B29021"/>
    </row>
    <row r="29022" spans="1:2" x14ac:dyDescent="0.25">
      <c r="A29022"/>
      <c r="B29022"/>
    </row>
    <row r="29023" spans="1:2" x14ac:dyDescent="0.25">
      <c r="A29023"/>
      <c r="B29023"/>
    </row>
    <row r="29024" spans="1:2" x14ac:dyDescent="0.25">
      <c r="A29024"/>
      <c r="B29024"/>
    </row>
    <row r="29025" spans="1:2" x14ac:dyDescent="0.25">
      <c r="A29025"/>
      <c r="B29025"/>
    </row>
    <row r="29026" spans="1:2" x14ac:dyDescent="0.25">
      <c r="A29026"/>
      <c r="B29026"/>
    </row>
    <row r="29027" spans="1:2" x14ac:dyDescent="0.25">
      <c r="A29027"/>
      <c r="B29027"/>
    </row>
    <row r="29028" spans="1:2" x14ac:dyDescent="0.25">
      <c r="A29028"/>
      <c r="B29028"/>
    </row>
    <row r="29029" spans="1:2" x14ac:dyDescent="0.25">
      <c r="A29029"/>
      <c r="B29029"/>
    </row>
    <row r="29030" spans="1:2" x14ac:dyDescent="0.25">
      <c r="A29030"/>
      <c r="B29030"/>
    </row>
    <row r="29031" spans="1:2" x14ac:dyDescent="0.25">
      <c r="A29031"/>
      <c r="B29031"/>
    </row>
    <row r="29032" spans="1:2" x14ac:dyDescent="0.25">
      <c r="A29032"/>
      <c r="B29032"/>
    </row>
    <row r="29033" spans="1:2" x14ac:dyDescent="0.25">
      <c r="A29033"/>
      <c r="B29033"/>
    </row>
    <row r="29034" spans="1:2" x14ac:dyDescent="0.25">
      <c r="A29034"/>
      <c r="B29034"/>
    </row>
    <row r="29035" spans="1:2" x14ac:dyDescent="0.25">
      <c r="A29035"/>
      <c r="B29035"/>
    </row>
    <row r="29036" spans="1:2" x14ac:dyDescent="0.25">
      <c r="A29036"/>
      <c r="B29036"/>
    </row>
    <row r="29037" spans="1:2" x14ac:dyDescent="0.25">
      <c r="A29037"/>
      <c r="B29037"/>
    </row>
    <row r="29038" spans="1:2" x14ac:dyDescent="0.25">
      <c r="A29038"/>
      <c r="B29038"/>
    </row>
    <row r="29039" spans="1:2" x14ac:dyDescent="0.25">
      <c r="A29039"/>
      <c r="B29039"/>
    </row>
    <row r="29040" spans="1:2" x14ac:dyDescent="0.25">
      <c r="A29040"/>
      <c r="B29040"/>
    </row>
    <row r="29041" spans="1:2" x14ac:dyDescent="0.25">
      <c r="A29041"/>
      <c r="B29041"/>
    </row>
    <row r="29042" spans="1:2" x14ac:dyDescent="0.25">
      <c r="A29042"/>
      <c r="B29042"/>
    </row>
    <row r="29043" spans="1:2" x14ac:dyDescent="0.25">
      <c r="A29043"/>
      <c r="B29043"/>
    </row>
    <row r="29044" spans="1:2" x14ac:dyDescent="0.25">
      <c r="A29044"/>
      <c r="B29044"/>
    </row>
    <row r="29045" spans="1:2" x14ac:dyDescent="0.25">
      <c r="A29045"/>
      <c r="B29045"/>
    </row>
    <row r="29046" spans="1:2" x14ac:dyDescent="0.25">
      <c r="A29046"/>
      <c r="B29046"/>
    </row>
    <row r="29047" spans="1:2" x14ac:dyDescent="0.25">
      <c r="A29047"/>
      <c r="B29047"/>
    </row>
    <row r="29048" spans="1:2" x14ac:dyDescent="0.25">
      <c r="A29048"/>
      <c r="B29048"/>
    </row>
    <row r="29049" spans="1:2" x14ac:dyDescent="0.25">
      <c r="A29049"/>
      <c r="B29049"/>
    </row>
    <row r="29050" spans="1:2" x14ac:dyDescent="0.25">
      <c r="A29050"/>
      <c r="B29050"/>
    </row>
    <row r="29051" spans="1:2" x14ac:dyDescent="0.25">
      <c r="A29051"/>
      <c r="B29051"/>
    </row>
    <row r="29052" spans="1:2" x14ac:dyDescent="0.25">
      <c r="A29052"/>
      <c r="B29052"/>
    </row>
    <row r="29053" spans="1:2" x14ac:dyDescent="0.25">
      <c r="A29053"/>
      <c r="B29053"/>
    </row>
    <row r="29054" spans="1:2" x14ac:dyDescent="0.25">
      <c r="A29054"/>
      <c r="B29054"/>
    </row>
    <row r="29055" spans="1:2" x14ac:dyDescent="0.25">
      <c r="A29055"/>
      <c r="B29055"/>
    </row>
    <row r="29056" spans="1:2" x14ac:dyDescent="0.25">
      <c r="A29056"/>
      <c r="B29056"/>
    </row>
    <row r="29057" spans="1:2" x14ac:dyDescent="0.25">
      <c r="A29057"/>
      <c r="B29057"/>
    </row>
    <row r="29058" spans="1:2" x14ac:dyDescent="0.25">
      <c r="A29058"/>
      <c r="B29058"/>
    </row>
    <row r="29059" spans="1:2" x14ac:dyDescent="0.25">
      <c r="A29059"/>
      <c r="B29059"/>
    </row>
    <row r="29060" spans="1:2" x14ac:dyDescent="0.25">
      <c r="A29060"/>
      <c r="B29060"/>
    </row>
    <row r="29061" spans="1:2" x14ac:dyDescent="0.25">
      <c r="A29061"/>
      <c r="B29061"/>
    </row>
    <row r="29062" spans="1:2" x14ac:dyDescent="0.25">
      <c r="A29062"/>
      <c r="B29062"/>
    </row>
    <row r="29063" spans="1:2" x14ac:dyDescent="0.25">
      <c r="A29063"/>
      <c r="B29063"/>
    </row>
    <row r="29064" spans="1:2" x14ac:dyDescent="0.25">
      <c r="A29064"/>
      <c r="B29064"/>
    </row>
    <row r="29065" spans="1:2" x14ac:dyDescent="0.25">
      <c r="A29065"/>
      <c r="B29065"/>
    </row>
    <row r="29066" spans="1:2" x14ac:dyDescent="0.25">
      <c r="A29066"/>
      <c r="B29066"/>
    </row>
    <row r="29067" spans="1:2" x14ac:dyDescent="0.25">
      <c r="A29067"/>
      <c r="B29067"/>
    </row>
    <row r="29068" spans="1:2" x14ac:dyDescent="0.25">
      <c r="A29068"/>
      <c r="B29068"/>
    </row>
    <row r="29069" spans="1:2" x14ac:dyDescent="0.25">
      <c r="A29069"/>
      <c r="B29069"/>
    </row>
    <row r="29070" spans="1:2" x14ac:dyDescent="0.25">
      <c r="A29070"/>
      <c r="B29070"/>
    </row>
    <row r="29071" spans="1:2" x14ac:dyDescent="0.25">
      <c r="A29071"/>
      <c r="B29071"/>
    </row>
    <row r="29072" spans="1:2" x14ac:dyDescent="0.25">
      <c r="A29072"/>
      <c r="B29072"/>
    </row>
    <row r="29073" spans="1:2" x14ac:dyDescent="0.25">
      <c r="A29073"/>
      <c r="B29073"/>
    </row>
    <row r="29074" spans="1:2" x14ac:dyDescent="0.25">
      <c r="A29074"/>
      <c r="B29074"/>
    </row>
    <row r="29075" spans="1:2" x14ac:dyDescent="0.25">
      <c r="A29075"/>
      <c r="B29075"/>
    </row>
    <row r="29076" spans="1:2" x14ac:dyDescent="0.25">
      <c r="A29076"/>
      <c r="B29076"/>
    </row>
    <row r="29077" spans="1:2" x14ac:dyDescent="0.25">
      <c r="A29077"/>
      <c r="B29077"/>
    </row>
    <row r="29078" spans="1:2" x14ac:dyDescent="0.25">
      <c r="A29078"/>
      <c r="B29078"/>
    </row>
    <row r="29079" spans="1:2" x14ac:dyDescent="0.25">
      <c r="A29079"/>
      <c r="B29079"/>
    </row>
    <row r="29080" spans="1:2" x14ac:dyDescent="0.25">
      <c r="A29080"/>
      <c r="B29080"/>
    </row>
    <row r="29081" spans="1:2" x14ac:dyDescent="0.25">
      <c r="A29081"/>
      <c r="B29081"/>
    </row>
    <row r="29082" spans="1:2" x14ac:dyDescent="0.25">
      <c r="A29082"/>
      <c r="B29082"/>
    </row>
    <row r="29083" spans="1:2" x14ac:dyDescent="0.25">
      <c r="A29083"/>
      <c r="B29083"/>
    </row>
    <row r="29084" spans="1:2" x14ac:dyDescent="0.25">
      <c r="A29084"/>
      <c r="B29084"/>
    </row>
    <row r="29085" spans="1:2" x14ac:dyDescent="0.25">
      <c r="A29085"/>
      <c r="B29085"/>
    </row>
    <row r="29086" spans="1:2" x14ac:dyDescent="0.25">
      <c r="A29086"/>
      <c r="B29086"/>
    </row>
    <row r="29087" spans="1:2" x14ac:dyDescent="0.25">
      <c r="A29087"/>
      <c r="B29087"/>
    </row>
    <row r="29088" spans="1:2" x14ac:dyDescent="0.25">
      <c r="A29088"/>
      <c r="B29088"/>
    </row>
    <row r="29089" spans="1:2" x14ac:dyDescent="0.25">
      <c r="A29089"/>
      <c r="B29089"/>
    </row>
    <row r="29090" spans="1:2" x14ac:dyDescent="0.25">
      <c r="A29090"/>
      <c r="B29090"/>
    </row>
    <row r="29091" spans="1:2" x14ac:dyDescent="0.25">
      <c r="A29091"/>
      <c r="B29091"/>
    </row>
    <row r="29092" spans="1:2" x14ac:dyDescent="0.25">
      <c r="A29092"/>
      <c r="B29092"/>
    </row>
    <row r="29093" spans="1:2" x14ac:dyDescent="0.25">
      <c r="A29093"/>
      <c r="B29093"/>
    </row>
    <row r="29094" spans="1:2" x14ac:dyDescent="0.25">
      <c r="A29094"/>
      <c r="B29094"/>
    </row>
    <row r="29095" spans="1:2" x14ac:dyDescent="0.25">
      <c r="A29095"/>
      <c r="B29095"/>
    </row>
    <row r="29096" spans="1:2" x14ac:dyDescent="0.25">
      <c r="A29096"/>
      <c r="B29096"/>
    </row>
    <row r="29097" spans="1:2" x14ac:dyDescent="0.25">
      <c r="A29097"/>
      <c r="B29097"/>
    </row>
    <row r="29098" spans="1:2" x14ac:dyDescent="0.25">
      <c r="A29098"/>
      <c r="B29098"/>
    </row>
    <row r="29099" spans="1:2" x14ac:dyDescent="0.25">
      <c r="A29099"/>
      <c r="B29099"/>
    </row>
    <row r="29100" spans="1:2" x14ac:dyDescent="0.25">
      <c r="A29100"/>
      <c r="B29100"/>
    </row>
    <row r="29101" spans="1:2" x14ac:dyDescent="0.25">
      <c r="A29101"/>
      <c r="B29101"/>
    </row>
    <row r="29102" spans="1:2" x14ac:dyDescent="0.25">
      <c r="A29102"/>
      <c r="B29102"/>
    </row>
    <row r="29103" spans="1:2" x14ac:dyDescent="0.25">
      <c r="A29103"/>
      <c r="B29103"/>
    </row>
    <row r="29104" spans="1:2" x14ac:dyDescent="0.25">
      <c r="A29104"/>
      <c r="B29104"/>
    </row>
    <row r="29105" spans="1:2" x14ac:dyDescent="0.25">
      <c r="A29105"/>
      <c r="B29105"/>
    </row>
    <row r="29106" spans="1:2" x14ac:dyDescent="0.25">
      <c r="A29106"/>
      <c r="B29106"/>
    </row>
    <row r="29107" spans="1:2" x14ac:dyDescent="0.25">
      <c r="A29107"/>
      <c r="B29107"/>
    </row>
    <row r="29108" spans="1:2" x14ac:dyDescent="0.25">
      <c r="A29108"/>
      <c r="B29108"/>
    </row>
    <row r="29109" spans="1:2" x14ac:dyDescent="0.25">
      <c r="A29109"/>
      <c r="B29109"/>
    </row>
    <row r="29110" spans="1:2" x14ac:dyDescent="0.25">
      <c r="A29110"/>
      <c r="B29110"/>
    </row>
    <row r="29111" spans="1:2" x14ac:dyDescent="0.25">
      <c r="A29111"/>
      <c r="B29111"/>
    </row>
    <row r="29112" spans="1:2" x14ac:dyDescent="0.25">
      <c r="A29112"/>
      <c r="B29112"/>
    </row>
    <row r="29113" spans="1:2" x14ac:dyDescent="0.25">
      <c r="A29113"/>
      <c r="B29113"/>
    </row>
    <row r="29114" spans="1:2" x14ac:dyDescent="0.25">
      <c r="A29114"/>
      <c r="B29114"/>
    </row>
    <row r="29115" spans="1:2" x14ac:dyDescent="0.25">
      <c r="A29115"/>
      <c r="B29115"/>
    </row>
    <row r="29116" spans="1:2" x14ac:dyDescent="0.25">
      <c r="A29116"/>
      <c r="B29116"/>
    </row>
    <row r="29117" spans="1:2" x14ac:dyDescent="0.25">
      <c r="A29117"/>
      <c r="B29117"/>
    </row>
    <row r="29118" spans="1:2" x14ac:dyDescent="0.25">
      <c r="A29118"/>
      <c r="B29118"/>
    </row>
    <row r="29119" spans="1:2" x14ac:dyDescent="0.25">
      <c r="A29119"/>
      <c r="B29119"/>
    </row>
    <row r="29120" spans="1:2" x14ac:dyDescent="0.25">
      <c r="A29120"/>
      <c r="B29120"/>
    </row>
    <row r="29121" spans="1:2" x14ac:dyDescent="0.25">
      <c r="A29121"/>
      <c r="B29121"/>
    </row>
    <row r="29122" spans="1:2" x14ac:dyDescent="0.25">
      <c r="A29122"/>
      <c r="B29122"/>
    </row>
    <row r="29123" spans="1:2" x14ac:dyDescent="0.25">
      <c r="A29123"/>
      <c r="B29123"/>
    </row>
    <row r="29124" spans="1:2" x14ac:dyDescent="0.25">
      <c r="A29124"/>
      <c r="B29124"/>
    </row>
    <row r="29125" spans="1:2" x14ac:dyDescent="0.25">
      <c r="A29125"/>
      <c r="B29125"/>
    </row>
    <row r="29126" spans="1:2" x14ac:dyDescent="0.25">
      <c r="A29126"/>
      <c r="B29126"/>
    </row>
    <row r="29127" spans="1:2" x14ac:dyDescent="0.25">
      <c r="A29127"/>
      <c r="B29127"/>
    </row>
    <row r="29128" spans="1:2" x14ac:dyDescent="0.25">
      <c r="A29128"/>
      <c r="B29128"/>
    </row>
    <row r="29129" spans="1:2" x14ac:dyDescent="0.25">
      <c r="A29129"/>
      <c r="B29129"/>
    </row>
    <row r="29130" spans="1:2" x14ac:dyDescent="0.25">
      <c r="A29130"/>
      <c r="B29130"/>
    </row>
    <row r="29131" spans="1:2" x14ac:dyDescent="0.25">
      <c r="A29131"/>
      <c r="B29131"/>
    </row>
    <row r="29132" spans="1:2" x14ac:dyDescent="0.25">
      <c r="A29132"/>
      <c r="B29132"/>
    </row>
    <row r="29133" spans="1:2" x14ac:dyDescent="0.25">
      <c r="A29133"/>
      <c r="B29133"/>
    </row>
    <row r="29134" spans="1:2" x14ac:dyDescent="0.25">
      <c r="A29134"/>
      <c r="B29134"/>
    </row>
    <row r="29135" spans="1:2" x14ac:dyDescent="0.25">
      <c r="A29135"/>
      <c r="B29135"/>
    </row>
    <row r="29136" spans="1:2" x14ac:dyDescent="0.25">
      <c r="A29136"/>
      <c r="B29136"/>
    </row>
    <row r="29137" spans="1:2" x14ac:dyDescent="0.25">
      <c r="A29137"/>
      <c r="B29137"/>
    </row>
    <row r="29138" spans="1:2" x14ac:dyDescent="0.25">
      <c r="A29138"/>
      <c r="B29138"/>
    </row>
    <row r="29139" spans="1:2" x14ac:dyDescent="0.25">
      <c r="A29139"/>
      <c r="B29139"/>
    </row>
    <row r="29140" spans="1:2" x14ac:dyDescent="0.25">
      <c r="A29140"/>
      <c r="B29140"/>
    </row>
    <row r="29141" spans="1:2" x14ac:dyDescent="0.25">
      <c r="A29141"/>
      <c r="B29141"/>
    </row>
    <row r="29142" spans="1:2" x14ac:dyDescent="0.25">
      <c r="A29142"/>
      <c r="B29142"/>
    </row>
    <row r="29143" spans="1:2" x14ac:dyDescent="0.25">
      <c r="A29143"/>
      <c r="B29143"/>
    </row>
    <row r="29144" spans="1:2" x14ac:dyDescent="0.25">
      <c r="A29144"/>
      <c r="B29144"/>
    </row>
    <row r="29145" spans="1:2" x14ac:dyDescent="0.25">
      <c r="A29145"/>
      <c r="B29145"/>
    </row>
    <row r="29146" spans="1:2" x14ac:dyDescent="0.25">
      <c r="A29146"/>
      <c r="B29146"/>
    </row>
    <row r="29147" spans="1:2" x14ac:dyDescent="0.25">
      <c r="A29147"/>
      <c r="B29147"/>
    </row>
    <row r="29148" spans="1:2" x14ac:dyDescent="0.25">
      <c r="A29148"/>
      <c r="B29148"/>
    </row>
    <row r="29149" spans="1:2" x14ac:dyDescent="0.25">
      <c r="A29149"/>
      <c r="B29149"/>
    </row>
    <row r="29150" spans="1:2" x14ac:dyDescent="0.25">
      <c r="A29150"/>
      <c r="B29150"/>
    </row>
    <row r="29151" spans="1:2" x14ac:dyDescent="0.25">
      <c r="A29151"/>
      <c r="B29151"/>
    </row>
    <row r="29152" spans="1:2" x14ac:dyDescent="0.25">
      <c r="A29152"/>
      <c r="B29152"/>
    </row>
    <row r="29153" spans="1:2" x14ac:dyDescent="0.25">
      <c r="A29153"/>
      <c r="B29153"/>
    </row>
    <row r="29154" spans="1:2" x14ac:dyDescent="0.25">
      <c r="A29154"/>
      <c r="B29154"/>
    </row>
    <row r="29155" spans="1:2" x14ac:dyDescent="0.25">
      <c r="A29155"/>
      <c r="B29155"/>
    </row>
    <row r="29156" spans="1:2" x14ac:dyDescent="0.25">
      <c r="A29156"/>
      <c r="B29156"/>
    </row>
    <row r="29157" spans="1:2" x14ac:dyDescent="0.25">
      <c r="A29157"/>
      <c r="B29157"/>
    </row>
    <row r="29158" spans="1:2" x14ac:dyDescent="0.25">
      <c r="A29158"/>
      <c r="B29158"/>
    </row>
    <row r="29159" spans="1:2" x14ac:dyDescent="0.25">
      <c r="A29159"/>
      <c r="B29159"/>
    </row>
    <row r="29160" spans="1:2" x14ac:dyDescent="0.25">
      <c r="A29160"/>
      <c r="B29160"/>
    </row>
    <row r="29161" spans="1:2" x14ac:dyDescent="0.25">
      <c r="A29161"/>
      <c r="B29161"/>
    </row>
    <row r="29162" spans="1:2" x14ac:dyDescent="0.25">
      <c r="A29162"/>
      <c r="B29162"/>
    </row>
    <row r="29163" spans="1:2" x14ac:dyDescent="0.25">
      <c r="A29163"/>
      <c r="B29163"/>
    </row>
    <row r="29164" spans="1:2" x14ac:dyDescent="0.25">
      <c r="A29164"/>
      <c r="B29164"/>
    </row>
    <row r="29165" spans="1:2" x14ac:dyDescent="0.25">
      <c r="A29165"/>
      <c r="B29165"/>
    </row>
    <row r="29166" spans="1:2" x14ac:dyDescent="0.25">
      <c r="A29166"/>
      <c r="B29166"/>
    </row>
    <row r="29167" spans="1:2" x14ac:dyDescent="0.25">
      <c r="A29167"/>
      <c r="B29167"/>
    </row>
    <row r="29168" spans="1:2" x14ac:dyDescent="0.25">
      <c r="A29168"/>
      <c r="B29168"/>
    </row>
    <row r="29169" spans="1:2" x14ac:dyDescent="0.25">
      <c r="A29169"/>
      <c r="B29169"/>
    </row>
    <row r="29170" spans="1:2" x14ac:dyDescent="0.25">
      <c r="A29170"/>
      <c r="B29170"/>
    </row>
    <row r="29171" spans="1:2" x14ac:dyDescent="0.25">
      <c r="A29171"/>
      <c r="B29171"/>
    </row>
    <row r="29172" spans="1:2" x14ac:dyDescent="0.25">
      <c r="A29172"/>
      <c r="B29172"/>
    </row>
    <row r="29173" spans="1:2" x14ac:dyDescent="0.25">
      <c r="A29173"/>
      <c r="B29173"/>
    </row>
    <row r="29174" spans="1:2" x14ac:dyDescent="0.25">
      <c r="A29174"/>
      <c r="B29174"/>
    </row>
    <row r="29175" spans="1:2" x14ac:dyDescent="0.25">
      <c r="A29175"/>
      <c r="B29175"/>
    </row>
    <row r="29176" spans="1:2" x14ac:dyDescent="0.25">
      <c r="A29176"/>
      <c r="B29176"/>
    </row>
    <row r="29177" spans="1:2" x14ac:dyDescent="0.25">
      <c r="A29177"/>
      <c r="B29177"/>
    </row>
    <row r="29178" spans="1:2" x14ac:dyDescent="0.25">
      <c r="A29178"/>
      <c r="B29178"/>
    </row>
    <row r="29179" spans="1:2" x14ac:dyDescent="0.25">
      <c r="A29179"/>
      <c r="B29179"/>
    </row>
    <row r="29180" spans="1:2" x14ac:dyDescent="0.25">
      <c r="A29180"/>
      <c r="B29180"/>
    </row>
    <row r="29181" spans="1:2" x14ac:dyDescent="0.25">
      <c r="A29181"/>
      <c r="B29181"/>
    </row>
    <row r="29182" spans="1:2" x14ac:dyDescent="0.25">
      <c r="A29182"/>
      <c r="B29182"/>
    </row>
    <row r="29183" spans="1:2" x14ac:dyDescent="0.25">
      <c r="A29183"/>
      <c r="B29183"/>
    </row>
    <row r="29184" spans="1:2" x14ac:dyDescent="0.25">
      <c r="A29184"/>
      <c r="B29184"/>
    </row>
    <row r="29185" spans="1:2" x14ac:dyDescent="0.25">
      <c r="A29185"/>
      <c r="B29185"/>
    </row>
    <row r="29186" spans="1:2" x14ac:dyDescent="0.25">
      <c r="A29186"/>
      <c r="B29186"/>
    </row>
    <row r="29187" spans="1:2" x14ac:dyDescent="0.25">
      <c r="A29187"/>
      <c r="B29187"/>
    </row>
    <row r="29188" spans="1:2" x14ac:dyDescent="0.25">
      <c r="A29188"/>
      <c r="B29188"/>
    </row>
    <row r="29189" spans="1:2" x14ac:dyDescent="0.25">
      <c r="A29189"/>
      <c r="B29189"/>
    </row>
    <row r="29190" spans="1:2" x14ac:dyDescent="0.25">
      <c r="A29190"/>
      <c r="B29190"/>
    </row>
    <row r="29191" spans="1:2" x14ac:dyDescent="0.25">
      <c r="A29191"/>
      <c r="B29191"/>
    </row>
    <row r="29192" spans="1:2" x14ac:dyDescent="0.25">
      <c r="A29192"/>
      <c r="B29192"/>
    </row>
    <row r="29193" spans="1:2" x14ac:dyDescent="0.25">
      <c r="A29193"/>
      <c r="B29193"/>
    </row>
    <row r="29194" spans="1:2" x14ac:dyDescent="0.25">
      <c r="A29194"/>
      <c r="B29194"/>
    </row>
    <row r="29195" spans="1:2" x14ac:dyDescent="0.25">
      <c r="A29195"/>
      <c r="B29195"/>
    </row>
    <row r="29196" spans="1:2" x14ac:dyDescent="0.25">
      <c r="A29196"/>
      <c r="B29196"/>
    </row>
    <row r="29197" spans="1:2" x14ac:dyDescent="0.25">
      <c r="A29197"/>
      <c r="B29197"/>
    </row>
    <row r="29198" spans="1:2" x14ac:dyDescent="0.25">
      <c r="A29198"/>
      <c r="B29198"/>
    </row>
    <row r="29199" spans="1:2" x14ac:dyDescent="0.25">
      <c r="A29199"/>
      <c r="B29199"/>
    </row>
    <row r="29200" spans="1:2" x14ac:dyDescent="0.25">
      <c r="A29200"/>
      <c r="B29200"/>
    </row>
    <row r="29201" spans="1:2" x14ac:dyDescent="0.25">
      <c r="A29201"/>
      <c r="B29201"/>
    </row>
    <row r="29202" spans="1:2" x14ac:dyDescent="0.25">
      <c r="A29202"/>
      <c r="B29202"/>
    </row>
    <row r="29203" spans="1:2" x14ac:dyDescent="0.25">
      <c r="A29203"/>
      <c r="B29203"/>
    </row>
    <row r="29204" spans="1:2" x14ac:dyDescent="0.25">
      <c r="A29204"/>
      <c r="B29204"/>
    </row>
    <row r="29205" spans="1:2" x14ac:dyDescent="0.25">
      <c r="A29205"/>
      <c r="B29205"/>
    </row>
    <row r="29206" spans="1:2" x14ac:dyDescent="0.25">
      <c r="A29206"/>
      <c r="B29206"/>
    </row>
    <row r="29207" spans="1:2" x14ac:dyDescent="0.25">
      <c r="A29207"/>
      <c r="B29207"/>
    </row>
    <row r="29208" spans="1:2" x14ac:dyDescent="0.25">
      <c r="A29208"/>
      <c r="B29208"/>
    </row>
    <row r="29209" spans="1:2" x14ac:dyDescent="0.25">
      <c r="A29209"/>
      <c r="B29209"/>
    </row>
    <row r="29210" spans="1:2" x14ac:dyDescent="0.25">
      <c r="A29210"/>
      <c r="B29210"/>
    </row>
    <row r="29211" spans="1:2" x14ac:dyDescent="0.25">
      <c r="A29211"/>
      <c r="B29211"/>
    </row>
    <row r="29212" spans="1:2" x14ac:dyDescent="0.25">
      <c r="A29212"/>
      <c r="B29212"/>
    </row>
    <row r="29213" spans="1:2" x14ac:dyDescent="0.25">
      <c r="A29213"/>
      <c r="B29213"/>
    </row>
    <row r="29214" spans="1:2" x14ac:dyDescent="0.25">
      <c r="A29214"/>
      <c r="B29214"/>
    </row>
    <row r="29215" spans="1:2" x14ac:dyDescent="0.25">
      <c r="A29215"/>
      <c r="B29215"/>
    </row>
    <row r="29216" spans="1:2" x14ac:dyDescent="0.25">
      <c r="A29216"/>
      <c r="B29216"/>
    </row>
    <row r="29217" spans="1:2" x14ac:dyDescent="0.25">
      <c r="A29217"/>
      <c r="B29217"/>
    </row>
    <row r="29218" spans="1:2" x14ac:dyDescent="0.25">
      <c r="A29218"/>
      <c r="B29218"/>
    </row>
    <row r="29219" spans="1:2" x14ac:dyDescent="0.25">
      <c r="A29219"/>
      <c r="B29219"/>
    </row>
    <row r="29220" spans="1:2" x14ac:dyDescent="0.25">
      <c r="A29220"/>
      <c r="B29220"/>
    </row>
    <row r="29221" spans="1:2" x14ac:dyDescent="0.25">
      <c r="A29221"/>
      <c r="B29221"/>
    </row>
    <row r="29222" spans="1:2" x14ac:dyDescent="0.25">
      <c r="A29222"/>
      <c r="B29222"/>
    </row>
    <row r="29223" spans="1:2" x14ac:dyDescent="0.25">
      <c r="A29223"/>
      <c r="B29223"/>
    </row>
    <row r="29224" spans="1:2" x14ac:dyDescent="0.25">
      <c r="A29224"/>
      <c r="B29224"/>
    </row>
    <row r="29225" spans="1:2" x14ac:dyDescent="0.25">
      <c r="A29225"/>
      <c r="B29225"/>
    </row>
    <row r="29226" spans="1:2" x14ac:dyDescent="0.25">
      <c r="A29226"/>
      <c r="B29226"/>
    </row>
    <row r="29227" spans="1:2" x14ac:dyDescent="0.25">
      <c r="A29227"/>
      <c r="B29227"/>
    </row>
    <row r="29228" spans="1:2" x14ac:dyDescent="0.25">
      <c r="A29228"/>
      <c r="B29228"/>
    </row>
    <row r="29229" spans="1:2" x14ac:dyDescent="0.25">
      <c r="A29229"/>
      <c r="B29229"/>
    </row>
    <row r="29230" spans="1:2" x14ac:dyDescent="0.25">
      <c r="A29230"/>
      <c r="B29230"/>
    </row>
    <row r="29231" spans="1:2" x14ac:dyDescent="0.25">
      <c r="A29231"/>
      <c r="B29231"/>
    </row>
    <row r="29232" spans="1:2" x14ac:dyDescent="0.25">
      <c r="A29232"/>
      <c r="B29232"/>
    </row>
    <row r="29233" spans="1:2" x14ac:dyDescent="0.25">
      <c r="A29233"/>
      <c r="B29233"/>
    </row>
    <row r="29234" spans="1:2" x14ac:dyDescent="0.25">
      <c r="A29234"/>
      <c r="B29234"/>
    </row>
    <row r="29235" spans="1:2" x14ac:dyDescent="0.25">
      <c r="A29235"/>
      <c r="B29235"/>
    </row>
    <row r="29236" spans="1:2" x14ac:dyDescent="0.25">
      <c r="A29236"/>
      <c r="B29236"/>
    </row>
    <row r="29237" spans="1:2" x14ac:dyDescent="0.25">
      <c r="A29237"/>
      <c r="B29237"/>
    </row>
    <row r="29238" spans="1:2" x14ac:dyDescent="0.25">
      <c r="A29238"/>
      <c r="B29238"/>
    </row>
    <row r="29239" spans="1:2" x14ac:dyDescent="0.25">
      <c r="A29239"/>
      <c r="B29239"/>
    </row>
    <row r="29240" spans="1:2" x14ac:dyDescent="0.25">
      <c r="A29240"/>
      <c r="B29240"/>
    </row>
    <row r="29241" spans="1:2" x14ac:dyDescent="0.25">
      <c r="A29241"/>
      <c r="B29241"/>
    </row>
    <row r="29242" spans="1:2" x14ac:dyDescent="0.25">
      <c r="A29242"/>
      <c r="B29242"/>
    </row>
    <row r="29243" spans="1:2" x14ac:dyDescent="0.25">
      <c r="A29243"/>
      <c r="B29243"/>
    </row>
    <row r="29244" spans="1:2" x14ac:dyDescent="0.25">
      <c r="A29244"/>
      <c r="B29244"/>
    </row>
    <row r="29245" spans="1:2" x14ac:dyDescent="0.25">
      <c r="A29245"/>
      <c r="B29245"/>
    </row>
    <row r="29246" spans="1:2" x14ac:dyDescent="0.25">
      <c r="A29246"/>
      <c r="B29246"/>
    </row>
    <row r="29247" spans="1:2" x14ac:dyDescent="0.25">
      <c r="A29247"/>
      <c r="B29247"/>
    </row>
    <row r="29248" spans="1:2" x14ac:dyDescent="0.25">
      <c r="A29248"/>
      <c r="B29248"/>
    </row>
    <row r="29249" spans="1:2" x14ac:dyDescent="0.25">
      <c r="A29249"/>
      <c r="B29249"/>
    </row>
    <row r="29250" spans="1:2" x14ac:dyDescent="0.25">
      <c r="A29250"/>
      <c r="B29250"/>
    </row>
    <row r="29251" spans="1:2" x14ac:dyDescent="0.25">
      <c r="A29251"/>
      <c r="B29251"/>
    </row>
    <row r="29252" spans="1:2" x14ac:dyDescent="0.25">
      <c r="A29252"/>
      <c r="B29252"/>
    </row>
    <row r="29253" spans="1:2" x14ac:dyDescent="0.25">
      <c r="A29253"/>
      <c r="B29253"/>
    </row>
    <row r="29254" spans="1:2" x14ac:dyDescent="0.25">
      <c r="A29254"/>
      <c r="B29254"/>
    </row>
    <row r="29255" spans="1:2" x14ac:dyDescent="0.25">
      <c r="A29255"/>
      <c r="B29255"/>
    </row>
    <row r="29256" spans="1:2" x14ac:dyDescent="0.25">
      <c r="A29256"/>
      <c r="B29256"/>
    </row>
    <row r="29257" spans="1:2" x14ac:dyDescent="0.25">
      <c r="A29257"/>
      <c r="B29257"/>
    </row>
    <row r="29258" spans="1:2" x14ac:dyDescent="0.25">
      <c r="A29258"/>
      <c r="B29258"/>
    </row>
    <row r="29259" spans="1:2" x14ac:dyDescent="0.25">
      <c r="A29259"/>
      <c r="B29259"/>
    </row>
    <row r="29260" spans="1:2" x14ac:dyDescent="0.25">
      <c r="A29260"/>
      <c r="B29260"/>
    </row>
    <row r="29261" spans="1:2" x14ac:dyDescent="0.25">
      <c r="A29261"/>
      <c r="B29261"/>
    </row>
    <row r="29262" spans="1:2" x14ac:dyDescent="0.25">
      <c r="A29262"/>
      <c r="B29262"/>
    </row>
    <row r="29263" spans="1:2" x14ac:dyDescent="0.25">
      <c r="A29263"/>
      <c r="B29263"/>
    </row>
    <row r="29264" spans="1:2" x14ac:dyDescent="0.25">
      <c r="A29264"/>
      <c r="B29264"/>
    </row>
    <row r="29265" spans="1:2" x14ac:dyDescent="0.25">
      <c r="A29265"/>
      <c r="B29265"/>
    </row>
    <row r="29266" spans="1:2" x14ac:dyDescent="0.25">
      <c r="A29266"/>
      <c r="B29266"/>
    </row>
    <row r="29267" spans="1:2" x14ac:dyDescent="0.25">
      <c r="A29267"/>
      <c r="B29267"/>
    </row>
    <row r="29268" spans="1:2" x14ac:dyDescent="0.25">
      <c r="A29268"/>
      <c r="B29268"/>
    </row>
    <row r="29269" spans="1:2" x14ac:dyDescent="0.25">
      <c r="A29269"/>
      <c r="B29269"/>
    </row>
    <row r="29270" spans="1:2" x14ac:dyDescent="0.25">
      <c r="A29270"/>
      <c r="B29270"/>
    </row>
    <row r="29271" spans="1:2" x14ac:dyDescent="0.25">
      <c r="A29271"/>
      <c r="B29271"/>
    </row>
    <row r="29272" spans="1:2" x14ac:dyDescent="0.25">
      <c r="A29272"/>
      <c r="B29272"/>
    </row>
    <row r="29273" spans="1:2" x14ac:dyDescent="0.25">
      <c r="A29273"/>
      <c r="B29273"/>
    </row>
    <row r="29274" spans="1:2" x14ac:dyDescent="0.25">
      <c r="A29274"/>
      <c r="B29274"/>
    </row>
    <row r="29275" spans="1:2" x14ac:dyDescent="0.25">
      <c r="A29275"/>
      <c r="B29275"/>
    </row>
    <row r="29276" spans="1:2" x14ac:dyDescent="0.25">
      <c r="A29276"/>
      <c r="B29276"/>
    </row>
    <row r="29277" spans="1:2" x14ac:dyDescent="0.25">
      <c r="A29277"/>
      <c r="B29277"/>
    </row>
    <row r="29278" spans="1:2" x14ac:dyDescent="0.25">
      <c r="A29278"/>
      <c r="B29278"/>
    </row>
    <row r="29279" spans="1:2" x14ac:dyDescent="0.25">
      <c r="A29279"/>
      <c r="B29279"/>
    </row>
    <row r="29280" spans="1:2" x14ac:dyDescent="0.25">
      <c r="A29280"/>
      <c r="B29280"/>
    </row>
    <row r="29281" spans="1:2" x14ac:dyDescent="0.25">
      <c r="A29281"/>
      <c r="B29281"/>
    </row>
    <row r="29282" spans="1:2" x14ac:dyDescent="0.25">
      <c r="A29282"/>
      <c r="B29282"/>
    </row>
    <row r="29283" spans="1:2" x14ac:dyDescent="0.25">
      <c r="A29283"/>
      <c r="B29283"/>
    </row>
    <row r="29284" spans="1:2" x14ac:dyDescent="0.25">
      <c r="A29284"/>
      <c r="B29284"/>
    </row>
    <row r="29285" spans="1:2" x14ac:dyDescent="0.25">
      <c r="A29285"/>
      <c r="B29285"/>
    </row>
    <row r="29286" spans="1:2" x14ac:dyDescent="0.25">
      <c r="A29286"/>
      <c r="B29286"/>
    </row>
    <row r="29287" spans="1:2" x14ac:dyDescent="0.25">
      <c r="A29287"/>
      <c r="B29287"/>
    </row>
    <row r="29288" spans="1:2" x14ac:dyDescent="0.25">
      <c r="A29288"/>
      <c r="B29288"/>
    </row>
    <row r="29289" spans="1:2" x14ac:dyDescent="0.25">
      <c r="A29289"/>
      <c r="B29289"/>
    </row>
    <row r="29290" spans="1:2" x14ac:dyDescent="0.25">
      <c r="A29290"/>
      <c r="B29290"/>
    </row>
    <row r="29291" spans="1:2" x14ac:dyDescent="0.25">
      <c r="A29291"/>
      <c r="B29291"/>
    </row>
    <row r="29292" spans="1:2" x14ac:dyDescent="0.25">
      <c r="A29292"/>
      <c r="B29292"/>
    </row>
    <row r="29293" spans="1:2" x14ac:dyDescent="0.25">
      <c r="A29293"/>
      <c r="B29293"/>
    </row>
    <row r="29294" spans="1:2" x14ac:dyDescent="0.25">
      <c r="A29294"/>
      <c r="B29294"/>
    </row>
    <row r="29295" spans="1:2" x14ac:dyDescent="0.25">
      <c r="A29295"/>
      <c r="B29295"/>
    </row>
    <row r="29296" spans="1:2" x14ac:dyDescent="0.25">
      <c r="A29296"/>
      <c r="B29296"/>
    </row>
    <row r="29297" spans="1:2" x14ac:dyDescent="0.25">
      <c r="A29297"/>
      <c r="B29297"/>
    </row>
    <row r="29298" spans="1:2" x14ac:dyDescent="0.25">
      <c r="A29298"/>
      <c r="B29298"/>
    </row>
    <row r="29299" spans="1:2" x14ac:dyDescent="0.25">
      <c r="A29299"/>
      <c r="B29299"/>
    </row>
    <row r="29300" spans="1:2" x14ac:dyDescent="0.25">
      <c r="A29300"/>
      <c r="B29300"/>
    </row>
    <row r="29301" spans="1:2" x14ac:dyDescent="0.25">
      <c r="A29301"/>
      <c r="B29301"/>
    </row>
    <row r="29302" spans="1:2" x14ac:dyDescent="0.25">
      <c r="A29302"/>
      <c r="B29302"/>
    </row>
    <row r="29303" spans="1:2" x14ac:dyDescent="0.25">
      <c r="A29303"/>
      <c r="B29303"/>
    </row>
    <row r="29304" spans="1:2" x14ac:dyDescent="0.25">
      <c r="A29304"/>
      <c r="B29304"/>
    </row>
    <row r="29305" spans="1:2" x14ac:dyDescent="0.25">
      <c r="A29305"/>
      <c r="B29305"/>
    </row>
    <row r="29306" spans="1:2" x14ac:dyDescent="0.25">
      <c r="A29306"/>
      <c r="B29306"/>
    </row>
    <row r="29307" spans="1:2" x14ac:dyDescent="0.25">
      <c r="A29307"/>
      <c r="B29307"/>
    </row>
    <row r="29308" spans="1:2" x14ac:dyDescent="0.25">
      <c r="A29308"/>
      <c r="B29308"/>
    </row>
    <row r="29309" spans="1:2" x14ac:dyDescent="0.25">
      <c r="A29309"/>
      <c r="B29309"/>
    </row>
    <row r="29310" spans="1:2" x14ac:dyDescent="0.25">
      <c r="A29310"/>
      <c r="B29310"/>
    </row>
    <row r="29311" spans="1:2" x14ac:dyDescent="0.25">
      <c r="A29311"/>
      <c r="B29311"/>
    </row>
    <row r="29312" spans="1:2" x14ac:dyDescent="0.25">
      <c r="A29312"/>
      <c r="B29312"/>
    </row>
    <row r="29313" spans="1:2" x14ac:dyDescent="0.25">
      <c r="A29313"/>
      <c r="B29313"/>
    </row>
    <row r="29314" spans="1:2" x14ac:dyDescent="0.25">
      <c r="A29314"/>
      <c r="B29314"/>
    </row>
    <row r="29315" spans="1:2" x14ac:dyDescent="0.25">
      <c r="A29315"/>
      <c r="B29315"/>
    </row>
    <row r="29316" spans="1:2" x14ac:dyDescent="0.25">
      <c r="A29316"/>
      <c r="B29316"/>
    </row>
    <row r="29317" spans="1:2" x14ac:dyDescent="0.25">
      <c r="A29317"/>
      <c r="B29317"/>
    </row>
    <row r="29318" spans="1:2" x14ac:dyDescent="0.25">
      <c r="A29318"/>
      <c r="B29318"/>
    </row>
    <row r="29319" spans="1:2" x14ac:dyDescent="0.25">
      <c r="A29319"/>
      <c r="B29319"/>
    </row>
    <row r="29320" spans="1:2" x14ac:dyDescent="0.25">
      <c r="A29320"/>
      <c r="B29320"/>
    </row>
    <row r="29321" spans="1:2" x14ac:dyDescent="0.25">
      <c r="A29321"/>
      <c r="B29321"/>
    </row>
    <row r="29322" spans="1:2" x14ac:dyDescent="0.25">
      <c r="A29322"/>
      <c r="B29322"/>
    </row>
    <row r="29323" spans="1:2" x14ac:dyDescent="0.25">
      <c r="A29323"/>
      <c r="B29323"/>
    </row>
    <row r="29324" spans="1:2" x14ac:dyDescent="0.25">
      <c r="A29324"/>
      <c r="B29324"/>
    </row>
    <row r="29325" spans="1:2" x14ac:dyDescent="0.25">
      <c r="A29325"/>
      <c r="B29325"/>
    </row>
    <row r="29326" spans="1:2" x14ac:dyDescent="0.25">
      <c r="A29326"/>
      <c r="B29326"/>
    </row>
    <row r="29327" spans="1:2" x14ac:dyDescent="0.25">
      <c r="A29327"/>
      <c r="B29327"/>
    </row>
    <row r="29328" spans="1:2" x14ac:dyDescent="0.25">
      <c r="A29328"/>
      <c r="B29328"/>
    </row>
    <row r="29329" spans="1:2" x14ac:dyDescent="0.25">
      <c r="A29329"/>
      <c r="B29329"/>
    </row>
    <row r="29330" spans="1:2" x14ac:dyDescent="0.25">
      <c r="A29330"/>
      <c r="B29330"/>
    </row>
    <row r="29331" spans="1:2" x14ac:dyDescent="0.25">
      <c r="A29331"/>
      <c r="B29331"/>
    </row>
    <row r="29332" spans="1:2" x14ac:dyDescent="0.25">
      <c r="A29332"/>
      <c r="B29332"/>
    </row>
    <row r="29333" spans="1:2" x14ac:dyDescent="0.25">
      <c r="A29333"/>
      <c r="B29333"/>
    </row>
    <row r="29334" spans="1:2" x14ac:dyDescent="0.25">
      <c r="A29334"/>
      <c r="B29334"/>
    </row>
    <row r="29335" spans="1:2" x14ac:dyDescent="0.25">
      <c r="A29335"/>
      <c r="B29335"/>
    </row>
    <row r="29336" spans="1:2" x14ac:dyDescent="0.25">
      <c r="A29336"/>
      <c r="B29336"/>
    </row>
    <row r="29337" spans="1:2" x14ac:dyDescent="0.25">
      <c r="A29337"/>
      <c r="B29337"/>
    </row>
    <row r="29338" spans="1:2" x14ac:dyDescent="0.25">
      <c r="A29338"/>
      <c r="B29338"/>
    </row>
    <row r="29339" spans="1:2" x14ac:dyDescent="0.25">
      <c r="A29339"/>
      <c r="B29339"/>
    </row>
    <row r="29340" spans="1:2" x14ac:dyDescent="0.25">
      <c r="A29340"/>
      <c r="B29340"/>
    </row>
    <row r="29341" spans="1:2" x14ac:dyDescent="0.25">
      <c r="A29341"/>
      <c r="B29341"/>
    </row>
    <row r="29342" spans="1:2" x14ac:dyDescent="0.25">
      <c r="A29342"/>
      <c r="B29342"/>
    </row>
    <row r="29343" spans="1:2" x14ac:dyDescent="0.25">
      <c r="A29343"/>
      <c r="B29343"/>
    </row>
    <row r="29344" spans="1:2" x14ac:dyDescent="0.25">
      <c r="A29344"/>
      <c r="B29344"/>
    </row>
    <row r="29345" spans="1:2" x14ac:dyDescent="0.25">
      <c r="A29345"/>
      <c r="B29345"/>
    </row>
    <row r="29346" spans="1:2" x14ac:dyDescent="0.25">
      <c r="A29346"/>
      <c r="B29346"/>
    </row>
    <row r="29347" spans="1:2" x14ac:dyDescent="0.25">
      <c r="A29347"/>
      <c r="B29347"/>
    </row>
    <row r="29348" spans="1:2" x14ac:dyDescent="0.25">
      <c r="A29348"/>
      <c r="B29348"/>
    </row>
    <row r="29349" spans="1:2" x14ac:dyDescent="0.25">
      <c r="A29349"/>
      <c r="B29349"/>
    </row>
    <row r="29350" spans="1:2" x14ac:dyDescent="0.25">
      <c r="A29350"/>
      <c r="B29350"/>
    </row>
    <row r="29351" spans="1:2" x14ac:dyDescent="0.25">
      <c r="A29351"/>
      <c r="B29351"/>
    </row>
    <row r="29352" spans="1:2" x14ac:dyDescent="0.25">
      <c r="A29352"/>
      <c r="B29352"/>
    </row>
    <row r="29353" spans="1:2" x14ac:dyDescent="0.25">
      <c r="A29353"/>
      <c r="B29353"/>
    </row>
    <row r="29354" spans="1:2" x14ac:dyDescent="0.25">
      <c r="A29354"/>
      <c r="B29354"/>
    </row>
    <row r="29355" spans="1:2" x14ac:dyDescent="0.25">
      <c r="A29355"/>
      <c r="B29355"/>
    </row>
    <row r="29356" spans="1:2" x14ac:dyDescent="0.25">
      <c r="A29356"/>
      <c r="B29356"/>
    </row>
    <row r="29357" spans="1:2" x14ac:dyDescent="0.25">
      <c r="A29357"/>
      <c r="B29357"/>
    </row>
    <row r="29358" spans="1:2" x14ac:dyDescent="0.25">
      <c r="A29358"/>
      <c r="B29358"/>
    </row>
    <row r="29359" spans="1:2" x14ac:dyDescent="0.25">
      <c r="A29359"/>
      <c r="B29359"/>
    </row>
    <row r="29360" spans="1:2" x14ac:dyDescent="0.25">
      <c r="A29360"/>
      <c r="B29360"/>
    </row>
    <row r="29361" spans="1:2" x14ac:dyDescent="0.25">
      <c r="A29361"/>
      <c r="B29361"/>
    </row>
    <row r="29362" spans="1:2" x14ac:dyDescent="0.25">
      <c r="A29362"/>
      <c r="B29362"/>
    </row>
    <row r="29363" spans="1:2" x14ac:dyDescent="0.25">
      <c r="A29363"/>
      <c r="B29363"/>
    </row>
    <row r="29364" spans="1:2" x14ac:dyDescent="0.25">
      <c r="A29364"/>
      <c r="B29364"/>
    </row>
    <row r="29365" spans="1:2" x14ac:dyDescent="0.25">
      <c r="A29365"/>
      <c r="B29365"/>
    </row>
    <row r="29366" spans="1:2" x14ac:dyDescent="0.25">
      <c r="A29366"/>
      <c r="B29366"/>
    </row>
    <row r="29367" spans="1:2" x14ac:dyDescent="0.25">
      <c r="A29367"/>
      <c r="B29367"/>
    </row>
    <row r="29368" spans="1:2" x14ac:dyDescent="0.25">
      <c r="A29368"/>
      <c r="B29368"/>
    </row>
    <row r="29369" spans="1:2" x14ac:dyDescent="0.25">
      <c r="A29369"/>
      <c r="B29369"/>
    </row>
    <row r="29370" spans="1:2" x14ac:dyDescent="0.25">
      <c r="A29370"/>
      <c r="B29370"/>
    </row>
    <row r="29371" spans="1:2" x14ac:dyDescent="0.25">
      <c r="A29371"/>
      <c r="B29371"/>
    </row>
    <row r="29372" spans="1:2" x14ac:dyDescent="0.25">
      <c r="A29372"/>
      <c r="B29372"/>
    </row>
    <row r="29373" spans="1:2" x14ac:dyDescent="0.25">
      <c r="A29373"/>
      <c r="B29373"/>
    </row>
    <row r="29374" spans="1:2" x14ac:dyDescent="0.25">
      <c r="A29374"/>
      <c r="B29374"/>
    </row>
    <row r="29375" spans="1:2" x14ac:dyDescent="0.25">
      <c r="A29375"/>
      <c r="B29375"/>
    </row>
    <row r="29376" spans="1:2" x14ac:dyDescent="0.25">
      <c r="A29376"/>
      <c r="B29376"/>
    </row>
    <row r="29377" spans="1:2" x14ac:dyDescent="0.25">
      <c r="A29377"/>
      <c r="B29377"/>
    </row>
    <row r="29378" spans="1:2" x14ac:dyDescent="0.25">
      <c r="A29378"/>
      <c r="B29378"/>
    </row>
    <row r="29379" spans="1:2" x14ac:dyDescent="0.25">
      <c r="A29379"/>
      <c r="B29379"/>
    </row>
    <row r="29380" spans="1:2" x14ac:dyDescent="0.25">
      <c r="A29380"/>
      <c r="B29380"/>
    </row>
    <row r="29381" spans="1:2" x14ac:dyDescent="0.25">
      <c r="A29381"/>
      <c r="B29381"/>
    </row>
    <row r="29382" spans="1:2" x14ac:dyDescent="0.25">
      <c r="A29382"/>
      <c r="B29382"/>
    </row>
    <row r="29383" spans="1:2" x14ac:dyDescent="0.25">
      <c r="A29383"/>
      <c r="B29383"/>
    </row>
    <row r="29384" spans="1:2" x14ac:dyDescent="0.25">
      <c r="A29384"/>
      <c r="B29384"/>
    </row>
    <row r="29385" spans="1:2" x14ac:dyDescent="0.25">
      <c r="A29385"/>
      <c r="B29385"/>
    </row>
    <row r="29386" spans="1:2" x14ac:dyDescent="0.25">
      <c r="A29386"/>
      <c r="B29386"/>
    </row>
    <row r="29387" spans="1:2" x14ac:dyDescent="0.25">
      <c r="A29387"/>
      <c r="B29387"/>
    </row>
    <row r="29388" spans="1:2" x14ac:dyDescent="0.25">
      <c r="A29388"/>
      <c r="B29388"/>
    </row>
    <row r="29389" spans="1:2" x14ac:dyDescent="0.25">
      <c r="A29389"/>
      <c r="B29389"/>
    </row>
    <row r="29390" spans="1:2" x14ac:dyDescent="0.25">
      <c r="A29390"/>
      <c r="B29390"/>
    </row>
    <row r="29391" spans="1:2" x14ac:dyDescent="0.25">
      <c r="A29391"/>
      <c r="B29391"/>
    </row>
    <row r="29392" spans="1:2" x14ac:dyDescent="0.25">
      <c r="A29392"/>
      <c r="B29392"/>
    </row>
    <row r="29393" spans="1:2" x14ac:dyDescent="0.25">
      <c r="A29393"/>
      <c r="B29393"/>
    </row>
    <row r="29394" spans="1:2" x14ac:dyDescent="0.25">
      <c r="A29394"/>
      <c r="B29394"/>
    </row>
    <row r="29395" spans="1:2" x14ac:dyDescent="0.25">
      <c r="A29395"/>
      <c r="B29395"/>
    </row>
    <row r="29396" spans="1:2" x14ac:dyDescent="0.25">
      <c r="A29396"/>
      <c r="B29396"/>
    </row>
    <row r="29397" spans="1:2" x14ac:dyDescent="0.25">
      <c r="A29397"/>
      <c r="B29397"/>
    </row>
    <row r="29398" spans="1:2" x14ac:dyDescent="0.25">
      <c r="A29398"/>
      <c r="B29398"/>
    </row>
    <row r="29399" spans="1:2" x14ac:dyDescent="0.25">
      <c r="A29399"/>
      <c r="B29399"/>
    </row>
    <row r="29400" spans="1:2" x14ac:dyDescent="0.25">
      <c r="A29400"/>
      <c r="B29400"/>
    </row>
    <row r="29401" spans="1:2" x14ac:dyDescent="0.25">
      <c r="A29401"/>
      <c r="B29401"/>
    </row>
    <row r="29402" spans="1:2" x14ac:dyDescent="0.25">
      <c r="A29402"/>
      <c r="B29402"/>
    </row>
    <row r="29403" spans="1:2" x14ac:dyDescent="0.25">
      <c r="A29403"/>
      <c r="B29403"/>
    </row>
    <row r="29404" spans="1:2" x14ac:dyDescent="0.25">
      <c r="A29404"/>
      <c r="B29404"/>
    </row>
    <row r="29405" spans="1:2" x14ac:dyDescent="0.25">
      <c r="A29405"/>
      <c r="B29405"/>
    </row>
    <row r="29406" spans="1:2" x14ac:dyDescent="0.25">
      <c r="A29406"/>
      <c r="B29406"/>
    </row>
    <row r="29407" spans="1:2" x14ac:dyDescent="0.25">
      <c r="A29407"/>
      <c r="B29407"/>
    </row>
    <row r="29408" spans="1:2" x14ac:dyDescent="0.25">
      <c r="A29408"/>
      <c r="B29408"/>
    </row>
    <row r="29409" spans="1:2" x14ac:dyDescent="0.25">
      <c r="A29409"/>
      <c r="B29409"/>
    </row>
    <row r="29410" spans="1:2" x14ac:dyDescent="0.25">
      <c r="A29410"/>
      <c r="B29410"/>
    </row>
    <row r="29411" spans="1:2" x14ac:dyDescent="0.25">
      <c r="A29411"/>
      <c r="B29411"/>
    </row>
    <row r="29412" spans="1:2" x14ac:dyDescent="0.25">
      <c r="A29412"/>
      <c r="B29412"/>
    </row>
    <row r="29413" spans="1:2" x14ac:dyDescent="0.25">
      <c r="A29413"/>
      <c r="B29413"/>
    </row>
    <row r="29414" spans="1:2" x14ac:dyDescent="0.25">
      <c r="A29414"/>
      <c r="B29414"/>
    </row>
    <row r="29415" spans="1:2" x14ac:dyDescent="0.25">
      <c r="A29415"/>
      <c r="B29415"/>
    </row>
    <row r="29416" spans="1:2" x14ac:dyDescent="0.25">
      <c r="A29416"/>
      <c r="B29416"/>
    </row>
    <row r="29417" spans="1:2" x14ac:dyDescent="0.25">
      <c r="A29417"/>
      <c r="B29417"/>
    </row>
    <row r="29418" spans="1:2" x14ac:dyDescent="0.25">
      <c r="A29418"/>
      <c r="B29418"/>
    </row>
    <row r="29419" spans="1:2" x14ac:dyDescent="0.25">
      <c r="A29419"/>
      <c r="B29419"/>
    </row>
    <row r="29420" spans="1:2" x14ac:dyDescent="0.25">
      <c r="A29420"/>
      <c r="B29420"/>
    </row>
    <row r="29421" spans="1:2" x14ac:dyDescent="0.25">
      <c r="A29421"/>
      <c r="B29421"/>
    </row>
    <row r="29422" spans="1:2" x14ac:dyDescent="0.25">
      <c r="A29422"/>
      <c r="B29422"/>
    </row>
    <row r="29423" spans="1:2" x14ac:dyDescent="0.25">
      <c r="A29423"/>
      <c r="B29423"/>
    </row>
    <row r="29424" spans="1:2" x14ac:dyDescent="0.25">
      <c r="A29424"/>
      <c r="B29424"/>
    </row>
    <row r="29425" spans="1:2" x14ac:dyDescent="0.25">
      <c r="A29425"/>
      <c r="B29425"/>
    </row>
    <row r="29426" spans="1:2" x14ac:dyDescent="0.25">
      <c r="A29426"/>
      <c r="B29426"/>
    </row>
    <row r="29427" spans="1:2" x14ac:dyDescent="0.25">
      <c r="A29427"/>
      <c r="B29427"/>
    </row>
    <row r="29428" spans="1:2" x14ac:dyDescent="0.25">
      <c r="A29428"/>
      <c r="B29428"/>
    </row>
    <row r="29429" spans="1:2" x14ac:dyDescent="0.25">
      <c r="A29429"/>
      <c r="B29429"/>
    </row>
    <row r="29430" spans="1:2" x14ac:dyDescent="0.25">
      <c r="A29430"/>
      <c r="B29430"/>
    </row>
    <row r="29431" spans="1:2" x14ac:dyDescent="0.25">
      <c r="A29431"/>
      <c r="B29431"/>
    </row>
    <row r="29432" spans="1:2" x14ac:dyDescent="0.25">
      <c r="A29432"/>
      <c r="B29432"/>
    </row>
    <row r="29433" spans="1:2" x14ac:dyDescent="0.25">
      <c r="A29433"/>
      <c r="B29433"/>
    </row>
    <row r="29434" spans="1:2" x14ac:dyDescent="0.25">
      <c r="A29434"/>
      <c r="B29434"/>
    </row>
    <row r="29435" spans="1:2" x14ac:dyDescent="0.25">
      <c r="A29435"/>
      <c r="B29435"/>
    </row>
    <row r="29436" spans="1:2" x14ac:dyDescent="0.25">
      <c r="A29436"/>
      <c r="B29436"/>
    </row>
    <row r="29437" spans="1:2" x14ac:dyDescent="0.25">
      <c r="A29437"/>
      <c r="B29437"/>
    </row>
    <row r="29438" spans="1:2" x14ac:dyDescent="0.25">
      <c r="A29438"/>
      <c r="B29438"/>
    </row>
    <row r="29439" spans="1:2" x14ac:dyDescent="0.25">
      <c r="A29439"/>
      <c r="B29439"/>
    </row>
    <row r="29440" spans="1:2" x14ac:dyDescent="0.25">
      <c r="A29440"/>
      <c r="B29440"/>
    </row>
    <row r="29441" spans="1:2" x14ac:dyDescent="0.25">
      <c r="A29441"/>
      <c r="B29441"/>
    </row>
    <row r="29442" spans="1:2" x14ac:dyDescent="0.25">
      <c r="A29442"/>
      <c r="B29442"/>
    </row>
    <row r="29443" spans="1:2" x14ac:dyDescent="0.25">
      <c r="A29443"/>
      <c r="B29443"/>
    </row>
    <row r="29444" spans="1:2" x14ac:dyDescent="0.25">
      <c r="A29444"/>
      <c r="B29444"/>
    </row>
    <row r="29445" spans="1:2" x14ac:dyDescent="0.25">
      <c r="A29445"/>
      <c r="B29445"/>
    </row>
    <row r="29446" spans="1:2" x14ac:dyDescent="0.25">
      <c r="A29446"/>
      <c r="B29446"/>
    </row>
    <row r="29447" spans="1:2" x14ac:dyDescent="0.25">
      <c r="A29447"/>
      <c r="B29447"/>
    </row>
    <row r="29448" spans="1:2" x14ac:dyDescent="0.25">
      <c r="A29448"/>
      <c r="B29448"/>
    </row>
    <row r="29449" spans="1:2" x14ac:dyDescent="0.25">
      <c r="A29449"/>
      <c r="B29449"/>
    </row>
    <row r="29450" spans="1:2" x14ac:dyDescent="0.25">
      <c r="A29450"/>
      <c r="B29450"/>
    </row>
    <row r="29451" spans="1:2" x14ac:dyDescent="0.25">
      <c r="A29451"/>
      <c r="B29451"/>
    </row>
    <row r="29452" spans="1:2" x14ac:dyDescent="0.25">
      <c r="A29452"/>
      <c r="B29452"/>
    </row>
    <row r="29453" spans="1:2" x14ac:dyDescent="0.25">
      <c r="A29453"/>
      <c r="B29453"/>
    </row>
    <row r="29454" spans="1:2" x14ac:dyDescent="0.25">
      <c r="A29454"/>
      <c r="B29454"/>
    </row>
    <row r="29455" spans="1:2" x14ac:dyDescent="0.25">
      <c r="A29455"/>
      <c r="B29455"/>
    </row>
    <row r="29456" spans="1:2" x14ac:dyDescent="0.25">
      <c r="A29456"/>
      <c r="B29456"/>
    </row>
    <row r="29457" spans="1:2" x14ac:dyDescent="0.25">
      <c r="A29457"/>
      <c r="B29457"/>
    </row>
    <row r="29458" spans="1:2" x14ac:dyDescent="0.25">
      <c r="A29458"/>
      <c r="B29458"/>
    </row>
    <row r="29459" spans="1:2" x14ac:dyDescent="0.25">
      <c r="A29459"/>
      <c r="B29459"/>
    </row>
    <row r="29460" spans="1:2" x14ac:dyDescent="0.25">
      <c r="A29460"/>
      <c r="B29460"/>
    </row>
    <row r="29461" spans="1:2" x14ac:dyDescent="0.25">
      <c r="A29461"/>
      <c r="B29461"/>
    </row>
    <row r="29462" spans="1:2" x14ac:dyDescent="0.25">
      <c r="A29462"/>
      <c r="B29462"/>
    </row>
    <row r="29463" spans="1:2" x14ac:dyDescent="0.25">
      <c r="A29463"/>
      <c r="B29463"/>
    </row>
    <row r="29464" spans="1:2" x14ac:dyDescent="0.25">
      <c r="A29464"/>
      <c r="B29464"/>
    </row>
    <row r="29465" spans="1:2" x14ac:dyDescent="0.25">
      <c r="A29465"/>
      <c r="B29465"/>
    </row>
    <row r="29466" spans="1:2" x14ac:dyDescent="0.25">
      <c r="A29466"/>
      <c r="B29466"/>
    </row>
    <row r="29467" spans="1:2" x14ac:dyDescent="0.25">
      <c r="A29467"/>
      <c r="B29467"/>
    </row>
    <row r="29468" spans="1:2" x14ac:dyDescent="0.25">
      <c r="A29468"/>
      <c r="B29468"/>
    </row>
    <row r="29469" spans="1:2" x14ac:dyDescent="0.25">
      <c r="A29469"/>
      <c r="B29469"/>
    </row>
    <row r="29470" spans="1:2" x14ac:dyDescent="0.25">
      <c r="A29470"/>
      <c r="B29470"/>
    </row>
    <row r="29471" spans="1:2" x14ac:dyDescent="0.25">
      <c r="A29471"/>
      <c r="B29471"/>
    </row>
    <row r="29472" spans="1:2" x14ac:dyDescent="0.25">
      <c r="A29472"/>
      <c r="B29472"/>
    </row>
    <row r="29473" spans="1:2" x14ac:dyDescent="0.25">
      <c r="A29473"/>
      <c r="B29473"/>
    </row>
    <row r="29474" spans="1:2" x14ac:dyDescent="0.25">
      <c r="A29474"/>
      <c r="B29474"/>
    </row>
    <row r="29475" spans="1:2" x14ac:dyDescent="0.25">
      <c r="A29475"/>
      <c r="B29475"/>
    </row>
    <row r="29476" spans="1:2" x14ac:dyDescent="0.25">
      <c r="A29476"/>
      <c r="B29476"/>
    </row>
    <row r="29477" spans="1:2" x14ac:dyDescent="0.25">
      <c r="A29477"/>
      <c r="B29477"/>
    </row>
    <row r="29478" spans="1:2" x14ac:dyDescent="0.25">
      <c r="A29478"/>
      <c r="B29478"/>
    </row>
    <row r="29479" spans="1:2" x14ac:dyDescent="0.25">
      <c r="A29479"/>
      <c r="B29479"/>
    </row>
    <row r="29480" spans="1:2" x14ac:dyDescent="0.25">
      <c r="A29480"/>
      <c r="B29480"/>
    </row>
    <row r="29481" spans="1:2" x14ac:dyDescent="0.25">
      <c r="A29481"/>
      <c r="B29481"/>
    </row>
    <row r="29482" spans="1:2" x14ac:dyDescent="0.25">
      <c r="A29482"/>
      <c r="B29482"/>
    </row>
    <row r="29483" spans="1:2" x14ac:dyDescent="0.25">
      <c r="A29483"/>
      <c r="B29483"/>
    </row>
    <row r="29484" spans="1:2" x14ac:dyDescent="0.25">
      <c r="A29484"/>
      <c r="B29484"/>
    </row>
    <row r="29485" spans="1:2" x14ac:dyDescent="0.25">
      <c r="A29485"/>
      <c r="B29485"/>
    </row>
    <row r="29486" spans="1:2" x14ac:dyDescent="0.25">
      <c r="A29486"/>
      <c r="B29486"/>
    </row>
    <row r="29487" spans="1:2" x14ac:dyDescent="0.25">
      <c r="A29487"/>
      <c r="B29487"/>
    </row>
    <row r="29488" spans="1:2" x14ac:dyDescent="0.25">
      <c r="A29488"/>
      <c r="B29488"/>
    </row>
    <row r="29489" spans="1:2" x14ac:dyDescent="0.25">
      <c r="A29489"/>
      <c r="B29489"/>
    </row>
    <row r="29490" spans="1:2" x14ac:dyDescent="0.25">
      <c r="A29490"/>
      <c r="B29490"/>
    </row>
    <row r="29491" spans="1:2" x14ac:dyDescent="0.25">
      <c r="A29491"/>
      <c r="B29491"/>
    </row>
    <row r="29492" spans="1:2" x14ac:dyDescent="0.25">
      <c r="A29492"/>
      <c r="B29492"/>
    </row>
    <row r="29493" spans="1:2" x14ac:dyDescent="0.25">
      <c r="A29493"/>
      <c r="B29493"/>
    </row>
    <row r="29494" spans="1:2" x14ac:dyDescent="0.25">
      <c r="A29494"/>
      <c r="B29494"/>
    </row>
    <row r="29495" spans="1:2" x14ac:dyDescent="0.25">
      <c r="A29495"/>
      <c r="B29495"/>
    </row>
    <row r="29496" spans="1:2" x14ac:dyDescent="0.25">
      <c r="A29496"/>
      <c r="B29496"/>
    </row>
    <row r="29497" spans="1:2" x14ac:dyDescent="0.25">
      <c r="A29497"/>
      <c r="B29497"/>
    </row>
    <row r="29498" spans="1:2" x14ac:dyDescent="0.25">
      <c r="A29498"/>
      <c r="B29498"/>
    </row>
    <row r="29499" spans="1:2" x14ac:dyDescent="0.25">
      <c r="A29499"/>
      <c r="B29499"/>
    </row>
    <row r="29500" spans="1:2" x14ac:dyDescent="0.25">
      <c r="A29500"/>
      <c r="B29500"/>
    </row>
    <row r="29501" spans="1:2" x14ac:dyDescent="0.25">
      <c r="A29501"/>
      <c r="B29501"/>
    </row>
    <row r="29502" spans="1:2" x14ac:dyDescent="0.25">
      <c r="A29502"/>
      <c r="B29502"/>
    </row>
    <row r="29503" spans="1:2" x14ac:dyDescent="0.25">
      <c r="A29503"/>
      <c r="B29503"/>
    </row>
    <row r="29504" spans="1:2" x14ac:dyDescent="0.25">
      <c r="A29504"/>
      <c r="B29504"/>
    </row>
    <row r="29505" spans="1:2" x14ac:dyDescent="0.25">
      <c r="A29505"/>
      <c r="B29505"/>
    </row>
    <row r="29506" spans="1:2" x14ac:dyDescent="0.25">
      <c r="A29506"/>
      <c r="B29506"/>
    </row>
    <row r="29507" spans="1:2" x14ac:dyDescent="0.25">
      <c r="A29507"/>
      <c r="B29507"/>
    </row>
    <row r="29508" spans="1:2" x14ac:dyDescent="0.25">
      <c r="A29508"/>
      <c r="B29508"/>
    </row>
    <row r="29509" spans="1:2" x14ac:dyDescent="0.25">
      <c r="A29509"/>
      <c r="B29509"/>
    </row>
    <row r="29510" spans="1:2" x14ac:dyDescent="0.25">
      <c r="A29510"/>
      <c r="B29510"/>
    </row>
    <row r="29511" spans="1:2" x14ac:dyDescent="0.25">
      <c r="A29511"/>
      <c r="B29511"/>
    </row>
    <row r="29512" spans="1:2" x14ac:dyDescent="0.25">
      <c r="A29512"/>
      <c r="B29512"/>
    </row>
    <row r="29513" spans="1:2" x14ac:dyDescent="0.25">
      <c r="A29513"/>
      <c r="B29513"/>
    </row>
    <row r="29514" spans="1:2" x14ac:dyDescent="0.25">
      <c r="A29514"/>
      <c r="B29514"/>
    </row>
    <row r="29515" spans="1:2" x14ac:dyDescent="0.25">
      <c r="A29515"/>
      <c r="B29515"/>
    </row>
    <row r="29516" spans="1:2" x14ac:dyDescent="0.25">
      <c r="A29516"/>
      <c r="B29516"/>
    </row>
    <row r="29517" spans="1:2" x14ac:dyDescent="0.25">
      <c r="A29517"/>
      <c r="B29517"/>
    </row>
    <row r="29518" spans="1:2" x14ac:dyDescent="0.25">
      <c r="A29518"/>
      <c r="B29518"/>
    </row>
    <row r="29519" spans="1:2" x14ac:dyDescent="0.25">
      <c r="A29519"/>
      <c r="B29519"/>
    </row>
    <row r="29520" spans="1:2" x14ac:dyDescent="0.25">
      <c r="A29520"/>
      <c r="B29520"/>
    </row>
    <row r="29521" spans="1:2" x14ac:dyDescent="0.25">
      <c r="A29521"/>
      <c r="B29521"/>
    </row>
    <row r="29522" spans="1:2" x14ac:dyDescent="0.25">
      <c r="A29522"/>
      <c r="B29522"/>
    </row>
    <row r="29523" spans="1:2" x14ac:dyDescent="0.25">
      <c r="A29523"/>
      <c r="B29523"/>
    </row>
    <row r="29524" spans="1:2" x14ac:dyDescent="0.25">
      <c r="A29524"/>
      <c r="B29524"/>
    </row>
    <row r="29525" spans="1:2" x14ac:dyDescent="0.25">
      <c r="A29525"/>
      <c r="B29525"/>
    </row>
    <row r="29526" spans="1:2" x14ac:dyDescent="0.25">
      <c r="A29526"/>
      <c r="B29526"/>
    </row>
    <row r="29527" spans="1:2" x14ac:dyDescent="0.25">
      <c r="A29527"/>
      <c r="B29527"/>
    </row>
    <row r="29528" spans="1:2" x14ac:dyDescent="0.25">
      <c r="A29528"/>
      <c r="B29528"/>
    </row>
    <row r="29529" spans="1:2" x14ac:dyDescent="0.25">
      <c r="A29529"/>
      <c r="B29529"/>
    </row>
    <row r="29530" spans="1:2" x14ac:dyDescent="0.25">
      <c r="A29530"/>
      <c r="B29530"/>
    </row>
    <row r="29531" spans="1:2" x14ac:dyDescent="0.25">
      <c r="A29531"/>
      <c r="B29531"/>
    </row>
    <row r="29532" spans="1:2" x14ac:dyDescent="0.25">
      <c r="A29532"/>
      <c r="B29532"/>
    </row>
    <row r="29533" spans="1:2" x14ac:dyDescent="0.25">
      <c r="A29533"/>
      <c r="B29533"/>
    </row>
    <row r="29534" spans="1:2" x14ac:dyDescent="0.25">
      <c r="A29534"/>
      <c r="B29534"/>
    </row>
    <row r="29535" spans="1:2" x14ac:dyDescent="0.25">
      <c r="A29535"/>
      <c r="B29535"/>
    </row>
    <row r="29536" spans="1:2" x14ac:dyDescent="0.25">
      <c r="A29536"/>
      <c r="B29536"/>
    </row>
    <row r="29537" spans="1:2" x14ac:dyDescent="0.25">
      <c r="A29537"/>
      <c r="B29537"/>
    </row>
    <row r="29538" spans="1:2" x14ac:dyDescent="0.25">
      <c r="A29538"/>
      <c r="B29538"/>
    </row>
    <row r="29539" spans="1:2" x14ac:dyDescent="0.25">
      <c r="A29539"/>
      <c r="B29539"/>
    </row>
    <row r="29540" spans="1:2" x14ac:dyDescent="0.25">
      <c r="A29540"/>
      <c r="B29540"/>
    </row>
    <row r="29541" spans="1:2" x14ac:dyDescent="0.25">
      <c r="A29541"/>
      <c r="B29541"/>
    </row>
    <row r="29542" spans="1:2" x14ac:dyDescent="0.25">
      <c r="A29542"/>
      <c r="B29542"/>
    </row>
    <row r="29543" spans="1:2" x14ac:dyDescent="0.25">
      <c r="A29543"/>
      <c r="B29543"/>
    </row>
    <row r="29544" spans="1:2" x14ac:dyDescent="0.25">
      <c r="A29544"/>
      <c r="B29544"/>
    </row>
    <row r="29545" spans="1:2" x14ac:dyDescent="0.25">
      <c r="A29545"/>
      <c r="B29545"/>
    </row>
    <row r="29546" spans="1:2" x14ac:dyDescent="0.25">
      <c r="A29546"/>
      <c r="B29546"/>
    </row>
    <row r="29547" spans="1:2" x14ac:dyDescent="0.25">
      <c r="A29547"/>
      <c r="B29547"/>
    </row>
    <row r="29548" spans="1:2" x14ac:dyDescent="0.25">
      <c r="A29548"/>
      <c r="B29548"/>
    </row>
    <row r="29549" spans="1:2" x14ac:dyDescent="0.25">
      <c r="A29549"/>
      <c r="B29549"/>
    </row>
    <row r="29550" spans="1:2" x14ac:dyDescent="0.25">
      <c r="A29550"/>
      <c r="B29550"/>
    </row>
    <row r="29551" spans="1:2" x14ac:dyDescent="0.25">
      <c r="A29551"/>
      <c r="B29551"/>
    </row>
    <row r="29552" spans="1:2" x14ac:dyDescent="0.25">
      <c r="A29552"/>
      <c r="B29552"/>
    </row>
    <row r="29553" spans="1:2" x14ac:dyDescent="0.25">
      <c r="A29553"/>
      <c r="B29553"/>
    </row>
    <row r="29554" spans="1:2" x14ac:dyDescent="0.25">
      <c r="A29554"/>
      <c r="B29554"/>
    </row>
    <row r="29555" spans="1:2" x14ac:dyDescent="0.25">
      <c r="A29555"/>
      <c r="B29555"/>
    </row>
    <row r="29556" spans="1:2" x14ac:dyDescent="0.25">
      <c r="A29556"/>
      <c r="B29556"/>
    </row>
    <row r="29557" spans="1:2" x14ac:dyDescent="0.25">
      <c r="A29557"/>
      <c r="B29557"/>
    </row>
    <row r="29558" spans="1:2" x14ac:dyDescent="0.25">
      <c r="A29558"/>
      <c r="B29558"/>
    </row>
    <row r="29559" spans="1:2" x14ac:dyDescent="0.25">
      <c r="A29559"/>
      <c r="B29559"/>
    </row>
    <row r="29560" spans="1:2" x14ac:dyDescent="0.25">
      <c r="A29560"/>
      <c r="B29560"/>
    </row>
    <row r="29561" spans="1:2" x14ac:dyDescent="0.25">
      <c r="A29561"/>
      <c r="B29561"/>
    </row>
    <row r="29562" spans="1:2" x14ac:dyDescent="0.25">
      <c r="A29562"/>
      <c r="B29562"/>
    </row>
    <row r="29563" spans="1:2" x14ac:dyDescent="0.25">
      <c r="A29563"/>
      <c r="B29563"/>
    </row>
    <row r="29564" spans="1:2" x14ac:dyDescent="0.25">
      <c r="A29564"/>
      <c r="B29564"/>
    </row>
    <row r="29565" spans="1:2" x14ac:dyDescent="0.25">
      <c r="A29565"/>
      <c r="B29565"/>
    </row>
    <row r="29566" spans="1:2" x14ac:dyDescent="0.25">
      <c r="A29566"/>
      <c r="B29566"/>
    </row>
    <row r="29567" spans="1:2" x14ac:dyDescent="0.25">
      <c r="A29567"/>
      <c r="B29567"/>
    </row>
    <row r="29568" spans="1:2" x14ac:dyDescent="0.25">
      <c r="A29568"/>
      <c r="B29568"/>
    </row>
    <row r="29569" spans="1:2" x14ac:dyDescent="0.25">
      <c r="A29569"/>
      <c r="B29569"/>
    </row>
    <row r="29570" spans="1:2" x14ac:dyDescent="0.25">
      <c r="A29570"/>
      <c r="B29570"/>
    </row>
    <row r="29571" spans="1:2" x14ac:dyDescent="0.25">
      <c r="A29571"/>
      <c r="B29571"/>
    </row>
    <row r="29572" spans="1:2" x14ac:dyDescent="0.25">
      <c r="A29572"/>
      <c r="B29572"/>
    </row>
    <row r="29573" spans="1:2" x14ac:dyDescent="0.25">
      <c r="A29573"/>
      <c r="B29573"/>
    </row>
    <row r="29574" spans="1:2" x14ac:dyDescent="0.25">
      <c r="A29574"/>
      <c r="B29574"/>
    </row>
    <row r="29575" spans="1:2" x14ac:dyDescent="0.25">
      <c r="A29575"/>
      <c r="B29575"/>
    </row>
    <row r="29576" spans="1:2" x14ac:dyDescent="0.25">
      <c r="A29576"/>
      <c r="B29576"/>
    </row>
    <row r="29577" spans="1:2" x14ac:dyDescent="0.25">
      <c r="A29577"/>
      <c r="B29577"/>
    </row>
    <row r="29578" spans="1:2" x14ac:dyDescent="0.25">
      <c r="A29578"/>
      <c r="B29578"/>
    </row>
    <row r="29579" spans="1:2" x14ac:dyDescent="0.25">
      <c r="A29579"/>
      <c r="B29579"/>
    </row>
    <row r="29580" spans="1:2" x14ac:dyDescent="0.25">
      <c r="A29580"/>
      <c r="B29580"/>
    </row>
    <row r="29581" spans="1:2" x14ac:dyDescent="0.25">
      <c r="A29581"/>
      <c r="B29581"/>
    </row>
    <row r="29582" spans="1:2" x14ac:dyDescent="0.25">
      <c r="A29582"/>
      <c r="B29582"/>
    </row>
    <row r="29583" spans="1:2" x14ac:dyDescent="0.25">
      <c r="A29583"/>
      <c r="B29583"/>
    </row>
    <row r="29584" spans="1:2" x14ac:dyDescent="0.25">
      <c r="A29584"/>
      <c r="B29584"/>
    </row>
    <row r="29585" spans="1:2" x14ac:dyDescent="0.25">
      <c r="A29585"/>
      <c r="B29585"/>
    </row>
    <row r="29586" spans="1:2" x14ac:dyDescent="0.25">
      <c r="A29586"/>
      <c r="B29586"/>
    </row>
    <row r="29587" spans="1:2" x14ac:dyDescent="0.25">
      <c r="A29587"/>
      <c r="B29587"/>
    </row>
    <row r="29588" spans="1:2" x14ac:dyDescent="0.25">
      <c r="A29588"/>
      <c r="B29588"/>
    </row>
    <row r="29589" spans="1:2" x14ac:dyDescent="0.25">
      <c r="A29589"/>
      <c r="B29589"/>
    </row>
    <row r="29590" spans="1:2" x14ac:dyDescent="0.25">
      <c r="A29590"/>
      <c r="B29590"/>
    </row>
    <row r="29591" spans="1:2" x14ac:dyDescent="0.25">
      <c r="A29591"/>
      <c r="B29591"/>
    </row>
    <row r="29592" spans="1:2" x14ac:dyDescent="0.25">
      <c r="A29592"/>
      <c r="B29592"/>
    </row>
    <row r="29593" spans="1:2" x14ac:dyDescent="0.25">
      <c r="A29593"/>
      <c r="B29593"/>
    </row>
    <row r="29594" spans="1:2" x14ac:dyDescent="0.25">
      <c r="A29594"/>
      <c r="B29594"/>
    </row>
    <row r="29595" spans="1:2" x14ac:dyDescent="0.25">
      <c r="A29595"/>
      <c r="B29595"/>
    </row>
    <row r="29596" spans="1:2" x14ac:dyDescent="0.25">
      <c r="A29596"/>
      <c r="B29596"/>
    </row>
    <row r="29597" spans="1:2" x14ac:dyDescent="0.25">
      <c r="A29597"/>
      <c r="B29597"/>
    </row>
    <row r="29598" spans="1:2" x14ac:dyDescent="0.25">
      <c r="A29598"/>
      <c r="B29598"/>
    </row>
    <row r="29599" spans="1:2" x14ac:dyDescent="0.25">
      <c r="A29599"/>
      <c r="B29599"/>
    </row>
    <row r="29600" spans="1:2" x14ac:dyDescent="0.25">
      <c r="A29600"/>
      <c r="B29600"/>
    </row>
    <row r="29601" spans="1:2" x14ac:dyDescent="0.25">
      <c r="A29601"/>
      <c r="B29601"/>
    </row>
    <row r="29602" spans="1:2" x14ac:dyDescent="0.25">
      <c r="A29602"/>
      <c r="B29602"/>
    </row>
    <row r="29603" spans="1:2" x14ac:dyDescent="0.25">
      <c r="A29603"/>
      <c r="B29603"/>
    </row>
    <row r="29604" spans="1:2" x14ac:dyDescent="0.25">
      <c r="A29604"/>
      <c r="B29604"/>
    </row>
    <row r="29605" spans="1:2" x14ac:dyDescent="0.25">
      <c r="A29605"/>
      <c r="B29605"/>
    </row>
    <row r="29606" spans="1:2" x14ac:dyDescent="0.25">
      <c r="A29606"/>
      <c r="B29606"/>
    </row>
    <row r="29607" spans="1:2" x14ac:dyDescent="0.25">
      <c r="A29607"/>
      <c r="B29607"/>
    </row>
    <row r="29608" spans="1:2" x14ac:dyDescent="0.25">
      <c r="A29608"/>
      <c r="B29608"/>
    </row>
    <row r="29609" spans="1:2" x14ac:dyDescent="0.25">
      <c r="A29609"/>
      <c r="B29609"/>
    </row>
    <row r="29610" spans="1:2" x14ac:dyDescent="0.25">
      <c r="A29610"/>
      <c r="B29610"/>
    </row>
    <row r="29611" spans="1:2" x14ac:dyDescent="0.25">
      <c r="A29611"/>
      <c r="B29611"/>
    </row>
    <row r="29612" spans="1:2" x14ac:dyDescent="0.25">
      <c r="A29612"/>
      <c r="B29612"/>
    </row>
    <row r="29613" spans="1:2" x14ac:dyDescent="0.25">
      <c r="A29613"/>
      <c r="B29613"/>
    </row>
    <row r="29614" spans="1:2" x14ac:dyDescent="0.25">
      <c r="A29614"/>
      <c r="B29614"/>
    </row>
    <row r="29615" spans="1:2" x14ac:dyDescent="0.25">
      <c r="A29615"/>
      <c r="B29615"/>
    </row>
    <row r="29616" spans="1:2" x14ac:dyDescent="0.25">
      <c r="A29616"/>
      <c r="B29616"/>
    </row>
    <row r="29617" spans="1:2" x14ac:dyDescent="0.25">
      <c r="A29617"/>
      <c r="B29617"/>
    </row>
    <row r="29618" spans="1:2" x14ac:dyDescent="0.25">
      <c r="A29618"/>
      <c r="B29618"/>
    </row>
    <row r="29619" spans="1:2" x14ac:dyDescent="0.25">
      <c r="A29619"/>
      <c r="B29619"/>
    </row>
    <row r="29620" spans="1:2" x14ac:dyDescent="0.25">
      <c r="A29620"/>
      <c r="B29620"/>
    </row>
    <row r="29621" spans="1:2" x14ac:dyDescent="0.25">
      <c r="A29621"/>
      <c r="B29621"/>
    </row>
    <row r="29622" spans="1:2" x14ac:dyDescent="0.25">
      <c r="A29622"/>
      <c r="B29622"/>
    </row>
    <row r="29623" spans="1:2" x14ac:dyDescent="0.25">
      <c r="A29623"/>
      <c r="B29623"/>
    </row>
    <row r="29624" spans="1:2" x14ac:dyDescent="0.25">
      <c r="A29624"/>
      <c r="B29624"/>
    </row>
    <row r="29625" spans="1:2" x14ac:dyDescent="0.25">
      <c r="A29625"/>
      <c r="B29625"/>
    </row>
    <row r="29626" spans="1:2" x14ac:dyDescent="0.25">
      <c r="A29626"/>
      <c r="B29626"/>
    </row>
    <row r="29627" spans="1:2" x14ac:dyDescent="0.25">
      <c r="A29627"/>
      <c r="B29627"/>
    </row>
    <row r="29628" spans="1:2" x14ac:dyDescent="0.25">
      <c r="A29628"/>
      <c r="B29628"/>
    </row>
    <row r="29629" spans="1:2" x14ac:dyDescent="0.25">
      <c r="A29629"/>
      <c r="B29629"/>
    </row>
    <row r="29630" spans="1:2" x14ac:dyDescent="0.25">
      <c r="A29630"/>
      <c r="B29630"/>
    </row>
    <row r="29631" spans="1:2" x14ac:dyDescent="0.25">
      <c r="A29631"/>
      <c r="B29631"/>
    </row>
    <row r="29632" spans="1:2" x14ac:dyDescent="0.25">
      <c r="A29632"/>
      <c r="B29632"/>
    </row>
    <row r="29633" spans="1:2" x14ac:dyDescent="0.25">
      <c r="A29633"/>
      <c r="B29633"/>
    </row>
    <row r="29634" spans="1:2" x14ac:dyDescent="0.25">
      <c r="A29634"/>
      <c r="B29634"/>
    </row>
    <row r="29635" spans="1:2" x14ac:dyDescent="0.25">
      <c r="A29635"/>
      <c r="B29635"/>
    </row>
    <row r="29636" spans="1:2" x14ac:dyDescent="0.25">
      <c r="A29636"/>
      <c r="B29636"/>
    </row>
    <row r="29637" spans="1:2" x14ac:dyDescent="0.25">
      <c r="A29637"/>
      <c r="B29637"/>
    </row>
    <row r="29638" spans="1:2" x14ac:dyDescent="0.25">
      <c r="A29638"/>
      <c r="B29638"/>
    </row>
    <row r="29639" spans="1:2" x14ac:dyDescent="0.25">
      <c r="A29639"/>
      <c r="B29639"/>
    </row>
    <row r="29640" spans="1:2" x14ac:dyDescent="0.25">
      <c r="A29640"/>
      <c r="B29640"/>
    </row>
    <row r="29641" spans="1:2" x14ac:dyDescent="0.25">
      <c r="A29641"/>
      <c r="B29641"/>
    </row>
    <row r="29642" spans="1:2" x14ac:dyDescent="0.25">
      <c r="A29642"/>
      <c r="B29642"/>
    </row>
    <row r="29643" spans="1:2" x14ac:dyDescent="0.25">
      <c r="A29643"/>
      <c r="B29643"/>
    </row>
    <row r="29644" spans="1:2" x14ac:dyDescent="0.25">
      <c r="A29644"/>
      <c r="B29644"/>
    </row>
    <row r="29645" spans="1:2" x14ac:dyDescent="0.25">
      <c r="A29645"/>
      <c r="B29645"/>
    </row>
    <row r="29646" spans="1:2" x14ac:dyDescent="0.25">
      <c r="A29646"/>
      <c r="B29646"/>
    </row>
    <row r="29647" spans="1:2" x14ac:dyDescent="0.25">
      <c r="A29647"/>
      <c r="B29647"/>
    </row>
    <row r="29648" spans="1:2" x14ac:dyDescent="0.25">
      <c r="A29648"/>
      <c r="B29648"/>
    </row>
    <row r="29649" spans="1:2" x14ac:dyDescent="0.25">
      <c r="A29649"/>
      <c r="B29649"/>
    </row>
    <row r="29650" spans="1:2" x14ac:dyDescent="0.25">
      <c r="A29650"/>
      <c r="B29650"/>
    </row>
    <row r="29651" spans="1:2" x14ac:dyDescent="0.25">
      <c r="A29651"/>
      <c r="B29651"/>
    </row>
    <row r="29652" spans="1:2" x14ac:dyDescent="0.25">
      <c r="A29652"/>
      <c r="B29652"/>
    </row>
    <row r="29653" spans="1:2" x14ac:dyDescent="0.25">
      <c r="A29653"/>
      <c r="B29653"/>
    </row>
    <row r="29654" spans="1:2" x14ac:dyDescent="0.25">
      <c r="A29654"/>
      <c r="B29654"/>
    </row>
    <row r="29655" spans="1:2" x14ac:dyDescent="0.25">
      <c r="A29655"/>
      <c r="B29655"/>
    </row>
    <row r="29656" spans="1:2" x14ac:dyDescent="0.25">
      <c r="A29656"/>
      <c r="B29656"/>
    </row>
    <row r="29657" spans="1:2" x14ac:dyDescent="0.25">
      <c r="A29657"/>
      <c r="B29657"/>
    </row>
    <row r="29658" spans="1:2" x14ac:dyDescent="0.25">
      <c r="A29658"/>
      <c r="B29658"/>
    </row>
    <row r="29659" spans="1:2" x14ac:dyDescent="0.25">
      <c r="A29659"/>
      <c r="B29659"/>
    </row>
    <row r="29660" spans="1:2" x14ac:dyDescent="0.25">
      <c r="A29660"/>
      <c r="B29660"/>
    </row>
    <row r="29661" spans="1:2" x14ac:dyDescent="0.25">
      <c r="A29661"/>
      <c r="B29661"/>
    </row>
    <row r="29662" spans="1:2" x14ac:dyDescent="0.25">
      <c r="A29662"/>
      <c r="B29662"/>
    </row>
    <row r="29663" spans="1:2" x14ac:dyDescent="0.25">
      <c r="A29663"/>
      <c r="B29663"/>
    </row>
    <row r="29664" spans="1:2" x14ac:dyDescent="0.25">
      <c r="A29664"/>
      <c r="B29664"/>
    </row>
    <row r="29665" spans="1:2" x14ac:dyDescent="0.25">
      <c r="A29665"/>
      <c r="B29665"/>
    </row>
    <row r="29666" spans="1:2" x14ac:dyDescent="0.25">
      <c r="A29666"/>
      <c r="B29666"/>
    </row>
    <row r="29667" spans="1:2" x14ac:dyDescent="0.25">
      <c r="A29667"/>
      <c r="B29667"/>
    </row>
    <row r="29668" spans="1:2" x14ac:dyDescent="0.25">
      <c r="A29668"/>
      <c r="B29668"/>
    </row>
    <row r="29669" spans="1:2" x14ac:dyDescent="0.25">
      <c r="A29669"/>
      <c r="B29669"/>
    </row>
    <row r="29670" spans="1:2" x14ac:dyDescent="0.25">
      <c r="A29670"/>
      <c r="B29670"/>
    </row>
    <row r="29671" spans="1:2" x14ac:dyDescent="0.25">
      <c r="A29671"/>
      <c r="B29671"/>
    </row>
    <row r="29672" spans="1:2" x14ac:dyDescent="0.25">
      <c r="A29672"/>
      <c r="B29672"/>
    </row>
    <row r="29673" spans="1:2" x14ac:dyDescent="0.25">
      <c r="A29673"/>
      <c r="B29673"/>
    </row>
    <row r="29674" spans="1:2" x14ac:dyDescent="0.25">
      <c r="A29674"/>
      <c r="B29674"/>
    </row>
    <row r="29675" spans="1:2" x14ac:dyDescent="0.25">
      <c r="A29675"/>
      <c r="B29675"/>
    </row>
    <row r="29676" spans="1:2" x14ac:dyDescent="0.25">
      <c r="A29676"/>
      <c r="B29676"/>
    </row>
    <row r="29677" spans="1:2" x14ac:dyDescent="0.25">
      <c r="A29677"/>
      <c r="B29677"/>
    </row>
    <row r="29678" spans="1:2" x14ac:dyDescent="0.25">
      <c r="A29678"/>
      <c r="B29678"/>
    </row>
    <row r="29679" spans="1:2" x14ac:dyDescent="0.25">
      <c r="A29679"/>
      <c r="B29679"/>
    </row>
    <row r="29680" spans="1:2" x14ac:dyDescent="0.25">
      <c r="A29680"/>
      <c r="B29680"/>
    </row>
    <row r="29681" spans="1:2" x14ac:dyDescent="0.25">
      <c r="A29681"/>
      <c r="B29681"/>
    </row>
    <row r="29682" spans="1:2" x14ac:dyDescent="0.25">
      <c r="A29682"/>
      <c r="B29682"/>
    </row>
    <row r="29683" spans="1:2" x14ac:dyDescent="0.25">
      <c r="A29683"/>
      <c r="B29683"/>
    </row>
    <row r="29684" spans="1:2" x14ac:dyDescent="0.25">
      <c r="A29684"/>
      <c r="B29684"/>
    </row>
    <row r="29685" spans="1:2" x14ac:dyDescent="0.25">
      <c r="A29685"/>
      <c r="B29685"/>
    </row>
    <row r="29686" spans="1:2" x14ac:dyDescent="0.25">
      <c r="A29686"/>
      <c r="B29686"/>
    </row>
    <row r="29687" spans="1:2" x14ac:dyDescent="0.25">
      <c r="A29687"/>
      <c r="B29687"/>
    </row>
    <row r="29688" spans="1:2" x14ac:dyDescent="0.25">
      <c r="A29688"/>
      <c r="B29688"/>
    </row>
    <row r="29689" spans="1:2" x14ac:dyDescent="0.25">
      <c r="A29689"/>
      <c r="B29689"/>
    </row>
    <row r="29690" spans="1:2" x14ac:dyDescent="0.25">
      <c r="A29690"/>
      <c r="B29690"/>
    </row>
    <row r="29691" spans="1:2" x14ac:dyDescent="0.25">
      <c r="A29691"/>
      <c r="B29691"/>
    </row>
    <row r="29692" spans="1:2" x14ac:dyDescent="0.25">
      <c r="A29692"/>
      <c r="B29692"/>
    </row>
    <row r="29693" spans="1:2" x14ac:dyDescent="0.25">
      <c r="A29693"/>
      <c r="B29693"/>
    </row>
    <row r="29694" spans="1:2" x14ac:dyDescent="0.25">
      <c r="A29694"/>
      <c r="B29694"/>
    </row>
    <row r="29695" spans="1:2" x14ac:dyDescent="0.25">
      <c r="A29695"/>
      <c r="B29695"/>
    </row>
    <row r="29696" spans="1:2" x14ac:dyDescent="0.25">
      <c r="A29696"/>
      <c r="B29696"/>
    </row>
    <row r="29697" spans="1:2" x14ac:dyDescent="0.25">
      <c r="A29697"/>
      <c r="B29697"/>
    </row>
    <row r="29698" spans="1:2" x14ac:dyDescent="0.25">
      <c r="A29698"/>
      <c r="B29698"/>
    </row>
    <row r="29699" spans="1:2" x14ac:dyDescent="0.25">
      <c r="A29699"/>
      <c r="B29699"/>
    </row>
    <row r="29700" spans="1:2" x14ac:dyDescent="0.25">
      <c r="A29700"/>
      <c r="B29700"/>
    </row>
    <row r="29701" spans="1:2" x14ac:dyDescent="0.25">
      <c r="A29701"/>
      <c r="B29701"/>
    </row>
    <row r="29702" spans="1:2" x14ac:dyDescent="0.25">
      <c r="A29702"/>
      <c r="B29702"/>
    </row>
    <row r="29703" spans="1:2" x14ac:dyDescent="0.25">
      <c r="A29703"/>
      <c r="B29703"/>
    </row>
    <row r="29704" spans="1:2" x14ac:dyDescent="0.25">
      <c r="A29704"/>
      <c r="B29704"/>
    </row>
    <row r="29705" spans="1:2" x14ac:dyDescent="0.25">
      <c r="A29705"/>
      <c r="B29705"/>
    </row>
    <row r="29706" spans="1:2" x14ac:dyDescent="0.25">
      <c r="A29706"/>
      <c r="B29706"/>
    </row>
    <row r="29707" spans="1:2" x14ac:dyDescent="0.25">
      <c r="A29707"/>
      <c r="B29707"/>
    </row>
    <row r="29708" spans="1:2" x14ac:dyDescent="0.25">
      <c r="A29708"/>
      <c r="B29708"/>
    </row>
    <row r="29709" spans="1:2" x14ac:dyDescent="0.25">
      <c r="A29709"/>
      <c r="B29709"/>
    </row>
    <row r="29710" spans="1:2" x14ac:dyDescent="0.25">
      <c r="A29710"/>
      <c r="B29710"/>
    </row>
    <row r="29711" spans="1:2" x14ac:dyDescent="0.25">
      <c r="A29711"/>
      <c r="B29711"/>
    </row>
    <row r="29712" spans="1:2" x14ac:dyDescent="0.25">
      <c r="A29712"/>
      <c r="B29712"/>
    </row>
    <row r="29713" spans="1:2" x14ac:dyDescent="0.25">
      <c r="A29713"/>
      <c r="B29713"/>
    </row>
    <row r="29714" spans="1:2" x14ac:dyDescent="0.25">
      <c r="A29714"/>
      <c r="B29714"/>
    </row>
    <row r="29715" spans="1:2" x14ac:dyDescent="0.25">
      <c r="A29715"/>
      <c r="B29715"/>
    </row>
    <row r="29716" spans="1:2" x14ac:dyDescent="0.25">
      <c r="A29716"/>
      <c r="B29716"/>
    </row>
    <row r="29717" spans="1:2" x14ac:dyDescent="0.25">
      <c r="A29717"/>
      <c r="B29717"/>
    </row>
    <row r="29718" spans="1:2" x14ac:dyDescent="0.25">
      <c r="A29718"/>
      <c r="B29718"/>
    </row>
    <row r="29719" spans="1:2" x14ac:dyDescent="0.25">
      <c r="A29719"/>
      <c r="B29719"/>
    </row>
    <row r="29720" spans="1:2" x14ac:dyDescent="0.25">
      <c r="A29720"/>
      <c r="B29720"/>
    </row>
    <row r="29721" spans="1:2" x14ac:dyDescent="0.25">
      <c r="A29721"/>
      <c r="B29721"/>
    </row>
    <row r="29722" spans="1:2" x14ac:dyDescent="0.25">
      <c r="A29722"/>
      <c r="B29722"/>
    </row>
    <row r="29723" spans="1:2" x14ac:dyDescent="0.25">
      <c r="A29723"/>
      <c r="B29723"/>
    </row>
    <row r="29724" spans="1:2" x14ac:dyDescent="0.25">
      <c r="A29724"/>
      <c r="B29724"/>
    </row>
    <row r="29725" spans="1:2" x14ac:dyDescent="0.25">
      <c r="A29725"/>
      <c r="B29725"/>
    </row>
    <row r="29726" spans="1:2" x14ac:dyDescent="0.25">
      <c r="A29726"/>
      <c r="B29726"/>
    </row>
    <row r="29727" spans="1:2" x14ac:dyDescent="0.25">
      <c r="A29727"/>
      <c r="B29727"/>
    </row>
    <row r="29728" spans="1:2" x14ac:dyDescent="0.25">
      <c r="A29728"/>
      <c r="B29728"/>
    </row>
    <row r="29729" spans="1:2" x14ac:dyDescent="0.25">
      <c r="A29729"/>
      <c r="B29729"/>
    </row>
    <row r="29730" spans="1:2" x14ac:dyDescent="0.25">
      <c r="A29730"/>
      <c r="B29730"/>
    </row>
    <row r="29731" spans="1:2" x14ac:dyDescent="0.25">
      <c r="A29731"/>
      <c r="B29731"/>
    </row>
    <row r="29732" spans="1:2" x14ac:dyDescent="0.25">
      <c r="A29732"/>
      <c r="B29732"/>
    </row>
    <row r="29733" spans="1:2" x14ac:dyDescent="0.25">
      <c r="A29733"/>
      <c r="B29733"/>
    </row>
    <row r="29734" spans="1:2" x14ac:dyDescent="0.25">
      <c r="A29734"/>
      <c r="B29734"/>
    </row>
    <row r="29735" spans="1:2" x14ac:dyDescent="0.25">
      <c r="A29735"/>
      <c r="B29735"/>
    </row>
    <row r="29736" spans="1:2" x14ac:dyDescent="0.25">
      <c r="A29736"/>
      <c r="B29736"/>
    </row>
    <row r="29737" spans="1:2" x14ac:dyDescent="0.25">
      <c r="A29737"/>
      <c r="B29737"/>
    </row>
    <row r="29738" spans="1:2" x14ac:dyDescent="0.25">
      <c r="A29738"/>
      <c r="B29738"/>
    </row>
    <row r="29739" spans="1:2" x14ac:dyDescent="0.25">
      <c r="A29739"/>
      <c r="B29739"/>
    </row>
    <row r="29740" spans="1:2" x14ac:dyDescent="0.25">
      <c r="A29740"/>
      <c r="B29740"/>
    </row>
    <row r="29741" spans="1:2" x14ac:dyDescent="0.25">
      <c r="A29741"/>
      <c r="B29741"/>
    </row>
    <row r="29742" spans="1:2" x14ac:dyDescent="0.25">
      <c r="A29742"/>
      <c r="B29742"/>
    </row>
    <row r="29743" spans="1:2" x14ac:dyDescent="0.25">
      <c r="A29743"/>
      <c r="B29743"/>
    </row>
    <row r="29744" spans="1:2" x14ac:dyDescent="0.25">
      <c r="A29744"/>
      <c r="B29744"/>
    </row>
    <row r="29745" spans="1:2" x14ac:dyDescent="0.25">
      <c r="A29745"/>
      <c r="B29745"/>
    </row>
    <row r="29746" spans="1:2" x14ac:dyDescent="0.25">
      <c r="A29746"/>
      <c r="B29746"/>
    </row>
    <row r="29747" spans="1:2" x14ac:dyDescent="0.25">
      <c r="A29747"/>
      <c r="B29747"/>
    </row>
    <row r="29748" spans="1:2" x14ac:dyDescent="0.25">
      <c r="A29748"/>
      <c r="B29748"/>
    </row>
    <row r="29749" spans="1:2" x14ac:dyDescent="0.25">
      <c r="A29749"/>
      <c r="B29749"/>
    </row>
    <row r="29750" spans="1:2" x14ac:dyDescent="0.25">
      <c r="A29750"/>
      <c r="B29750"/>
    </row>
    <row r="29751" spans="1:2" x14ac:dyDescent="0.25">
      <c r="A29751"/>
      <c r="B29751"/>
    </row>
    <row r="29752" spans="1:2" x14ac:dyDescent="0.25">
      <c r="A29752"/>
      <c r="B29752"/>
    </row>
    <row r="29753" spans="1:2" x14ac:dyDescent="0.25">
      <c r="A29753"/>
      <c r="B29753"/>
    </row>
    <row r="29754" spans="1:2" x14ac:dyDescent="0.25">
      <c r="A29754"/>
      <c r="B29754"/>
    </row>
    <row r="29755" spans="1:2" x14ac:dyDescent="0.25">
      <c r="A29755"/>
      <c r="B29755"/>
    </row>
    <row r="29756" spans="1:2" x14ac:dyDescent="0.25">
      <c r="A29756"/>
      <c r="B29756"/>
    </row>
    <row r="29757" spans="1:2" x14ac:dyDescent="0.25">
      <c r="A29757"/>
      <c r="B29757"/>
    </row>
    <row r="29758" spans="1:2" x14ac:dyDescent="0.25">
      <c r="A29758"/>
      <c r="B29758"/>
    </row>
    <row r="29759" spans="1:2" x14ac:dyDescent="0.25">
      <c r="A29759"/>
      <c r="B29759"/>
    </row>
    <row r="29760" spans="1:2" x14ac:dyDescent="0.25">
      <c r="A29760"/>
      <c r="B29760"/>
    </row>
    <row r="29761" spans="1:2" x14ac:dyDescent="0.25">
      <c r="A29761"/>
      <c r="B29761"/>
    </row>
    <row r="29762" spans="1:2" x14ac:dyDescent="0.25">
      <c r="A29762"/>
      <c r="B29762"/>
    </row>
    <row r="29763" spans="1:2" x14ac:dyDescent="0.25">
      <c r="A29763"/>
      <c r="B29763"/>
    </row>
    <row r="29764" spans="1:2" x14ac:dyDescent="0.25">
      <c r="A29764"/>
      <c r="B29764"/>
    </row>
    <row r="29765" spans="1:2" x14ac:dyDescent="0.25">
      <c r="A29765"/>
      <c r="B29765"/>
    </row>
    <row r="29766" spans="1:2" x14ac:dyDescent="0.25">
      <c r="A29766"/>
      <c r="B29766"/>
    </row>
    <row r="29767" spans="1:2" x14ac:dyDescent="0.25">
      <c r="A29767"/>
      <c r="B29767"/>
    </row>
    <row r="29768" spans="1:2" x14ac:dyDescent="0.25">
      <c r="A29768"/>
      <c r="B29768"/>
    </row>
    <row r="29769" spans="1:2" x14ac:dyDescent="0.25">
      <c r="A29769"/>
      <c r="B29769"/>
    </row>
    <row r="29770" spans="1:2" x14ac:dyDescent="0.25">
      <c r="A29770"/>
      <c r="B29770"/>
    </row>
    <row r="29771" spans="1:2" x14ac:dyDescent="0.25">
      <c r="A29771"/>
      <c r="B29771"/>
    </row>
    <row r="29772" spans="1:2" x14ac:dyDescent="0.25">
      <c r="A29772"/>
      <c r="B29772"/>
    </row>
    <row r="29773" spans="1:2" x14ac:dyDescent="0.25">
      <c r="A29773"/>
      <c r="B29773"/>
    </row>
    <row r="29774" spans="1:2" x14ac:dyDescent="0.25">
      <c r="A29774"/>
      <c r="B29774"/>
    </row>
    <row r="29775" spans="1:2" x14ac:dyDescent="0.25">
      <c r="A29775"/>
      <c r="B29775"/>
    </row>
    <row r="29776" spans="1:2" x14ac:dyDescent="0.25">
      <c r="A29776"/>
      <c r="B29776"/>
    </row>
    <row r="29777" spans="1:2" x14ac:dyDescent="0.25">
      <c r="A29777"/>
      <c r="B29777"/>
    </row>
    <row r="29778" spans="1:2" x14ac:dyDescent="0.25">
      <c r="A29778"/>
      <c r="B29778"/>
    </row>
    <row r="29779" spans="1:2" x14ac:dyDescent="0.25">
      <c r="A29779"/>
      <c r="B29779"/>
    </row>
    <row r="29780" spans="1:2" x14ac:dyDescent="0.25">
      <c r="A29780"/>
      <c r="B29780"/>
    </row>
    <row r="29781" spans="1:2" x14ac:dyDescent="0.25">
      <c r="A29781"/>
      <c r="B29781"/>
    </row>
    <row r="29782" spans="1:2" x14ac:dyDescent="0.25">
      <c r="A29782"/>
      <c r="B29782"/>
    </row>
    <row r="29783" spans="1:2" x14ac:dyDescent="0.25">
      <c r="A29783"/>
      <c r="B29783"/>
    </row>
    <row r="29784" spans="1:2" x14ac:dyDescent="0.25">
      <c r="A29784"/>
      <c r="B29784"/>
    </row>
    <row r="29785" spans="1:2" x14ac:dyDescent="0.25">
      <c r="A29785"/>
      <c r="B29785"/>
    </row>
    <row r="29786" spans="1:2" x14ac:dyDescent="0.25">
      <c r="A29786"/>
      <c r="B29786"/>
    </row>
    <row r="29787" spans="1:2" x14ac:dyDescent="0.25">
      <c r="A29787"/>
      <c r="B29787"/>
    </row>
    <row r="29788" spans="1:2" x14ac:dyDescent="0.25">
      <c r="A29788"/>
      <c r="B29788"/>
    </row>
    <row r="29789" spans="1:2" x14ac:dyDescent="0.25">
      <c r="A29789"/>
      <c r="B29789"/>
    </row>
    <row r="29790" spans="1:2" x14ac:dyDescent="0.25">
      <c r="A29790"/>
      <c r="B29790"/>
    </row>
    <row r="29791" spans="1:2" x14ac:dyDescent="0.25">
      <c r="A29791"/>
      <c r="B29791"/>
    </row>
    <row r="29792" spans="1:2" x14ac:dyDescent="0.25">
      <c r="A29792"/>
      <c r="B29792"/>
    </row>
    <row r="29793" spans="1:2" x14ac:dyDescent="0.25">
      <c r="A29793"/>
      <c r="B29793"/>
    </row>
    <row r="29794" spans="1:2" x14ac:dyDescent="0.25">
      <c r="A29794"/>
      <c r="B29794"/>
    </row>
    <row r="29795" spans="1:2" x14ac:dyDescent="0.25">
      <c r="A29795"/>
      <c r="B29795"/>
    </row>
    <row r="29796" spans="1:2" x14ac:dyDescent="0.25">
      <c r="A29796"/>
      <c r="B29796"/>
    </row>
    <row r="29797" spans="1:2" x14ac:dyDescent="0.25">
      <c r="A29797"/>
      <c r="B29797"/>
    </row>
    <row r="29798" spans="1:2" x14ac:dyDescent="0.25">
      <c r="A29798"/>
      <c r="B29798"/>
    </row>
    <row r="29799" spans="1:2" x14ac:dyDescent="0.25">
      <c r="A29799"/>
      <c r="B29799"/>
    </row>
    <row r="29800" spans="1:2" x14ac:dyDescent="0.25">
      <c r="A29800"/>
      <c r="B29800"/>
    </row>
    <row r="29801" spans="1:2" x14ac:dyDescent="0.25">
      <c r="A29801"/>
      <c r="B29801"/>
    </row>
    <row r="29802" spans="1:2" x14ac:dyDescent="0.25">
      <c r="A29802"/>
      <c r="B29802"/>
    </row>
    <row r="29803" spans="1:2" x14ac:dyDescent="0.25">
      <c r="A29803"/>
      <c r="B29803"/>
    </row>
    <row r="29804" spans="1:2" x14ac:dyDescent="0.25">
      <c r="A29804"/>
      <c r="B29804"/>
    </row>
    <row r="29805" spans="1:2" x14ac:dyDescent="0.25">
      <c r="A29805"/>
      <c r="B29805"/>
    </row>
    <row r="29806" spans="1:2" x14ac:dyDescent="0.25">
      <c r="A29806"/>
      <c r="B29806"/>
    </row>
    <row r="29807" spans="1:2" x14ac:dyDescent="0.25">
      <c r="A29807"/>
      <c r="B29807"/>
    </row>
    <row r="29808" spans="1:2" x14ac:dyDescent="0.25">
      <c r="A29808"/>
      <c r="B29808"/>
    </row>
    <row r="29809" spans="1:2" x14ac:dyDescent="0.25">
      <c r="A29809"/>
      <c r="B29809"/>
    </row>
    <row r="29810" spans="1:2" x14ac:dyDescent="0.25">
      <c r="A29810"/>
      <c r="B29810"/>
    </row>
    <row r="29811" spans="1:2" x14ac:dyDescent="0.25">
      <c r="A29811"/>
      <c r="B29811"/>
    </row>
    <row r="29812" spans="1:2" x14ac:dyDescent="0.25">
      <c r="A29812"/>
      <c r="B29812"/>
    </row>
    <row r="29813" spans="1:2" x14ac:dyDescent="0.25">
      <c r="A29813"/>
      <c r="B29813"/>
    </row>
    <row r="29814" spans="1:2" x14ac:dyDescent="0.25">
      <c r="A29814"/>
      <c r="B29814"/>
    </row>
    <row r="29815" spans="1:2" x14ac:dyDescent="0.25">
      <c r="A29815"/>
      <c r="B29815"/>
    </row>
    <row r="29816" spans="1:2" x14ac:dyDescent="0.25">
      <c r="A29816"/>
      <c r="B29816"/>
    </row>
    <row r="29817" spans="1:2" x14ac:dyDescent="0.25">
      <c r="A29817"/>
      <c r="B29817"/>
    </row>
    <row r="29818" spans="1:2" x14ac:dyDescent="0.25">
      <c r="A29818"/>
      <c r="B29818"/>
    </row>
    <row r="29819" spans="1:2" x14ac:dyDescent="0.25">
      <c r="A29819"/>
      <c r="B29819"/>
    </row>
    <row r="29820" spans="1:2" x14ac:dyDescent="0.25">
      <c r="A29820"/>
      <c r="B29820"/>
    </row>
    <row r="29821" spans="1:2" x14ac:dyDescent="0.25">
      <c r="A29821"/>
      <c r="B29821"/>
    </row>
    <row r="29822" spans="1:2" x14ac:dyDescent="0.25">
      <c r="A29822"/>
      <c r="B29822"/>
    </row>
    <row r="29823" spans="1:2" x14ac:dyDescent="0.25">
      <c r="A29823"/>
      <c r="B29823"/>
    </row>
    <row r="29824" spans="1:2" x14ac:dyDescent="0.25">
      <c r="A29824"/>
      <c r="B29824"/>
    </row>
    <row r="29825" spans="1:2" x14ac:dyDescent="0.25">
      <c r="A29825"/>
      <c r="B29825"/>
    </row>
    <row r="29826" spans="1:2" x14ac:dyDescent="0.25">
      <c r="A29826"/>
      <c r="B29826"/>
    </row>
    <row r="29827" spans="1:2" x14ac:dyDescent="0.25">
      <c r="A29827"/>
      <c r="B29827"/>
    </row>
    <row r="29828" spans="1:2" x14ac:dyDescent="0.25">
      <c r="A29828"/>
      <c r="B29828"/>
    </row>
    <row r="29829" spans="1:2" x14ac:dyDescent="0.25">
      <c r="A29829"/>
      <c r="B29829"/>
    </row>
    <row r="29830" spans="1:2" x14ac:dyDescent="0.25">
      <c r="A29830"/>
      <c r="B29830"/>
    </row>
    <row r="29831" spans="1:2" x14ac:dyDescent="0.25">
      <c r="A29831"/>
      <c r="B29831"/>
    </row>
    <row r="29832" spans="1:2" x14ac:dyDescent="0.25">
      <c r="A29832"/>
      <c r="B29832"/>
    </row>
    <row r="29833" spans="1:2" x14ac:dyDescent="0.25">
      <c r="A29833"/>
      <c r="B29833"/>
    </row>
    <row r="29834" spans="1:2" x14ac:dyDescent="0.25">
      <c r="A29834"/>
      <c r="B29834"/>
    </row>
    <row r="29835" spans="1:2" x14ac:dyDescent="0.25">
      <c r="A29835"/>
      <c r="B29835"/>
    </row>
    <row r="29836" spans="1:2" x14ac:dyDescent="0.25">
      <c r="A29836"/>
      <c r="B29836"/>
    </row>
    <row r="29837" spans="1:2" x14ac:dyDescent="0.25">
      <c r="A29837"/>
      <c r="B29837"/>
    </row>
    <row r="29838" spans="1:2" x14ac:dyDescent="0.25">
      <c r="A29838"/>
      <c r="B29838"/>
    </row>
    <row r="29839" spans="1:2" x14ac:dyDescent="0.25">
      <c r="A29839"/>
      <c r="B29839"/>
    </row>
    <row r="29840" spans="1:2" x14ac:dyDescent="0.25">
      <c r="A29840"/>
      <c r="B29840"/>
    </row>
    <row r="29841" spans="1:2" x14ac:dyDescent="0.25">
      <c r="A29841"/>
      <c r="B29841"/>
    </row>
    <row r="29842" spans="1:2" x14ac:dyDescent="0.25">
      <c r="A29842"/>
      <c r="B29842"/>
    </row>
    <row r="29843" spans="1:2" x14ac:dyDescent="0.25">
      <c r="A29843"/>
      <c r="B29843"/>
    </row>
    <row r="29844" spans="1:2" x14ac:dyDescent="0.25">
      <c r="A29844"/>
      <c r="B29844"/>
    </row>
    <row r="29845" spans="1:2" x14ac:dyDescent="0.25">
      <c r="A29845"/>
      <c r="B29845"/>
    </row>
    <row r="29846" spans="1:2" x14ac:dyDescent="0.25">
      <c r="A29846"/>
      <c r="B29846"/>
    </row>
    <row r="29847" spans="1:2" x14ac:dyDescent="0.25">
      <c r="A29847"/>
      <c r="B29847"/>
    </row>
    <row r="29848" spans="1:2" x14ac:dyDescent="0.25">
      <c r="A29848"/>
      <c r="B29848"/>
    </row>
    <row r="29849" spans="1:2" x14ac:dyDescent="0.25">
      <c r="A29849"/>
      <c r="B29849"/>
    </row>
    <row r="29850" spans="1:2" x14ac:dyDescent="0.25">
      <c r="A29850"/>
      <c r="B29850"/>
    </row>
    <row r="29851" spans="1:2" x14ac:dyDescent="0.25">
      <c r="A29851"/>
      <c r="B29851"/>
    </row>
    <row r="29852" spans="1:2" x14ac:dyDescent="0.25">
      <c r="A29852"/>
      <c r="B29852"/>
    </row>
    <row r="29853" spans="1:2" x14ac:dyDescent="0.25">
      <c r="A29853"/>
      <c r="B29853"/>
    </row>
    <row r="29854" spans="1:2" x14ac:dyDescent="0.25">
      <c r="A29854"/>
      <c r="B29854"/>
    </row>
    <row r="29855" spans="1:2" x14ac:dyDescent="0.25">
      <c r="A29855"/>
      <c r="B29855"/>
    </row>
    <row r="29856" spans="1:2" x14ac:dyDescent="0.25">
      <c r="A29856"/>
      <c r="B29856"/>
    </row>
    <row r="29857" spans="1:2" x14ac:dyDescent="0.25">
      <c r="A29857"/>
      <c r="B29857"/>
    </row>
    <row r="29858" spans="1:2" x14ac:dyDescent="0.25">
      <c r="A29858"/>
      <c r="B29858"/>
    </row>
    <row r="29859" spans="1:2" x14ac:dyDescent="0.25">
      <c r="A29859"/>
      <c r="B29859"/>
    </row>
    <row r="29860" spans="1:2" x14ac:dyDescent="0.25">
      <c r="A29860"/>
      <c r="B29860"/>
    </row>
    <row r="29861" spans="1:2" x14ac:dyDescent="0.25">
      <c r="A29861"/>
      <c r="B29861"/>
    </row>
    <row r="29862" spans="1:2" x14ac:dyDescent="0.25">
      <c r="A29862"/>
      <c r="B29862"/>
    </row>
    <row r="29863" spans="1:2" x14ac:dyDescent="0.25">
      <c r="A29863"/>
      <c r="B29863"/>
    </row>
    <row r="29864" spans="1:2" x14ac:dyDescent="0.25">
      <c r="A29864"/>
      <c r="B29864"/>
    </row>
    <row r="29865" spans="1:2" x14ac:dyDescent="0.25">
      <c r="A29865"/>
      <c r="B29865"/>
    </row>
    <row r="29866" spans="1:2" x14ac:dyDescent="0.25">
      <c r="A29866"/>
      <c r="B29866"/>
    </row>
    <row r="29867" spans="1:2" x14ac:dyDescent="0.25">
      <c r="A29867"/>
      <c r="B29867"/>
    </row>
    <row r="29868" spans="1:2" x14ac:dyDescent="0.25">
      <c r="A29868"/>
      <c r="B29868"/>
    </row>
    <row r="29869" spans="1:2" x14ac:dyDescent="0.25">
      <c r="A29869"/>
      <c r="B29869"/>
    </row>
    <row r="29870" spans="1:2" x14ac:dyDescent="0.25">
      <c r="A29870"/>
      <c r="B29870"/>
    </row>
    <row r="29871" spans="1:2" x14ac:dyDescent="0.25">
      <c r="A29871"/>
      <c r="B29871"/>
    </row>
    <row r="29872" spans="1:2" x14ac:dyDescent="0.25">
      <c r="A29872"/>
      <c r="B29872"/>
    </row>
    <row r="29873" spans="1:2" x14ac:dyDescent="0.25">
      <c r="A29873"/>
      <c r="B29873"/>
    </row>
    <row r="29874" spans="1:2" x14ac:dyDescent="0.25">
      <c r="A29874"/>
      <c r="B29874"/>
    </row>
    <row r="29875" spans="1:2" x14ac:dyDescent="0.25">
      <c r="A29875"/>
      <c r="B29875"/>
    </row>
    <row r="29876" spans="1:2" x14ac:dyDescent="0.25">
      <c r="A29876"/>
      <c r="B29876"/>
    </row>
    <row r="29877" spans="1:2" x14ac:dyDescent="0.25">
      <c r="A29877"/>
      <c r="B29877"/>
    </row>
    <row r="29878" spans="1:2" x14ac:dyDescent="0.25">
      <c r="A29878"/>
      <c r="B29878"/>
    </row>
    <row r="29879" spans="1:2" x14ac:dyDescent="0.25">
      <c r="A29879"/>
      <c r="B29879"/>
    </row>
    <row r="29880" spans="1:2" x14ac:dyDescent="0.25">
      <c r="A29880"/>
      <c r="B29880"/>
    </row>
    <row r="29881" spans="1:2" x14ac:dyDescent="0.25">
      <c r="A29881"/>
      <c r="B29881"/>
    </row>
    <row r="29882" spans="1:2" x14ac:dyDescent="0.25">
      <c r="A29882"/>
      <c r="B29882"/>
    </row>
    <row r="29883" spans="1:2" x14ac:dyDescent="0.25">
      <c r="A29883"/>
      <c r="B29883"/>
    </row>
    <row r="29884" spans="1:2" x14ac:dyDescent="0.25">
      <c r="A29884"/>
      <c r="B29884"/>
    </row>
    <row r="29885" spans="1:2" x14ac:dyDescent="0.25">
      <c r="A29885"/>
      <c r="B29885"/>
    </row>
    <row r="29886" spans="1:2" x14ac:dyDescent="0.25">
      <c r="A29886"/>
      <c r="B29886"/>
    </row>
    <row r="29887" spans="1:2" x14ac:dyDescent="0.25">
      <c r="A29887"/>
      <c r="B29887"/>
    </row>
    <row r="29888" spans="1:2" x14ac:dyDescent="0.25">
      <c r="A29888"/>
      <c r="B29888"/>
    </row>
    <row r="29889" spans="1:2" x14ac:dyDescent="0.25">
      <c r="A29889"/>
      <c r="B29889"/>
    </row>
    <row r="29890" spans="1:2" x14ac:dyDescent="0.25">
      <c r="A29890"/>
      <c r="B29890"/>
    </row>
    <row r="29891" spans="1:2" x14ac:dyDescent="0.25">
      <c r="A29891"/>
      <c r="B29891"/>
    </row>
    <row r="29892" spans="1:2" x14ac:dyDescent="0.25">
      <c r="A29892"/>
      <c r="B29892"/>
    </row>
    <row r="29893" spans="1:2" x14ac:dyDescent="0.25">
      <c r="A29893"/>
      <c r="B29893"/>
    </row>
    <row r="29894" spans="1:2" x14ac:dyDescent="0.25">
      <c r="A29894"/>
      <c r="B29894"/>
    </row>
    <row r="29895" spans="1:2" x14ac:dyDescent="0.25">
      <c r="A29895"/>
      <c r="B29895"/>
    </row>
    <row r="29896" spans="1:2" x14ac:dyDescent="0.25">
      <c r="A29896"/>
      <c r="B29896"/>
    </row>
    <row r="29897" spans="1:2" x14ac:dyDescent="0.25">
      <c r="A29897"/>
      <c r="B29897"/>
    </row>
    <row r="29898" spans="1:2" x14ac:dyDescent="0.25">
      <c r="A29898"/>
      <c r="B29898"/>
    </row>
    <row r="29899" spans="1:2" x14ac:dyDescent="0.25">
      <c r="A29899"/>
      <c r="B29899"/>
    </row>
    <row r="29900" spans="1:2" x14ac:dyDescent="0.25">
      <c r="A29900"/>
      <c r="B29900"/>
    </row>
    <row r="29901" spans="1:2" x14ac:dyDescent="0.25">
      <c r="A29901"/>
      <c r="B29901"/>
    </row>
    <row r="29902" spans="1:2" x14ac:dyDescent="0.25">
      <c r="A29902"/>
      <c r="B29902"/>
    </row>
    <row r="29903" spans="1:2" x14ac:dyDescent="0.25">
      <c r="A29903"/>
      <c r="B29903"/>
    </row>
    <row r="29904" spans="1:2" x14ac:dyDescent="0.25">
      <c r="A29904"/>
      <c r="B29904"/>
    </row>
    <row r="29905" spans="1:2" x14ac:dyDescent="0.25">
      <c r="A29905"/>
      <c r="B29905"/>
    </row>
    <row r="29906" spans="1:2" x14ac:dyDescent="0.25">
      <c r="A29906"/>
      <c r="B29906"/>
    </row>
    <row r="29907" spans="1:2" x14ac:dyDescent="0.25">
      <c r="A29907"/>
      <c r="B29907"/>
    </row>
    <row r="29908" spans="1:2" x14ac:dyDescent="0.25">
      <c r="A29908"/>
      <c r="B29908"/>
    </row>
    <row r="29909" spans="1:2" x14ac:dyDescent="0.25">
      <c r="A29909"/>
      <c r="B29909"/>
    </row>
    <row r="29910" spans="1:2" x14ac:dyDescent="0.25">
      <c r="A29910"/>
      <c r="B29910"/>
    </row>
    <row r="29911" spans="1:2" x14ac:dyDescent="0.25">
      <c r="A29911"/>
      <c r="B29911"/>
    </row>
    <row r="29912" spans="1:2" x14ac:dyDescent="0.25">
      <c r="A29912"/>
      <c r="B29912"/>
    </row>
    <row r="29913" spans="1:2" x14ac:dyDescent="0.25">
      <c r="A29913"/>
      <c r="B29913"/>
    </row>
    <row r="29914" spans="1:2" x14ac:dyDescent="0.25">
      <c r="A29914"/>
      <c r="B29914"/>
    </row>
    <row r="29915" spans="1:2" x14ac:dyDescent="0.25">
      <c r="A29915"/>
      <c r="B29915"/>
    </row>
    <row r="29916" spans="1:2" x14ac:dyDescent="0.25">
      <c r="A29916"/>
      <c r="B29916"/>
    </row>
    <row r="29917" spans="1:2" x14ac:dyDescent="0.25">
      <c r="A29917"/>
      <c r="B29917"/>
    </row>
    <row r="29918" spans="1:2" x14ac:dyDescent="0.25">
      <c r="A29918"/>
      <c r="B29918"/>
    </row>
    <row r="29919" spans="1:2" x14ac:dyDescent="0.25">
      <c r="A29919"/>
      <c r="B29919"/>
    </row>
    <row r="29920" spans="1:2" x14ac:dyDescent="0.25">
      <c r="A29920"/>
      <c r="B29920"/>
    </row>
    <row r="29921" spans="1:2" x14ac:dyDescent="0.25">
      <c r="A29921"/>
      <c r="B29921"/>
    </row>
    <row r="29922" spans="1:2" x14ac:dyDescent="0.25">
      <c r="A29922"/>
      <c r="B29922"/>
    </row>
    <row r="29923" spans="1:2" x14ac:dyDescent="0.25">
      <c r="A29923"/>
      <c r="B29923"/>
    </row>
    <row r="29924" spans="1:2" x14ac:dyDescent="0.25">
      <c r="A29924"/>
      <c r="B29924"/>
    </row>
    <row r="29925" spans="1:2" x14ac:dyDescent="0.25">
      <c r="A29925"/>
      <c r="B29925"/>
    </row>
    <row r="29926" spans="1:2" x14ac:dyDescent="0.25">
      <c r="A29926"/>
      <c r="B29926"/>
    </row>
    <row r="29927" spans="1:2" x14ac:dyDescent="0.25">
      <c r="A29927"/>
      <c r="B29927"/>
    </row>
    <row r="29928" spans="1:2" x14ac:dyDescent="0.25">
      <c r="A29928"/>
      <c r="B29928"/>
    </row>
    <row r="29929" spans="1:2" x14ac:dyDescent="0.25">
      <c r="A29929"/>
      <c r="B29929"/>
    </row>
    <row r="29930" spans="1:2" x14ac:dyDescent="0.25">
      <c r="A29930"/>
      <c r="B29930"/>
    </row>
    <row r="29931" spans="1:2" x14ac:dyDescent="0.25">
      <c r="A29931"/>
      <c r="B29931"/>
    </row>
    <row r="29932" spans="1:2" x14ac:dyDescent="0.25">
      <c r="A29932"/>
      <c r="B29932"/>
    </row>
    <row r="29933" spans="1:2" x14ac:dyDescent="0.25">
      <c r="A29933"/>
      <c r="B29933"/>
    </row>
    <row r="29934" spans="1:2" x14ac:dyDescent="0.25">
      <c r="A29934"/>
      <c r="B29934"/>
    </row>
    <row r="29935" spans="1:2" x14ac:dyDescent="0.25">
      <c r="A29935"/>
      <c r="B29935"/>
    </row>
    <row r="29936" spans="1:2" x14ac:dyDescent="0.25">
      <c r="A29936"/>
      <c r="B29936"/>
    </row>
    <row r="29937" spans="1:2" x14ac:dyDescent="0.25">
      <c r="A29937"/>
      <c r="B29937"/>
    </row>
    <row r="29938" spans="1:2" x14ac:dyDescent="0.25">
      <c r="A29938"/>
      <c r="B29938"/>
    </row>
    <row r="29939" spans="1:2" x14ac:dyDescent="0.25">
      <c r="A29939"/>
      <c r="B29939"/>
    </row>
    <row r="29940" spans="1:2" x14ac:dyDescent="0.25">
      <c r="A29940"/>
      <c r="B29940"/>
    </row>
    <row r="29941" spans="1:2" x14ac:dyDescent="0.25">
      <c r="A29941"/>
      <c r="B29941"/>
    </row>
    <row r="29942" spans="1:2" x14ac:dyDescent="0.25">
      <c r="A29942"/>
      <c r="B29942"/>
    </row>
    <row r="29943" spans="1:2" x14ac:dyDescent="0.25">
      <c r="A29943"/>
      <c r="B29943"/>
    </row>
    <row r="29944" spans="1:2" x14ac:dyDescent="0.25">
      <c r="A29944"/>
      <c r="B29944"/>
    </row>
    <row r="29945" spans="1:2" x14ac:dyDescent="0.25">
      <c r="A29945"/>
      <c r="B29945"/>
    </row>
    <row r="29946" spans="1:2" x14ac:dyDescent="0.25">
      <c r="A29946"/>
      <c r="B29946"/>
    </row>
    <row r="29947" spans="1:2" x14ac:dyDescent="0.25">
      <c r="A29947"/>
      <c r="B29947"/>
    </row>
    <row r="29948" spans="1:2" x14ac:dyDescent="0.25">
      <c r="A29948"/>
      <c r="B29948"/>
    </row>
    <row r="29949" spans="1:2" x14ac:dyDescent="0.25">
      <c r="A29949"/>
      <c r="B29949"/>
    </row>
    <row r="29950" spans="1:2" x14ac:dyDescent="0.25">
      <c r="A29950"/>
      <c r="B29950"/>
    </row>
    <row r="29951" spans="1:2" x14ac:dyDescent="0.25">
      <c r="A29951"/>
      <c r="B29951"/>
    </row>
    <row r="29952" spans="1:2" x14ac:dyDescent="0.25">
      <c r="A29952"/>
      <c r="B29952"/>
    </row>
    <row r="29953" spans="1:2" x14ac:dyDescent="0.25">
      <c r="A29953"/>
      <c r="B29953"/>
    </row>
    <row r="29954" spans="1:2" x14ac:dyDescent="0.25">
      <c r="A29954"/>
      <c r="B29954"/>
    </row>
    <row r="29955" spans="1:2" x14ac:dyDescent="0.25">
      <c r="A29955"/>
      <c r="B29955"/>
    </row>
    <row r="29956" spans="1:2" x14ac:dyDescent="0.25">
      <c r="A29956"/>
      <c r="B29956"/>
    </row>
    <row r="29957" spans="1:2" x14ac:dyDescent="0.25">
      <c r="A29957"/>
      <c r="B29957"/>
    </row>
    <row r="29958" spans="1:2" x14ac:dyDescent="0.25">
      <c r="A29958"/>
      <c r="B29958"/>
    </row>
    <row r="29959" spans="1:2" x14ac:dyDescent="0.25">
      <c r="A29959"/>
      <c r="B29959"/>
    </row>
    <row r="29960" spans="1:2" x14ac:dyDescent="0.25">
      <c r="A29960"/>
      <c r="B29960"/>
    </row>
    <row r="29961" spans="1:2" x14ac:dyDescent="0.25">
      <c r="A29961"/>
      <c r="B29961"/>
    </row>
    <row r="29962" spans="1:2" x14ac:dyDescent="0.25">
      <c r="A29962"/>
      <c r="B29962"/>
    </row>
    <row r="29963" spans="1:2" x14ac:dyDescent="0.25">
      <c r="A29963"/>
      <c r="B29963"/>
    </row>
    <row r="29964" spans="1:2" x14ac:dyDescent="0.25">
      <c r="A29964"/>
      <c r="B29964"/>
    </row>
    <row r="29965" spans="1:2" x14ac:dyDescent="0.25">
      <c r="A29965"/>
      <c r="B29965"/>
    </row>
    <row r="29966" spans="1:2" x14ac:dyDescent="0.25">
      <c r="A29966"/>
      <c r="B29966"/>
    </row>
    <row r="29967" spans="1:2" x14ac:dyDescent="0.25">
      <c r="A29967"/>
      <c r="B29967"/>
    </row>
    <row r="29968" spans="1:2" x14ac:dyDescent="0.25">
      <c r="A29968"/>
      <c r="B29968"/>
    </row>
    <row r="29969" spans="1:2" x14ac:dyDescent="0.25">
      <c r="A29969"/>
      <c r="B29969"/>
    </row>
    <row r="29970" spans="1:2" x14ac:dyDescent="0.25">
      <c r="A29970"/>
      <c r="B29970"/>
    </row>
    <row r="29971" spans="1:2" x14ac:dyDescent="0.25">
      <c r="A29971"/>
      <c r="B29971"/>
    </row>
    <row r="29972" spans="1:2" x14ac:dyDescent="0.25">
      <c r="A29972"/>
      <c r="B29972"/>
    </row>
    <row r="29973" spans="1:2" x14ac:dyDescent="0.25">
      <c r="A29973"/>
      <c r="B29973"/>
    </row>
    <row r="29974" spans="1:2" x14ac:dyDescent="0.25">
      <c r="A29974"/>
      <c r="B29974"/>
    </row>
    <row r="29975" spans="1:2" x14ac:dyDescent="0.25">
      <c r="A29975"/>
      <c r="B29975"/>
    </row>
    <row r="29976" spans="1:2" x14ac:dyDescent="0.25">
      <c r="A29976"/>
      <c r="B29976"/>
    </row>
    <row r="29977" spans="1:2" x14ac:dyDescent="0.25">
      <c r="A29977"/>
      <c r="B29977"/>
    </row>
    <row r="29978" spans="1:2" x14ac:dyDescent="0.25">
      <c r="A29978"/>
      <c r="B29978"/>
    </row>
    <row r="29979" spans="1:2" x14ac:dyDescent="0.25">
      <c r="A29979"/>
      <c r="B29979"/>
    </row>
    <row r="29980" spans="1:2" x14ac:dyDescent="0.25">
      <c r="A29980"/>
      <c r="B29980"/>
    </row>
    <row r="29981" spans="1:2" x14ac:dyDescent="0.25">
      <c r="A29981"/>
      <c r="B29981"/>
    </row>
    <row r="29982" spans="1:2" x14ac:dyDescent="0.25">
      <c r="A29982"/>
      <c r="B29982"/>
    </row>
    <row r="29983" spans="1:2" x14ac:dyDescent="0.25">
      <c r="A29983"/>
      <c r="B29983"/>
    </row>
    <row r="29984" spans="1:2" x14ac:dyDescent="0.25">
      <c r="A29984"/>
      <c r="B29984"/>
    </row>
    <row r="29985" spans="1:2" x14ac:dyDescent="0.25">
      <c r="A29985"/>
      <c r="B29985"/>
    </row>
    <row r="29986" spans="1:2" x14ac:dyDescent="0.25">
      <c r="A29986"/>
      <c r="B29986"/>
    </row>
    <row r="29987" spans="1:2" x14ac:dyDescent="0.25">
      <c r="A29987"/>
      <c r="B29987"/>
    </row>
    <row r="29988" spans="1:2" x14ac:dyDescent="0.25">
      <c r="A29988"/>
      <c r="B29988"/>
    </row>
    <row r="29989" spans="1:2" x14ac:dyDescent="0.25">
      <c r="A29989"/>
      <c r="B29989"/>
    </row>
    <row r="29990" spans="1:2" x14ac:dyDescent="0.25">
      <c r="A29990"/>
      <c r="B29990"/>
    </row>
    <row r="29991" spans="1:2" x14ac:dyDescent="0.25">
      <c r="A29991"/>
      <c r="B29991"/>
    </row>
    <row r="29992" spans="1:2" x14ac:dyDescent="0.25">
      <c r="A29992"/>
      <c r="B29992"/>
    </row>
    <row r="29993" spans="1:2" x14ac:dyDescent="0.25">
      <c r="A29993"/>
      <c r="B29993"/>
    </row>
    <row r="29994" spans="1:2" x14ac:dyDescent="0.25">
      <c r="A29994"/>
      <c r="B29994"/>
    </row>
    <row r="29995" spans="1:2" x14ac:dyDescent="0.25">
      <c r="A29995"/>
      <c r="B29995"/>
    </row>
    <row r="29996" spans="1:2" x14ac:dyDescent="0.25">
      <c r="A29996"/>
      <c r="B29996"/>
    </row>
    <row r="29997" spans="1:2" x14ac:dyDescent="0.25">
      <c r="A29997"/>
      <c r="B29997"/>
    </row>
    <row r="29998" spans="1:2" x14ac:dyDescent="0.25">
      <c r="A29998"/>
      <c r="B29998"/>
    </row>
    <row r="29999" spans="1:2" x14ac:dyDescent="0.25">
      <c r="A29999"/>
      <c r="B29999"/>
    </row>
    <row r="30000" spans="1:2" x14ac:dyDescent="0.25">
      <c r="A30000"/>
      <c r="B30000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Главная</vt:lpstr>
      <vt:lpstr>Расчет интеграла</vt:lpstr>
      <vt:lpstr>Нелинейные уравнения</vt:lpstr>
      <vt:lpstr>Интерполяция</vt:lpstr>
      <vt:lpstr>Аппроксимация</vt:lpstr>
      <vt:lpstr>Решение краевой задачи</vt:lpstr>
      <vt:lpstr>Данные</vt:lpstr>
    </vt:vector>
  </TitlesOfParts>
  <Manager/>
  <Company>SPecialiST RePack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Kirill</dc:creator>
  <cp:keywords/>
  <dc:description/>
  <cp:lastModifiedBy>Kirill .</cp:lastModifiedBy>
  <cp:revision/>
  <dcterms:created xsi:type="dcterms:W3CDTF">2023-02-24T12:09:40Z</dcterms:created>
  <dcterms:modified xsi:type="dcterms:W3CDTF">2025-03-31T15:52:33Z</dcterms:modified>
  <cp:category/>
  <cp:contentStatus/>
</cp:coreProperties>
</file>